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DEE8C48-3E8A-4732-BF38-68EEB457EE75}" xr6:coauthVersionLast="47" xr6:coauthVersionMax="47" xr10:uidLastSave="{00000000-0000-0000-0000-000000000000}"/>
  <bookViews>
    <workbookView xWindow="-120" yWindow="-120" windowWidth="29040" windowHeight="15720" tabRatio="827" activeTab="3" xr2:uid="{00000000-000D-0000-FFFF-FFFF00000000}"/>
  </bookViews>
  <sheets>
    <sheet name="갑지" sheetId="1" r:id="rId1"/>
    <sheet name="내역서" sheetId="13" r:id="rId2"/>
    <sheet name="임대기간" sheetId="17" r:id="rId3"/>
    <sheet name="(건설용리프트)임대기간산출" sheetId="18" r:id="rId4"/>
    <sheet name="설치높이 산정" sheetId="16" r:id="rId5"/>
    <sheet name="입면도" sheetId="14" r:id="rId6"/>
    <sheet name="건설용리프트설치위치도" sheetId="4" r:id="rId7"/>
    <sheet name="첨부1. HC 방호선반 사진" sheetId="26" r:id="rId8"/>
    <sheet name="첨부2. 호이스트 입찰 기준안" sheetId="25" r:id="rId9"/>
  </sheets>
  <definedNames>
    <definedName name="_xlnm.Print_Area" localSheetId="3">'(건설용리프트)임대기간산출'!$A$1:$P$34</definedName>
    <definedName name="_xlnm.Print_Area" localSheetId="0">갑지!$A$1:$L$21</definedName>
    <definedName name="_xlnm.Print_Area" localSheetId="6">건설용리프트설치위치도!$A$1:$M$21</definedName>
    <definedName name="_xlnm.Print_Area" localSheetId="1">내역서!$A$1:$M$23</definedName>
    <definedName name="_xlnm.Print_Area" localSheetId="4">'설치높이 산정'!$A$1:$H$12</definedName>
    <definedName name="_xlnm.Print_Area" localSheetId="5">입면도!$A$1:$J$148</definedName>
    <definedName name="_xlnm.Print_Area" localSheetId="7">'첨부1. HC 방호선반 사진'!$A$1:$M$37</definedName>
    <definedName name="_xlnm.Print_Area" localSheetId="8">'첨부2. 호이스트 입찰 기준안'!$A$1:$I$37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4" l="1"/>
  <c r="F11" i="16" l="1"/>
  <c r="F10" i="16"/>
  <c r="F5" i="16" l="1"/>
  <c r="F4" i="16"/>
  <c r="F9" i="16" l="1"/>
  <c r="F8" i="16"/>
  <c r="F7" i="16"/>
  <c r="F6" i="16"/>
  <c r="D71" i="14"/>
  <c r="D11" i="18" l="1"/>
  <c r="N33" i="18" l="1"/>
  <c r="P33" i="18"/>
  <c r="J33" i="18"/>
  <c r="J34" i="18" s="1"/>
  <c r="D10" i="13" s="1"/>
  <c r="P32" i="18"/>
  <c r="P31" i="18"/>
  <c r="P30" i="18"/>
  <c r="P29" i="18"/>
  <c r="P28" i="18"/>
  <c r="P27" i="18"/>
  <c r="P26" i="18"/>
  <c r="P25" i="18"/>
  <c r="N32" i="18"/>
  <c r="N31" i="18"/>
  <c r="N30" i="18"/>
  <c r="N29" i="18"/>
  <c r="N28" i="18"/>
  <c r="N27" i="18"/>
  <c r="N26" i="18"/>
  <c r="N25" i="18"/>
  <c r="J32" i="18"/>
  <c r="K32" i="18" s="1"/>
  <c r="L29" i="18"/>
  <c r="L28" i="18"/>
  <c r="L27" i="18"/>
  <c r="L26" i="18"/>
  <c r="K29" i="18"/>
  <c r="K28" i="18"/>
  <c r="K27" i="18"/>
  <c r="K25" i="18"/>
  <c r="J31" i="18"/>
  <c r="L31" i="18" s="1"/>
  <c r="J30" i="18"/>
  <c r="K30" i="18" s="1"/>
  <c r="J29" i="18"/>
  <c r="J28" i="18"/>
  <c r="J27" i="18"/>
  <c r="J25" i="18"/>
  <c r="L25" i="18" s="1"/>
  <c r="J26" i="18"/>
  <c r="K26" i="18" s="1"/>
  <c r="F10" i="13" l="1"/>
  <c r="H10" i="13"/>
  <c r="J10" i="13"/>
  <c r="K33" i="18"/>
  <c r="L33" i="18"/>
  <c r="L32" i="18"/>
  <c r="K31" i="18"/>
  <c r="L30" i="18"/>
  <c r="Y10" i="17"/>
  <c r="I144" i="14" l="1"/>
  <c r="D144" i="14"/>
  <c r="I108" i="14"/>
  <c r="I107" i="14"/>
  <c r="D108" i="14"/>
  <c r="D107" i="14"/>
  <c r="I34" i="14"/>
  <c r="D34" i="14"/>
  <c r="D33" i="14"/>
  <c r="I71" i="14"/>
  <c r="I70" i="14"/>
  <c r="D70" i="14"/>
  <c r="I33" i="14"/>
  <c r="O9" i="16" l="1"/>
  <c r="O11" i="16"/>
  <c r="O10" i="16"/>
  <c r="O8" i="16"/>
  <c r="O7" i="16"/>
  <c r="O6" i="16"/>
  <c r="O5" i="16"/>
  <c r="O4" i="16"/>
  <c r="R13" i="18" l="1"/>
  <c r="R14" i="18"/>
  <c r="R15" i="18"/>
  <c r="R16" i="18"/>
  <c r="R17" i="18"/>
  <c r="R18" i="18"/>
  <c r="R12" i="18"/>
  <c r="R11" i="18"/>
  <c r="D32" i="18" l="1"/>
  <c r="D31" i="18"/>
  <c r="D30" i="18"/>
  <c r="D29" i="18"/>
  <c r="D28" i="18"/>
  <c r="D27" i="18"/>
  <c r="D26" i="18"/>
  <c r="D25" i="18"/>
  <c r="D16" i="18"/>
  <c r="G16" i="18" s="1"/>
  <c r="H16" i="18" s="1"/>
  <c r="I16" i="18" s="1"/>
  <c r="L16" i="18" s="1"/>
  <c r="D18" i="18"/>
  <c r="G18" i="18" s="1"/>
  <c r="H18" i="18" s="1"/>
  <c r="I18" i="18" s="1"/>
  <c r="L18" i="18" s="1"/>
  <c r="D17" i="18"/>
  <c r="G17" i="18" s="1"/>
  <c r="H17" i="18" s="1"/>
  <c r="I17" i="18" s="1"/>
  <c r="L17" i="18" s="1"/>
  <c r="D15" i="18"/>
  <c r="D14" i="18"/>
  <c r="D13" i="18"/>
  <c r="D12" i="18"/>
  <c r="G11" i="18"/>
  <c r="B12" i="17" l="1"/>
  <c r="B11" i="16" s="1"/>
  <c r="B11" i="17"/>
  <c r="B10" i="16" s="1"/>
  <c r="B10" i="17"/>
  <c r="B9" i="16" s="1"/>
  <c r="B9" i="17"/>
  <c r="B8" i="16" s="1"/>
  <c r="B8" i="17"/>
  <c r="B7" i="16" s="1"/>
  <c r="B7" i="17"/>
  <c r="B6" i="16" s="1"/>
  <c r="B6" i="17"/>
  <c r="B5" i="16" s="1"/>
  <c r="B5" i="17"/>
  <c r="B4" i="16" s="1"/>
  <c r="C12" i="17"/>
  <c r="C11" i="16" s="1"/>
  <c r="C11" i="17"/>
  <c r="C10" i="16" s="1"/>
  <c r="C10" i="17"/>
  <c r="C9" i="16" s="1"/>
  <c r="C9" i="17"/>
  <c r="C8" i="16" s="1"/>
  <c r="C8" i="17"/>
  <c r="C7" i="16" s="1"/>
  <c r="C7" i="17"/>
  <c r="C6" i="16" s="1"/>
  <c r="C6" i="17"/>
  <c r="C5" i="16" s="1"/>
  <c r="C5" i="17"/>
  <c r="C4" i="16" s="1"/>
  <c r="K19" i="18" l="1"/>
  <c r="G8" i="16"/>
  <c r="M29" i="18" s="1"/>
  <c r="P8" i="16"/>
  <c r="G9" i="16"/>
  <c r="M30" i="18" s="1"/>
  <c r="P9" i="16"/>
  <c r="M16" i="18" l="1"/>
  <c r="N16" i="18" l="1"/>
  <c r="H30" i="18"/>
  <c r="I30" i="18" s="1"/>
  <c r="O30" i="18" s="1"/>
  <c r="K21" i="13"/>
  <c r="K19" i="13"/>
  <c r="K20" i="13"/>
  <c r="K18" i="13"/>
  <c r="K17" i="13"/>
  <c r="K16" i="13"/>
  <c r="K15" i="13"/>
  <c r="K14" i="13"/>
  <c r="K13" i="13"/>
  <c r="K10" i="13"/>
  <c r="K9" i="13"/>
  <c r="K12" i="13"/>
  <c r="K11" i="13"/>
  <c r="K8" i="13"/>
  <c r="L15" i="13" l="1"/>
  <c r="P11" i="16" l="1"/>
  <c r="P10" i="16"/>
  <c r="P7" i="16"/>
  <c r="P6" i="16"/>
  <c r="P5" i="16"/>
  <c r="P4" i="16"/>
  <c r="P12" i="16" l="1"/>
  <c r="G11" i="16"/>
  <c r="M32" i="18" s="1"/>
  <c r="G10" i="16"/>
  <c r="M31" i="18" s="1"/>
  <c r="G7" i="16"/>
  <c r="M28" i="18" s="1"/>
  <c r="G6" i="16"/>
  <c r="M27" i="18" s="1"/>
  <c r="G5" i="16"/>
  <c r="M26" i="18" s="1"/>
  <c r="G4" i="16"/>
  <c r="M25" i="18" s="1"/>
  <c r="M33" i="18" s="1"/>
  <c r="G12" i="16" l="1"/>
  <c r="F12" i="16"/>
  <c r="I110" i="14" l="1"/>
  <c r="Y5" i="17" l="1"/>
  <c r="M11" i="18" l="1"/>
  <c r="H25" i="18" s="1"/>
  <c r="I25" i="18" s="1"/>
  <c r="O25" i="18" s="1"/>
  <c r="I36" i="14"/>
  <c r="I73" i="14"/>
  <c r="K20" i="18"/>
  <c r="K7" i="13" l="1"/>
  <c r="A3" i="18"/>
  <c r="G12" i="18" l="1"/>
  <c r="H12" i="18" s="1"/>
  <c r="I12" i="18" s="1"/>
  <c r="L12" i="18" s="1"/>
  <c r="P34" i="18"/>
  <c r="G14" i="18"/>
  <c r="H14" i="18" s="1"/>
  <c r="I14" i="18" s="1"/>
  <c r="L14" i="18" s="1"/>
  <c r="G19" i="18"/>
  <c r="G15" i="18"/>
  <c r="G13" i="18"/>
  <c r="H13" i="18" s="1"/>
  <c r="I13" i="18" s="1"/>
  <c r="L13" i="18" s="1"/>
  <c r="D20" i="13" l="1"/>
  <c r="D14" i="13"/>
  <c r="H15" i="18"/>
  <c r="I15" i="18" s="1"/>
  <c r="L15" i="18" s="1"/>
  <c r="H11" i="18"/>
  <c r="I11" i="18" s="1"/>
  <c r="G20" i="18"/>
  <c r="H14" i="13" l="1"/>
  <c r="F14" i="13"/>
  <c r="J14" i="13"/>
  <c r="J20" i="13"/>
  <c r="H20" i="13"/>
  <c r="F20" i="13"/>
  <c r="D21" i="13"/>
  <c r="L11" i="18"/>
  <c r="L19" i="18" s="1"/>
  <c r="I19" i="18"/>
  <c r="I20" i="18"/>
  <c r="H21" i="13" l="1"/>
  <c r="F21" i="13"/>
  <c r="J21" i="13"/>
  <c r="L20" i="18"/>
  <c r="Y6" i="17" l="1"/>
  <c r="Y7" i="17"/>
  <c r="Y8" i="17"/>
  <c r="Y9" i="17"/>
  <c r="Y11" i="17"/>
  <c r="M17" i="18" s="1"/>
  <c r="Y12" i="17"/>
  <c r="M18" i="18" s="1"/>
  <c r="A2" i="17"/>
  <c r="N18" i="18" l="1"/>
  <c r="H32" i="18"/>
  <c r="I32" i="18" s="1"/>
  <c r="O32" i="18" s="1"/>
  <c r="N17" i="18"/>
  <c r="H31" i="18"/>
  <c r="I31" i="18" s="1"/>
  <c r="O31" i="18" s="1"/>
  <c r="M15" i="18"/>
  <c r="H29" i="18" s="1"/>
  <c r="I29" i="18" s="1"/>
  <c r="O29" i="18" s="1"/>
  <c r="M13" i="18"/>
  <c r="H27" i="18" s="1"/>
  <c r="I27" i="18" s="1"/>
  <c r="M14" i="18"/>
  <c r="H28" i="18" s="1"/>
  <c r="I28" i="18" s="1"/>
  <c r="O28" i="18" s="1"/>
  <c r="M12" i="18"/>
  <c r="H26" i="18" s="1"/>
  <c r="I26" i="18" s="1"/>
  <c r="O26" i="18" s="1"/>
  <c r="Y13" i="17"/>
  <c r="N11" i="18"/>
  <c r="H33" i="18" l="1"/>
  <c r="H34" i="18" s="1"/>
  <c r="N19" i="18"/>
  <c r="M19" i="18"/>
  <c r="N14" i="18"/>
  <c r="N15" i="18"/>
  <c r="N12" i="18"/>
  <c r="N13" i="18"/>
  <c r="M20" i="18"/>
  <c r="D8" i="13" s="1"/>
  <c r="I147" i="14"/>
  <c r="D36" i="14"/>
  <c r="H8" i="13" l="1"/>
  <c r="J8" i="13"/>
  <c r="F8" i="13"/>
  <c r="L8" i="13"/>
  <c r="I33" i="18"/>
  <c r="O27" i="18"/>
  <c r="O33" i="18" s="1"/>
  <c r="D110" i="14"/>
  <c r="N20" i="18"/>
  <c r="D73" i="14"/>
  <c r="D147" i="14"/>
  <c r="I34" i="18" l="1"/>
  <c r="D9" i="13" s="1"/>
  <c r="L7" i="13"/>
  <c r="A2" i="16"/>
  <c r="H9" i="13" l="1"/>
  <c r="F9" i="13"/>
  <c r="J9" i="13"/>
  <c r="O34" i="18"/>
  <c r="D19" i="13" s="1"/>
  <c r="M34" i="18"/>
  <c r="D17" i="13" l="1"/>
  <c r="D16" i="13"/>
  <c r="F19" i="13"/>
  <c r="J19" i="13"/>
  <c r="H19" i="13"/>
  <c r="K34" i="18"/>
  <c r="D11" i="13" s="1"/>
  <c r="J11" i="13" l="1"/>
  <c r="H11" i="13"/>
  <c r="F11" i="13"/>
  <c r="L11" i="13"/>
  <c r="F16" i="13"/>
  <c r="H16" i="13"/>
  <c r="J16" i="13"/>
  <c r="H17" i="13"/>
  <c r="F17" i="13"/>
  <c r="J17" i="13"/>
  <c r="N34" i="18"/>
  <c r="D18" i="13" s="1"/>
  <c r="L34" i="18"/>
  <c r="D12" i="13" s="1"/>
  <c r="L9" i="13"/>
  <c r="L16" i="13"/>
  <c r="L10" i="13"/>
  <c r="L17" i="13"/>
  <c r="J18" i="13" l="1"/>
  <c r="H18" i="13"/>
  <c r="F18" i="13"/>
  <c r="H12" i="13"/>
  <c r="F12" i="13"/>
  <c r="J12" i="13"/>
  <c r="D13" i="13"/>
  <c r="L12" i="13"/>
  <c r="L14" i="13"/>
  <c r="L21" i="13"/>
  <c r="L20" i="13"/>
  <c r="L19" i="13"/>
  <c r="L18" i="13"/>
  <c r="F13" i="13" l="1"/>
  <c r="F22" i="13" s="1"/>
  <c r="F23" i="13" s="1"/>
  <c r="J13" i="13"/>
  <c r="J22" i="13" s="1"/>
  <c r="J23" i="13" s="1"/>
  <c r="H13" i="13"/>
  <c r="H22" i="13" s="1"/>
  <c r="H23" i="13" s="1"/>
  <c r="L13" i="13"/>
  <c r="L22" i="13"/>
  <c r="L23" i="13" s="1"/>
</calcChain>
</file>

<file path=xl/sharedStrings.xml><?xml version="1.0" encoding="utf-8"?>
<sst xmlns="http://schemas.openxmlformats.org/spreadsheetml/2006/main" count="473" uniqueCount="254">
  <si>
    <t>결   재</t>
    <phoneticPr fontId="3" type="noConversion"/>
  </si>
  <si>
    <t>작  성</t>
    <phoneticPr fontId="3" type="noConversion"/>
  </si>
  <si>
    <t>검    토</t>
    <phoneticPr fontId="3" type="noConversion"/>
  </si>
  <si>
    <t>승  인</t>
    <phoneticPr fontId="3" type="noConversion"/>
  </si>
  <si>
    <t>접  수</t>
    <phoneticPr fontId="3" type="noConversion"/>
  </si>
  <si>
    <t xml:space="preserve"> </t>
    <phoneticPr fontId="3" type="noConversion"/>
  </si>
  <si>
    <t>발  송  일  자</t>
    <phoneticPr fontId="3" type="noConversion"/>
  </si>
  <si>
    <t>계  약  기  한</t>
    <phoneticPr fontId="3" type="noConversion"/>
  </si>
  <si>
    <t>공사투입예정일</t>
    <phoneticPr fontId="3" type="noConversion"/>
  </si>
  <si>
    <t xml:space="preserve">  </t>
    <phoneticPr fontId="3" type="noConversion"/>
  </si>
  <si>
    <t>지하 :</t>
    <phoneticPr fontId="2" type="noConversion"/>
  </si>
  <si>
    <t>지상 :</t>
    <phoneticPr fontId="2" type="noConversion"/>
  </si>
  <si>
    <t>층고 :</t>
    <phoneticPr fontId="12" type="noConversion"/>
  </si>
  <si>
    <t>구 분</t>
    <phoneticPr fontId="2" type="noConversion"/>
  </si>
  <si>
    <t>공기
(일)</t>
    <phoneticPr fontId="12" type="noConversion"/>
  </si>
  <si>
    <t>월</t>
    <phoneticPr fontId="2" type="noConversion"/>
  </si>
  <si>
    <t>운용
형태</t>
    <phoneticPr fontId="2" type="noConversion"/>
  </si>
  <si>
    <t>설치
라인</t>
    <phoneticPr fontId="2" type="noConversion"/>
  </si>
  <si>
    <t>비 고</t>
    <phoneticPr fontId="2" type="noConversion"/>
  </si>
  <si>
    <t>동</t>
    <phoneticPr fontId="2" type="noConversion"/>
  </si>
  <si>
    <t>지상</t>
    <phoneticPr fontId="10" type="noConversion"/>
  </si>
  <si>
    <t>골조
완료</t>
    <phoneticPr fontId="2" type="noConversion"/>
  </si>
  <si>
    <t>견적</t>
    <phoneticPr fontId="2" type="noConversion"/>
  </si>
  <si>
    <t>현장</t>
    <phoneticPr fontId="2" type="noConversion"/>
  </si>
  <si>
    <t>차이</t>
  </si>
  <si>
    <t>기타장비 임대개월</t>
    <phoneticPr fontId="12" type="noConversion"/>
  </si>
  <si>
    <t>설치,해체공사</t>
    <phoneticPr fontId="12" type="noConversion"/>
  </si>
  <si>
    <t>무인
운행장치
(월)</t>
    <phoneticPr fontId="12" type="noConversion"/>
  </si>
  <si>
    <t>안전문
임대료
(EA)</t>
    <phoneticPr fontId="12" type="noConversion"/>
  </si>
  <si>
    <t>분합문
보호발판
(EA)</t>
    <phoneticPr fontId="12" type="noConversion"/>
  </si>
  <si>
    <t>층표시판
(EA)</t>
    <phoneticPr fontId="12" type="noConversion"/>
  </si>
  <si>
    <t>설치.해체
(M)</t>
    <phoneticPr fontId="12" type="noConversion"/>
  </si>
  <si>
    <t>운반비
(대)</t>
    <phoneticPr fontId="12" type="noConversion"/>
  </si>
  <si>
    <t>무인운행
설치해체
(대)</t>
    <phoneticPr fontId="12" type="noConversion"/>
  </si>
  <si>
    <t>장비비
(대)</t>
    <phoneticPr fontId="12" type="noConversion"/>
  </si>
  <si>
    <t>월</t>
  </si>
  <si>
    <t>무인운행장치 임대료</t>
  </si>
  <si>
    <t>층표시판</t>
  </si>
  <si>
    <t>개</t>
  </si>
  <si>
    <t>M</t>
  </si>
  <si>
    <t>대</t>
  </si>
  <si>
    <t>규 격</t>
  </si>
  <si>
    <t>금  액</t>
  </si>
  <si>
    <t>세대호출기 포함</t>
  </si>
  <si>
    <t>안전문 임대료</t>
  </si>
  <si>
    <t>안전난간포함</t>
  </si>
  <si>
    <t>501동</t>
  </si>
  <si>
    <t>502동</t>
  </si>
  <si>
    <t>503동</t>
  </si>
  <si>
    <t>504동</t>
  </si>
  <si>
    <t>505동</t>
  </si>
  <si>
    <t>구분</t>
  </si>
  <si>
    <t>비고</t>
  </si>
  <si>
    <t>층수</t>
  </si>
  <si>
    <t>35층</t>
  </si>
  <si>
    <t>29층</t>
  </si>
  <si>
    <t>22층</t>
  </si>
  <si>
    <t>14개월사용</t>
  </si>
  <si>
    <t>대수</t>
  </si>
  <si>
    <t>1대</t>
  </si>
  <si>
    <t>수량:10대</t>
  </si>
  <si>
    <t>Type</t>
  </si>
  <si>
    <t>인버터</t>
  </si>
  <si>
    <t>저속</t>
  </si>
  <si>
    <t>전체: 싱글</t>
  </si>
  <si>
    <t>1~2호</t>
  </si>
  <si>
    <t>1~2호</t>
    <phoneticPr fontId="2" type="noConversion"/>
  </si>
  <si>
    <t>27층</t>
    <phoneticPr fontId="2" type="noConversion"/>
  </si>
  <si>
    <t>코어</t>
    <phoneticPr fontId="2" type="noConversion"/>
  </si>
  <si>
    <t>3~5호</t>
  </si>
  <si>
    <t>3~5호</t>
    <phoneticPr fontId="2" type="noConversion"/>
  </si>
  <si>
    <t>동</t>
    <phoneticPr fontId="2" type="noConversion"/>
  </si>
  <si>
    <t>총 대수</t>
    <phoneticPr fontId="2" type="noConversion"/>
  </si>
  <si>
    <t>동</t>
    <phoneticPr fontId="13" type="noConversion"/>
  </si>
  <si>
    <t>층수</t>
    <phoneticPr fontId="13" type="noConversion"/>
  </si>
  <si>
    <t>값</t>
    <phoneticPr fontId="13" type="noConversion"/>
  </si>
  <si>
    <t>비고</t>
    <phoneticPr fontId="13" type="noConversion"/>
  </si>
  <si>
    <t>계</t>
    <phoneticPr fontId="13" type="noConversion"/>
  </si>
  <si>
    <t>호수</t>
    <phoneticPr fontId="13" type="noConversion"/>
  </si>
  <si>
    <t xml:space="preserve">최상층 </t>
    <phoneticPr fontId="2" type="noConversion"/>
  </si>
  <si>
    <t>연장</t>
    <phoneticPr fontId="2" type="noConversion"/>
  </si>
  <si>
    <t>합계</t>
    <phoneticPr fontId="2" type="noConversion"/>
  </si>
  <si>
    <t>길이(m)</t>
    <phoneticPr fontId="2" type="noConversion"/>
  </si>
  <si>
    <t xml:space="preserve">기초 - </t>
    <phoneticPr fontId="2" type="noConversion"/>
  </si>
  <si>
    <t xml:space="preserve">지하 - </t>
    <phoneticPr fontId="2" type="noConversion"/>
  </si>
  <si>
    <t xml:space="preserve">1층 - </t>
    <phoneticPr fontId="2" type="noConversion"/>
  </si>
  <si>
    <t xml:space="preserve">기준 - </t>
    <phoneticPr fontId="2" type="noConversion"/>
  </si>
  <si>
    <t xml:space="preserve">최상 - </t>
    <phoneticPr fontId="2" type="noConversion"/>
  </si>
  <si>
    <t xml:space="preserve">옥탑 - </t>
    <phoneticPr fontId="2" type="noConversion"/>
  </si>
  <si>
    <t xml:space="preserve">기준층 - </t>
    <phoneticPr fontId="2" type="noConversion"/>
  </si>
  <si>
    <t xml:space="preserve">최상층 - </t>
    <phoneticPr fontId="2" type="noConversion"/>
  </si>
  <si>
    <t>층       수</t>
    <phoneticPr fontId="10" type="noConversion"/>
  </si>
  <si>
    <t>적용계수</t>
    <phoneticPr fontId="2" type="noConversion"/>
  </si>
  <si>
    <t>최상층</t>
    <phoneticPr fontId="12" type="noConversion"/>
  </si>
  <si>
    <t>옥탑</t>
    <phoneticPr fontId="2" type="noConversion"/>
  </si>
  <si>
    <t>저속싱글</t>
    <phoneticPr fontId="2" type="noConversion"/>
  </si>
  <si>
    <t>고속트윈</t>
    <phoneticPr fontId="2" type="noConversion"/>
  </si>
  <si>
    <t>합      계</t>
    <phoneticPr fontId="2" type="noConversion"/>
  </si>
  <si>
    <t>2 기타장비 임대 및 설치해체</t>
    <phoneticPr fontId="2" type="noConversion"/>
  </si>
  <si>
    <t>라인
(세대)</t>
    <phoneticPr fontId="2" type="noConversion"/>
  </si>
  <si>
    <t>라인
(세대)</t>
    <phoneticPr fontId="2" type="noConversion"/>
  </si>
  <si>
    <t>명  칭</t>
    <phoneticPr fontId="17" type="noConversion"/>
  </si>
  <si>
    <t>수 량</t>
    <phoneticPr fontId="20" type="noConversion"/>
  </si>
  <si>
    <t>재료비</t>
    <phoneticPr fontId="2" type="noConversion"/>
  </si>
  <si>
    <t>노무비</t>
    <phoneticPr fontId="2" type="noConversion"/>
  </si>
  <si>
    <t>단  가</t>
    <phoneticPr fontId="2" type="noConversion"/>
  </si>
  <si>
    <t>소     계</t>
    <phoneticPr fontId="17" type="noConversion"/>
  </si>
  <si>
    <t>합     계</t>
    <phoneticPr fontId="20" type="noConversion"/>
  </si>
  <si>
    <t>안방발코니</t>
  </si>
  <si>
    <t>안방발코니</t>
    <phoneticPr fontId="2" type="noConversion"/>
  </si>
  <si>
    <t xml:space="preserve">저속  </t>
  </si>
  <si>
    <t>1~2호</t>
    <phoneticPr fontId="2" type="noConversion"/>
  </si>
  <si>
    <t>3~4호</t>
    <phoneticPr fontId="2" type="noConversion"/>
  </si>
  <si>
    <t>현설포함내용</t>
  </si>
  <si>
    <t>인버터방식, 케이지 부착형 내민발판</t>
  </si>
  <si>
    <t>양면형</t>
  </si>
  <si>
    <t>1~3호</t>
    <phoneticPr fontId="2" type="noConversion"/>
  </si>
  <si>
    <t>중속싱글</t>
    <phoneticPr fontId="2" type="noConversion"/>
  </si>
  <si>
    <t>중속싱글</t>
    <phoneticPr fontId="2" type="noConversion"/>
  </si>
  <si>
    <t>2026년</t>
    <phoneticPr fontId="2" type="noConversion"/>
  </si>
  <si>
    <t>1~2호</t>
    <phoneticPr fontId="2" type="noConversion"/>
  </si>
  <si>
    <t>3~4호</t>
    <phoneticPr fontId="2" type="noConversion"/>
  </si>
  <si>
    <t>1~3호</t>
    <phoneticPr fontId="2" type="noConversion"/>
  </si>
  <si>
    <t>1~3호</t>
    <phoneticPr fontId="2" type="noConversion"/>
  </si>
  <si>
    <t>1~2호</t>
    <phoneticPr fontId="2" type="noConversion"/>
  </si>
  <si>
    <t>3~4호</t>
    <phoneticPr fontId="2" type="noConversion"/>
  </si>
  <si>
    <t>중속싱글
인버터방식</t>
    <phoneticPr fontId="2" type="noConversion"/>
  </si>
  <si>
    <t>□ 1~2호 코어(23층)</t>
    <phoneticPr fontId="2" type="noConversion"/>
  </si>
  <si>
    <t>중속싱글</t>
  </si>
  <si>
    <t>중속싱글</t>
    <phoneticPr fontId="13" type="noConversion"/>
  </si>
  <si>
    <t>중속싱글
인버터방식</t>
    <phoneticPr fontId="2" type="noConversion"/>
  </si>
  <si>
    <t>건설용리프트 임대개월</t>
  </si>
  <si>
    <t>3.0m</t>
    <phoneticPr fontId="2" type="noConversion"/>
  </si>
  <si>
    <t>설치 높이</t>
    <phoneticPr fontId="2" type="noConversion"/>
  </si>
  <si>
    <t>지층</t>
    <phoneticPr fontId="2" type="noConversion"/>
  </si>
  <si>
    <t>기준층</t>
    <phoneticPr fontId="2" type="noConversion"/>
  </si>
  <si>
    <t>최상층</t>
    <phoneticPr fontId="2" type="noConversion"/>
  </si>
  <si>
    <t>연장</t>
    <phoneticPr fontId="2" type="noConversion"/>
  </si>
  <si>
    <t>값</t>
    <phoneticPr fontId="2" type="noConversion"/>
  </si>
  <si>
    <t>설치높이</t>
    <phoneticPr fontId="2" type="noConversion"/>
  </si>
  <si>
    <t>층수</t>
    <phoneticPr fontId="2" type="noConversion"/>
  </si>
  <si>
    <t>자동개폐장치</t>
  </si>
  <si>
    <t>소운반포함</t>
  </si>
  <si>
    <t>★건설용리프트 해체시기: 동별 골조완료+4개월</t>
    <phoneticPr fontId="2" type="noConversion"/>
  </si>
  <si>
    <t>101동</t>
    <phoneticPr fontId="2" type="noConversion"/>
  </si>
  <si>
    <t>102동</t>
    <phoneticPr fontId="2" type="noConversion"/>
  </si>
  <si>
    <t>103동</t>
    <phoneticPr fontId="2" type="noConversion"/>
  </si>
  <si>
    <t>104동</t>
    <phoneticPr fontId="2" type="noConversion"/>
  </si>
  <si>
    <t>4~5호</t>
    <phoneticPr fontId="2" type="noConversion"/>
  </si>
  <si>
    <t>1~3호</t>
    <phoneticPr fontId="2" type="noConversion"/>
  </si>
  <si>
    <t>4~5호</t>
    <phoneticPr fontId="2" type="noConversion"/>
  </si>
  <si>
    <t>■ 현장명 : 부산장안</t>
    <phoneticPr fontId="2" type="noConversion"/>
  </si>
  <si>
    <t>건설용 리프트 설치계획 및 주변현황도</t>
    <phoneticPr fontId="2" type="noConversion"/>
  </si>
  <si>
    <t>부산장안</t>
    <phoneticPr fontId="3" type="noConversion"/>
  </si>
  <si>
    <t>3~4호</t>
    <phoneticPr fontId="2" type="noConversion"/>
  </si>
  <si>
    <t>1층</t>
    <phoneticPr fontId="2" type="noConversion"/>
  </si>
  <si>
    <t>합        계</t>
    <phoneticPr fontId="2" type="noConversion"/>
  </si>
  <si>
    <t>2027년</t>
    <phoneticPr fontId="2" type="noConversion"/>
  </si>
  <si>
    <t>□ 101동 입면도 (정면도)</t>
    <phoneticPr fontId="2" type="noConversion"/>
  </si>
  <si>
    <t>□ 1~3호 코어(24층)</t>
    <phoneticPr fontId="2" type="noConversion"/>
  </si>
  <si>
    <t>□ 4~5호 코어(24층)</t>
    <phoneticPr fontId="2" type="noConversion"/>
  </si>
  <si>
    <t xml:space="preserve">1층 - </t>
    <phoneticPr fontId="12" type="noConversion"/>
  </si>
  <si>
    <t xml:space="preserve">저층부(1층) </t>
    <phoneticPr fontId="2" type="noConversion"/>
  </si>
  <si>
    <t xml:space="preserve">기준층(2~23층) </t>
    <phoneticPr fontId="2" type="noConversion"/>
  </si>
  <si>
    <t>건설용리프트
임대기간</t>
    <phoneticPr fontId="2" type="noConversion"/>
  </si>
  <si>
    <t>□ 102동 입면도 (정면도)</t>
    <phoneticPr fontId="2" type="noConversion"/>
  </si>
  <si>
    <t>□ 103동 입면도 (정면도)</t>
    <phoneticPr fontId="2" type="noConversion"/>
  </si>
  <si>
    <t>□ 104동 입면도 (정면도)</t>
    <phoneticPr fontId="2" type="noConversion"/>
  </si>
  <si>
    <t>2.88m*22층</t>
    <phoneticPr fontId="2" type="noConversion"/>
  </si>
  <si>
    <t>3.08m*1층</t>
    <phoneticPr fontId="2" type="noConversion"/>
  </si>
  <si>
    <t>1.6m</t>
    <phoneticPr fontId="2" type="noConversion"/>
  </si>
  <si>
    <t>□ 4~5호 코어(22층)</t>
    <phoneticPr fontId="2" type="noConversion"/>
  </si>
  <si>
    <t xml:space="preserve">기준층(2~21층) </t>
    <phoneticPr fontId="2" type="noConversion"/>
  </si>
  <si>
    <t>2.88m*20층</t>
    <phoneticPr fontId="2" type="noConversion"/>
  </si>
  <si>
    <t>3.08m*3층</t>
    <phoneticPr fontId="2" type="noConversion"/>
  </si>
  <si>
    <t>2.88m*23층</t>
    <phoneticPr fontId="2" type="noConversion"/>
  </si>
  <si>
    <t xml:space="preserve">기준층(2~24층) </t>
    <phoneticPr fontId="2" type="noConversion"/>
  </si>
  <si>
    <t>□ 1~2호 코어(25층)</t>
    <phoneticPr fontId="2" type="noConversion"/>
  </si>
  <si>
    <t>□ 4~5호 코어(25층)</t>
    <phoneticPr fontId="2" type="noConversion"/>
  </si>
  <si>
    <t>□ 3~4호 코어(23층)</t>
    <phoneticPr fontId="2" type="noConversion"/>
  </si>
  <si>
    <t xml:space="preserve">기준층(2~22층) </t>
    <phoneticPr fontId="2" type="noConversion"/>
  </si>
  <si>
    <t>2.88m*21층</t>
    <phoneticPr fontId="2" type="noConversion"/>
  </si>
  <si>
    <t>1.6(지층)+3.08*1(1층)+2.88*22(기준층)+3.08(최상층)+3.0(연장)</t>
    <phoneticPr fontId="2" type="noConversion"/>
  </si>
  <si>
    <t>1.6(지층)+3.08*1(1층)+2.88*20(기준층)+3.08(최상층)+3.0(연장)</t>
    <phoneticPr fontId="2" type="noConversion"/>
  </si>
  <si>
    <t>1.6(지층)+3.08*1(1층)+2.88*23(기준층)+3.08(최상층)+3.0(연장)</t>
    <phoneticPr fontId="2" type="noConversion"/>
  </si>
  <si>
    <t>2025년  11월     일</t>
    <phoneticPr fontId="3" type="noConversion"/>
  </si>
  <si>
    <t xml:space="preserve">       년       월       일</t>
    <phoneticPr fontId="3" type="noConversion"/>
  </si>
  <si>
    <t>중속싱글&lt;임대료&gt;</t>
  </si>
  <si>
    <t>건설용 리프트 임대료(중속)</t>
  </si>
  <si>
    <t>중속싱글&lt;공사비&gt;</t>
  </si>
  <si>
    <t>해체비(중속)</t>
  </si>
  <si>
    <t>운반비</t>
  </si>
  <si>
    <t>무인운행 설,해체비</t>
  </si>
  <si>
    <t>비상통화장치</t>
  </si>
  <si>
    <t>건설용 리프트 임대,설치,해체공사</t>
  </si>
  <si>
    <t>[부산장안] 건설용 리프트 임대, 설치, 해체 내역서</t>
    <phoneticPr fontId="17" type="noConversion"/>
  </si>
  <si>
    <t>70m/min 이상</t>
  </si>
  <si>
    <t>지게차</t>
  </si>
  <si>
    <t>SET</t>
    <phoneticPr fontId="2" type="noConversion"/>
  </si>
  <si>
    <t>지층</t>
    <phoneticPr fontId="2" type="noConversion"/>
  </si>
  <si>
    <t xml:space="preserve">저층부(PIT) </t>
    <phoneticPr fontId="2" type="noConversion"/>
  </si>
  <si>
    <t>3.0*1층</t>
    <phoneticPr fontId="2" type="noConversion"/>
  </si>
  <si>
    <t>장비비</t>
    <phoneticPr fontId="2" type="noConversion"/>
  </si>
  <si>
    <t>2025년</t>
    <phoneticPr fontId="2" type="noConversion"/>
  </si>
  <si>
    <t>8.75(지층)+3.08*1(1층)+2.88*22(기준층)+3.08(최상층)+3.0(연장)</t>
    <phoneticPr fontId="13" type="noConversion"/>
  </si>
  <si>
    <t>8.75(지층)+3.08*1(1층))+2.88*22(기준층)+3.08(최상층)+3.0(연장)</t>
    <phoneticPr fontId="2" type="noConversion"/>
  </si>
  <si>
    <t>8.75m</t>
    <phoneticPr fontId="2" type="noConversion"/>
  </si>
  <si>
    <t>7.85m</t>
    <phoneticPr fontId="2" type="noConversion"/>
  </si>
  <si>
    <t>5.15m</t>
    <phoneticPr fontId="2" type="noConversion"/>
  </si>
  <si>
    <t>7.85(지층)+3.0*1(PIT)+2.88*21(기준층)+3.08(최상층)+3.0(연장)</t>
    <phoneticPr fontId="2" type="noConversion"/>
  </si>
  <si>
    <t>5.15(지층)+3.0*1(PIT)+2.88*21(기준층)+3.08(최상층)+3.0(연장)</t>
    <phoneticPr fontId="2" type="noConversion"/>
  </si>
  <si>
    <t>[ 공 종 명 ] 건설용 리프트 임대 설치, 해체</t>
    <phoneticPr fontId="2" type="noConversion"/>
  </si>
  <si>
    <t>■ 부산장안</t>
    <phoneticPr fontId="2" type="noConversion"/>
  </si>
  <si>
    <t>건설용 리프트 임대기간</t>
    <phoneticPr fontId="2" type="noConversion"/>
  </si>
  <si>
    <t>[ 건설용 리프트 임대기간 산정 ]</t>
    <phoneticPr fontId="2" type="noConversion"/>
  </si>
  <si>
    <t>1. 건설용 리프트 임대기간 산정</t>
    <phoneticPr fontId="2" type="noConversion"/>
  </si>
  <si>
    <t>건설용 리프트 설치높이 산정</t>
    <phoneticPr fontId="2" type="noConversion"/>
  </si>
  <si>
    <t>·</t>
    <phoneticPr fontId="2" type="noConversion"/>
  </si>
  <si>
    <t>건설용 리프트 임대·설치·해체 공사 발주의뢰서</t>
    <phoneticPr fontId="3" type="noConversion"/>
  </si>
  <si>
    <t>세대출입용 경사로발판</t>
    <phoneticPr fontId="2" type="noConversion"/>
  </si>
  <si>
    <t>비접촉형(기계식 일체형)</t>
    <phoneticPr fontId="2" type="noConversion"/>
  </si>
  <si>
    <t>건설용 리프트 방호선반</t>
    <phoneticPr fontId="2" type="noConversion"/>
  </si>
  <si>
    <t>분합문 보호덮개 포함(2회 설치)</t>
    <phoneticPr fontId="2" type="noConversion"/>
  </si>
  <si>
    <t>설치비(중속)</t>
    <phoneticPr fontId="2" type="noConversion"/>
  </si>
  <si>
    <t>단 위</t>
    <phoneticPr fontId="2" type="noConversion"/>
  </si>
  <si>
    <t>단 가</t>
    <phoneticPr fontId="2" type="noConversion"/>
  </si>
  <si>
    <t>금 액</t>
    <phoneticPr fontId="2" type="noConversion"/>
  </si>
  <si>
    <t>금  액</t>
    <phoneticPr fontId="2" type="noConversion"/>
  </si>
  <si>
    <t>합 계</t>
  </si>
  <si>
    <t>경  비</t>
    <phoneticPr fontId="2" type="noConversion"/>
  </si>
  <si>
    <t>합  계</t>
    <phoneticPr fontId="17" type="noConversion"/>
  </si>
  <si>
    <t>비  고</t>
    <phoneticPr fontId="2" type="noConversion"/>
  </si>
  <si>
    <t>(2025.11)</t>
    <phoneticPr fontId="2" type="noConversion"/>
  </si>
  <si>
    <r>
      <t xml:space="preserve">※ 총 공기 기준 </t>
    </r>
    <r>
      <rPr>
        <sz val="11"/>
        <rFont val="굴림"/>
        <family val="3"/>
        <charset val="129"/>
      </rPr>
      <t>(단위: 일)</t>
    </r>
    <phoneticPr fontId="2" type="noConversion"/>
  </si>
  <si>
    <t>건설용
리프트
임대기간</t>
    <phoneticPr fontId="2" type="noConversion"/>
  </si>
  <si>
    <t>비 고</t>
    <phoneticPr fontId="13" type="noConversion"/>
  </si>
  <si>
    <t>높이 산정</t>
    <phoneticPr fontId="13" type="noConversion"/>
  </si>
  <si>
    <t>설치 위치</t>
    <phoneticPr fontId="13" type="noConversion"/>
  </si>
  <si>
    <t>층 수</t>
    <phoneticPr fontId="13" type="noConversion"/>
  </si>
  <si>
    <t>호 수</t>
    <phoneticPr fontId="13" type="noConversion"/>
  </si>
  <si>
    <t>1~4F,
최상층 제외</t>
    <phoneticPr fontId="10" type="noConversion"/>
  </si>
  <si>
    <t>호이스트 기초는 동별로 상이함(참조, 설치높이 산정)</t>
    <phoneticPr fontId="2" type="noConversion"/>
  </si>
  <si>
    <t>구 분</t>
  </si>
  <si>
    <t>산 식</t>
  </si>
  <si>
    <t>산 식</t>
    <phoneticPr fontId="2" type="noConversion"/>
  </si>
  <si>
    <t>길 이(m)</t>
  </si>
  <si>
    <t>길 이(m)</t>
    <phoneticPr fontId="2" type="noConversion"/>
  </si>
  <si>
    <t>합 계</t>
    <phoneticPr fontId="2" type="noConversion"/>
  </si>
  <si>
    <t>코 어</t>
    <phoneticPr fontId="2" type="noConversion"/>
  </si>
  <si>
    <t>층 수</t>
    <phoneticPr fontId="2" type="noConversion"/>
  </si>
  <si>
    <t>규 격</t>
    <phoneticPr fontId="2" type="noConversion"/>
  </si>
  <si>
    <t>대 수</t>
    <phoneticPr fontId="2" type="noConversion"/>
  </si>
  <si>
    <t>첨부1. 건설용 리프트 방호선반</t>
    <phoneticPr fontId="2" type="noConversion"/>
  </si>
  <si>
    <t>첨부2. 건설용 리프트 입찰 기준 개선(안)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</si>
</sst>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#,##0\ &quot;일,&quot;"/>
    <numFmt numFmtId="177" formatCode="#,##0\ &quot;일&quot;"/>
    <numFmt numFmtId="178" formatCode="#,##0&quot;층&quot;"/>
    <numFmt numFmtId="179" formatCode="0.0_);[Red]\(0.0\)"/>
    <numFmt numFmtId="180" formatCode="0_);[Red]\(0\)"/>
    <numFmt numFmtId="181" formatCode="0.0"/>
    <numFmt numFmtId="182" formatCode="#&quot;월&quot;"/>
    <numFmt numFmtId="183" formatCode="_-* #,##0.0_-;\-* #,##0.0_-;_-* &quot;-&quot;_-;_-@_-"/>
    <numFmt numFmtId="184" formatCode="&quot;(호이스트 기초 : 1층바닥 - &quot;#,##0&quot; )&quot;"/>
    <numFmt numFmtId="185" formatCode="#,##0_);[Red]\(#,##0\)"/>
    <numFmt numFmtId="186" formatCode="#,##0_ "/>
    <numFmt numFmtId="187" formatCode="&quot;공사비의&quot;\ ##,##0.00%"/>
    <numFmt numFmtId="188" formatCode="0.0%"/>
    <numFmt numFmtId="189" formatCode="_-* #,##0.00_-;\-* #,##0.00_-;_-* &quot;-&quot;_-;_-@_-"/>
  </numFmts>
  <fonts count="47">
    <font>
      <sz val="11"/>
      <color theme="1"/>
      <name val="돋움"/>
      <family val="3"/>
      <charset val="129"/>
    </font>
    <font>
      <b/>
      <sz val="28"/>
      <name val="굴림"/>
      <family val="3"/>
      <charset val="129"/>
    </font>
    <font>
      <sz val="8"/>
      <name val="돋움"/>
      <family val="3"/>
      <charset val="129"/>
    </font>
    <font>
      <sz val="8"/>
      <name val="가는각진제목체"/>
      <family val="1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6"/>
      <name val="굴림"/>
      <family val="3"/>
      <charset val="129"/>
    </font>
    <font>
      <sz val="12"/>
      <name val="굴림"/>
      <family val="3"/>
      <charset val="129"/>
    </font>
    <font>
      <b/>
      <sz val="24"/>
      <name val="굴림"/>
      <family val="3"/>
      <charset val="129"/>
    </font>
    <font>
      <b/>
      <sz val="22"/>
      <name val="굴림"/>
      <family val="3"/>
      <charset val="129"/>
    </font>
    <font>
      <sz val="8"/>
      <name val="가는으뜸체"/>
      <family val="1"/>
      <charset val="129"/>
    </font>
    <font>
      <b/>
      <sz val="10"/>
      <name val="굴림"/>
      <family val="3"/>
      <charset val="129"/>
    </font>
    <font>
      <sz val="8"/>
      <name val="굴림"/>
      <family val="2"/>
      <charset val="129"/>
    </font>
    <font>
      <sz val="8"/>
      <name val="맑은 고딕"/>
      <family val="2"/>
      <charset val="129"/>
      <scheme val="minor"/>
    </font>
    <font>
      <b/>
      <sz val="15"/>
      <name val="굴림"/>
      <family val="3"/>
      <charset val="129"/>
    </font>
    <font>
      <sz val="11"/>
      <name val="돋움"/>
      <family val="3"/>
      <charset val="129"/>
    </font>
    <font>
      <b/>
      <sz val="20"/>
      <color indexed="8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굴림"/>
      <family val="3"/>
      <charset val="129"/>
    </font>
    <font>
      <sz val="12"/>
      <name val="바탕체"/>
      <family val="1"/>
      <charset val="129"/>
    </font>
    <font>
      <sz val="11"/>
      <name val="가는각진제목체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FF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10"/>
      <color theme="1"/>
      <name val="굴림"/>
      <family val="3"/>
      <charset val="129"/>
    </font>
    <font>
      <b/>
      <sz val="20"/>
      <name val="굴림"/>
      <family val="3"/>
      <charset val="129"/>
    </font>
    <font>
      <b/>
      <sz val="2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u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00FF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1.5"/>
      <color rgb="FFFF0000"/>
      <name val="굴림"/>
      <family val="3"/>
      <charset val="129"/>
    </font>
    <font>
      <b/>
      <sz val="10"/>
      <color rgb="FFFF6699"/>
      <name val="굴림"/>
      <family val="3"/>
      <charset val="129"/>
    </font>
    <font>
      <sz val="9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6"/>
      <color rgb="FFFF6699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8"/>
      <name val="굴림"/>
      <family val="3"/>
      <charset val="129"/>
    </font>
    <font>
      <b/>
      <sz val="16"/>
      <color rgb="FFFF0000"/>
      <name val="굴림"/>
      <family val="3"/>
      <charset val="129"/>
    </font>
    <font>
      <sz val="16"/>
      <color theme="1"/>
      <name val="굴림"/>
      <family val="3"/>
      <charset val="129"/>
    </font>
    <font>
      <b/>
      <sz val="11"/>
      <color theme="1"/>
      <name val="돋움"/>
      <family val="3"/>
      <charset val="129"/>
    </font>
    <font>
      <b/>
      <sz val="16"/>
      <color theme="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FFCC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/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hair">
        <color theme="1"/>
      </right>
      <top style="thin">
        <color theme="1"/>
      </top>
      <bottom style="medium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 style="thin">
        <color theme="1"/>
      </top>
      <bottom style="hair">
        <color theme="1"/>
      </bottom>
      <diagonal/>
    </border>
    <border>
      <left style="medium">
        <color auto="1"/>
      </left>
      <right/>
      <top style="thin">
        <color theme="1"/>
      </top>
      <bottom style="hair">
        <color indexed="64"/>
      </bottom>
      <diagonal/>
    </border>
    <border>
      <left/>
      <right style="medium">
        <color theme="1"/>
      </right>
      <top style="thin">
        <color theme="1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hair">
        <color theme="1"/>
      </top>
      <bottom style="hair">
        <color theme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auto="1"/>
      </top>
      <bottom style="hair">
        <color auto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hair">
        <color theme="1"/>
      </bottom>
      <diagonal/>
    </border>
    <border>
      <left/>
      <right style="medium">
        <color auto="1"/>
      </right>
      <top style="thin">
        <color theme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hair">
        <color theme="1"/>
      </top>
      <bottom/>
      <diagonal/>
    </border>
    <border>
      <left style="medium">
        <color theme="1"/>
      </left>
      <right style="thin">
        <color theme="1"/>
      </right>
      <top/>
      <bottom style="hair">
        <color theme="1"/>
      </bottom>
      <diagonal/>
    </border>
    <border>
      <left/>
      <right style="thin">
        <color auto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thin">
        <color theme="1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n">
        <color auto="1"/>
      </left>
      <right style="thick">
        <color rgb="FFFF0000"/>
      </right>
      <top style="thin">
        <color theme="1"/>
      </top>
      <bottom style="medium">
        <color auto="1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medium">
        <color auto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hair">
        <color theme="1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9">
    <xf numFmtId="0" fontId="0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</cellStyleXfs>
  <cellXfs count="3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textRotation="255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3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1" fontId="5" fillId="0" borderId="0" xfId="0" applyNumberFormat="1" applyFont="1">
      <alignment vertical="center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3" applyFont="1" applyFill="1" applyAlignment="1">
      <alignment vertical="center"/>
    </xf>
    <xf numFmtId="0" fontId="11" fillId="12" borderId="66" xfId="3" applyFont="1" applyFill="1" applyBorder="1" applyAlignment="1">
      <alignment vertical="center"/>
    </xf>
    <xf numFmtId="0" fontId="4" fillId="12" borderId="66" xfId="3" applyFont="1" applyFill="1" applyBorder="1" applyAlignment="1">
      <alignment horizontal="center" vertical="center"/>
    </xf>
    <xf numFmtId="41" fontId="4" fillId="12" borderId="66" xfId="1" applyFont="1" applyFill="1" applyBorder="1" applyAlignment="1">
      <alignment horizontal="right" vertical="center"/>
    </xf>
    <xf numFmtId="3" fontId="4" fillId="12" borderId="66" xfId="3" applyNumberFormat="1" applyFont="1" applyFill="1" applyBorder="1" applyAlignment="1">
      <alignment horizontal="center" vertical="center" shrinkToFit="1"/>
    </xf>
    <xf numFmtId="0" fontId="11" fillId="12" borderId="66" xfId="3" applyFont="1" applyFill="1" applyBorder="1" applyAlignment="1">
      <alignment horizontal="center" vertical="center"/>
    </xf>
    <xf numFmtId="0" fontId="4" fillId="0" borderId="103" xfId="0" applyFont="1" applyBorder="1">
      <alignment vertical="center"/>
    </xf>
    <xf numFmtId="0" fontId="11" fillId="0" borderId="66" xfId="3" applyFont="1" applyFill="1" applyBorder="1" applyAlignment="1">
      <alignment vertical="center"/>
    </xf>
    <xf numFmtId="0" fontId="4" fillId="0" borderId="66" xfId="3" applyFont="1" applyFill="1" applyBorder="1" applyAlignment="1">
      <alignment vertical="center"/>
    </xf>
    <xf numFmtId="0" fontId="4" fillId="0" borderId="66" xfId="3" applyFont="1" applyFill="1" applyBorder="1" applyAlignment="1">
      <alignment horizontal="center" vertical="center"/>
    </xf>
    <xf numFmtId="4" fontId="4" fillId="0" borderId="66" xfId="3" applyNumberFormat="1" applyFont="1" applyFill="1" applyBorder="1" applyAlignment="1">
      <alignment horizontal="right" vertical="center"/>
    </xf>
    <xf numFmtId="3" fontId="4" fillId="0" borderId="66" xfId="3" applyNumberFormat="1" applyFont="1" applyFill="1" applyBorder="1" applyAlignment="1">
      <alignment horizontal="right" vertical="center"/>
    </xf>
    <xf numFmtId="3" fontId="4" fillId="0" borderId="66" xfId="3" applyNumberFormat="1" applyFont="1" applyFill="1" applyBorder="1" applyAlignment="1">
      <alignment horizontal="center" vertical="center" shrinkToFit="1"/>
    </xf>
    <xf numFmtId="41" fontId="11" fillId="0" borderId="66" xfId="1" applyFont="1" applyFill="1" applyBorder="1" applyAlignment="1">
      <alignment horizontal="center" vertical="center" shrinkToFit="1"/>
    </xf>
    <xf numFmtId="41" fontId="11" fillId="0" borderId="66" xfId="1" applyFont="1" applyFill="1" applyBorder="1" applyAlignment="1">
      <alignment horizontal="center" vertical="center"/>
    </xf>
    <xf numFmtId="0" fontId="11" fillId="0" borderId="66" xfId="0" applyFont="1" applyBorder="1" applyAlignment="1">
      <alignment horizontal="center" vertical="center" shrinkToFit="1"/>
    </xf>
    <xf numFmtId="41" fontId="4" fillId="0" borderId="66" xfId="0" applyNumberFormat="1" applyFont="1" applyBorder="1" applyAlignment="1">
      <alignment horizontal="left" vertical="center" shrinkToFit="1"/>
    </xf>
    <xf numFmtId="41" fontId="4" fillId="0" borderId="66" xfId="0" applyNumberFormat="1" applyFont="1" applyBorder="1" applyAlignment="1">
      <alignment horizontal="center" vertical="center" shrinkToFit="1"/>
    </xf>
    <xf numFmtId="41" fontId="4" fillId="0" borderId="66" xfId="0" applyNumberFormat="1" applyFont="1" applyBorder="1" applyAlignment="1">
      <alignment vertical="center" shrinkToFit="1"/>
    </xf>
    <xf numFmtId="0" fontId="11" fillId="7" borderId="66" xfId="3" applyFont="1" applyFill="1" applyBorder="1" applyAlignment="1">
      <alignment horizontal="center" vertical="center"/>
    </xf>
    <xf numFmtId="187" fontId="11" fillId="7" borderId="66" xfId="2" applyNumberFormat="1" applyFont="1" applyFill="1" applyBorder="1" applyAlignment="1">
      <alignment horizontal="center" vertical="center" shrinkToFit="1"/>
    </xf>
    <xf numFmtId="0" fontId="4" fillId="7" borderId="66" xfId="3" applyFont="1" applyFill="1" applyBorder="1" applyAlignment="1">
      <alignment horizontal="center" vertical="center"/>
    </xf>
    <xf numFmtId="41" fontId="4" fillId="7" borderId="66" xfId="3" applyNumberFormat="1" applyFont="1" applyFill="1" applyBorder="1" applyAlignment="1">
      <alignment horizontal="center" vertical="center"/>
    </xf>
    <xf numFmtId="188" fontId="11" fillId="7" borderId="66" xfId="0" applyNumberFormat="1" applyFont="1" applyFill="1" applyBorder="1" applyAlignment="1">
      <alignment horizontal="center" vertical="center" shrinkToFit="1"/>
    </xf>
    <xf numFmtId="183" fontId="19" fillId="0" borderId="0" xfId="1" applyNumberFormat="1" applyFont="1">
      <alignment vertical="center"/>
    </xf>
    <xf numFmtId="183" fontId="19" fillId="0" borderId="0" xfId="0" applyNumberFormat="1" applyFont="1">
      <alignment vertical="center"/>
    </xf>
    <xf numFmtId="41" fontId="23" fillId="0" borderId="66" xfId="0" applyNumberFormat="1" applyFont="1" applyBorder="1" applyAlignment="1">
      <alignment vertical="center" shrinkToFit="1"/>
    </xf>
    <xf numFmtId="41" fontId="24" fillId="0" borderId="66" xfId="1" applyFont="1" applyFill="1" applyBorder="1" applyAlignment="1">
      <alignment horizontal="center" vertical="center"/>
    </xf>
    <xf numFmtId="41" fontId="24" fillId="7" borderId="66" xfId="1" applyFont="1" applyFill="1" applyBorder="1" applyAlignment="1">
      <alignment horizontal="center" vertical="center"/>
    </xf>
    <xf numFmtId="189" fontId="19" fillId="0" borderId="0" xfId="1" applyNumberFormat="1" applyFont="1">
      <alignment vertical="center"/>
    </xf>
    <xf numFmtId="189" fontId="19" fillId="0" borderId="0" xfId="0" applyNumberFormat="1" applyFont="1">
      <alignment vertical="center"/>
    </xf>
    <xf numFmtId="41" fontId="4" fillId="8" borderId="66" xfId="0" applyNumberFormat="1" applyFont="1" applyFill="1" applyBorder="1" applyAlignment="1">
      <alignment vertical="center" wrapText="1" shrinkToFit="1"/>
    </xf>
    <xf numFmtId="41" fontId="4" fillId="0" borderId="66" xfId="0" applyNumberFormat="1" applyFont="1" applyBorder="1" applyAlignment="1">
      <alignment horizontal="left" vertical="center" wrapText="1" shrinkToFit="1"/>
    </xf>
    <xf numFmtId="41" fontId="4" fillId="0" borderId="66" xfId="0" applyNumberFormat="1" applyFont="1" applyBorder="1" applyAlignment="1">
      <alignment horizontal="center" vertical="center"/>
    </xf>
    <xf numFmtId="41" fontId="25" fillId="0" borderId="112" xfId="0" applyNumberFormat="1" applyFont="1" applyBorder="1" applyAlignment="1">
      <alignment vertical="center" shrinkToFit="1"/>
    </xf>
    <xf numFmtId="41" fontId="4" fillId="8" borderId="66" xfId="0" applyNumberFormat="1" applyFont="1" applyFill="1" applyBorder="1" applyAlignment="1">
      <alignment horizontal="center" vertical="center" shrinkToFit="1"/>
    </xf>
    <xf numFmtId="41" fontId="23" fillId="8" borderId="66" xfId="0" applyNumberFormat="1" applyFont="1" applyFill="1" applyBorder="1" applyAlignment="1">
      <alignment vertical="center" shrinkToFit="1"/>
    </xf>
    <xf numFmtId="41" fontId="25" fillId="8" borderId="66" xfId="0" applyNumberFormat="1" applyFont="1" applyFill="1" applyBorder="1" applyAlignment="1">
      <alignment vertical="center" shrinkToFit="1"/>
    </xf>
    <xf numFmtId="41" fontId="4" fillId="8" borderId="66" xfId="0" applyNumberFormat="1" applyFont="1" applyFill="1" applyBorder="1" applyAlignment="1">
      <alignment vertical="center" shrinkToFit="1"/>
    </xf>
    <xf numFmtId="41" fontId="11" fillId="7" borderId="66" xfId="1" applyFont="1" applyFill="1" applyBorder="1" applyAlignment="1">
      <alignment horizontal="center" vertical="center"/>
    </xf>
    <xf numFmtId="0" fontId="4" fillId="0" borderId="66" xfId="0" quotePrefix="1" applyFont="1" applyBorder="1" applyAlignment="1">
      <alignment horizontal="left" vertical="center" indent="1"/>
    </xf>
    <xf numFmtId="0" fontId="4" fillId="0" borderId="66" xfId="0" applyFont="1" applyBorder="1" applyAlignment="1">
      <alignment horizontal="left" vertical="center" indent="1" shrinkToFit="1"/>
    </xf>
    <xf numFmtId="186" fontId="11" fillId="7" borderId="66" xfId="4" applyNumberFormat="1" applyFont="1" applyFill="1" applyBorder="1" applyAlignment="1">
      <alignment horizontal="center" vertical="center"/>
    </xf>
    <xf numFmtId="0" fontId="11" fillId="3" borderId="66" xfId="0" quotePrefix="1" applyFont="1" applyFill="1" applyBorder="1" applyAlignment="1">
      <alignment horizontal="left" vertical="center" indent="1"/>
    </xf>
    <xf numFmtId="0" fontId="11" fillId="13" borderId="66" xfId="0" quotePrefix="1" applyFont="1" applyFill="1" applyBorder="1" applyAlignment="1">
      <alignment horizontal="left" vertical="center" indent="1"/>
    </xf>
    <xf numFmtId="0" fontId="19" fillId="0" borderId="119" xfId="0" applyFont="1" applyBorder="1" applyAlignment="1">
      <alignment horizontal="center" vertical="center"/>
    </xf>
    <xf numFmtId="182" fontId="29" fillId="7" borderId="119" xfId="0" applyNumberFormat="1" applyFont="1" applyFill="1" applyBorder="1" applyAlignment="1">
      <alignment horizontal="center" vertical="center"/>
    </xf>
    <xf numFmtId="0" fontId="25" fillId="0" borderId="119" xfId="0" applyFont="1" applyBorder="1" applyAlignment="1">
      <alignment horizontal="center" vertical="center"/>
    </xf>
    <xf numFmtId="41" fontId="25" fillId="0" borderId="119" xfId="0" applyNumberFormat="1" applyFont="1" applyBorder="1" applyAlignment="1">
      <alignment horizontal="center" vertical="center"/>
    </xf>
    <xf numFmtId="181" fontId="25" fillId="0" borderId="119" xfId="0" applyNumberFormat="1" applyFont="1" applyBorder="1" applyAlignment="1">
      <alignment horizontal="center" vertical="center"/>
    </xf>
    <xf numFmtId="181" fontId="25" fillId="0" borderId="119" xfId="0" applyNumberFormat="1" applyFont="1" applyBorder="1">
      <alignment vertical="center"/>
    </xf>
    <xf numFmtId="0" fontId="25" fillId="0" borderId="119" xfId="0" applyFont="1" applyBorder="1">
      <alignment vertical="center"/>
    </xf>
    <xf numFmtId="181" fontId="25" fillId="0" borderId="119" xfId="0" applyNumberFormat="1" applyFont="1" applyBorder="1" applyAlignment="1">
      <alignment horizontal="right" vertical="center" indent="1"/>
    </xf>
    <xf numFmtId="0" fontId="25" fillId="11" borderId="119" xfId="0" applyFont="1" applyFill="1" applyBorder="1" applyAlignment="1">
      <alignment horizontal="center" vertical="center"/>
    </xf>
    <xf numFmtId="181" fontId="25" fillId="11" borderId="119" xfId="0" applyNumberFormat="1" applyFont="1" applyFill="1" applyBorder="1" applyAlignment="1">
      <alignment horizontal="right" vertical="center" indent="1"/>
    </xf>
    <xf numFmtId="0" fontId="25" fillId="11" borderId="119" xfId="0" applyFont="1" applyFill="1" applyBorder="1">
      <alignment vertical="center"/>
    </xf>
    <xf numFmtId="0" fontId="25" fillId="0" borderId="0" xfId="0" applyFont="1">
      <alignment vertical="center"/>
    </xf>
    <xf numFmtId="41" fontId="4" fillId="0" borderId="0" xfId="0" applyNumberFormat="1" applyFont="1">
      <alignment vertical="center"/>
    </xf>
    <xf numFmtId="0" fontId="31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shrinkToFit="1"/>
    </xf>
    <xf numFmtId="0" fontId="4" fillId="0" borderId="0" xfId="0" applyFont="1" applyAlignment="1"/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177" fontId="5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shrinkToFit="1"/>
    </xf>
    <xf numFmtId="0" fontId="32" fillId="0" borderId="0" xfId="0" applyFont="1">
      <alignment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3" fontId="5" fillId="2" borderId="0" xfId="0" applyNumberFormat="1" applyFont="1" applyFill="1" applyAlignment="1">
      <alignment horizontal="left" vertical="center" shrinkToFit="1"/>
    </xf>
    <xf numFmtId="3" fontId="5" fillId="2" borderId="0" xfId="0" applyNumberFormat="1" applyFont="1" applyFill="1" applyAlignment="1">
      <alignment horizontal="left" vertical="center"/>
    </xf>
    <xf numFmtId="176" fontId="5" fillId="0" borderId="0" xfId="0" applyNumberFormat="1" applyFont="1" applyAlignment="1">
      <alignment horizontal="right" vertical="center" shrinkToFit="1"/>
    </xf>
    <xf numFmtId="0" fontId="35" fillId="0" borderId="0" xfId="0" applyFont="1" applyAlignment="1"/>
    <xf numFmtId="41" fontId="4" fillId="0" borderId="0" xfId="0" applyNumberFormat="1" applyFont="1" applyAlignment="1">
      <alignment horizontal="center" vertical="center"/>
    </xf>
    <xf numFmtId="0" fontId="31" fillId="3" borderId="34" xfId="0" applyFont="1" applyFill="1" applyBorder="1" applyAlignment="1">
      <alignment horizontal="center" vertical="center"/>
    </xf>
    <xf numFmtId="0" fontId="31" fillId="3" borderId="35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 shrinkToFit="1"/>
    </xf>
    <xf numFmtId="0" fontId="31" fillId="3" borderId="37" xfId="0" applyFont="1" applyFill="1" applyBorder="1" applyAlignment="1">
      <alignment horizontal="center" vertical="center" wrapText="1" shrinkToFit="1"/>
    </xf>
    <xf numFmtId="0" fontId="31" fillId="3" borderId="38" xfId="0" applyFont="1" applyFill="1" applyBorder="1" applyAlignment="1">
      <alignment horizontal="center" vertical="center" wrapText="1" shrinkToFit="1"/>
    </xf>
    <xf numFmtId="0" fontId="31" fillId="3" borderId="39" xfId="0" applyFont="1" applyFill="1" applyBorder="1" applyAlignment="1">
      <alignment horizontal="center" vertical="center" shrinkToFit="1"/>
    </xf>
    <xf numFmtId="0" fontId="31" fillId="3" borderId="41" xfId="0" applyFont="1" applyFill="1" applyBorder="1" applyAlignment="1">
      <alignment horizontal="center" vertical="center" wrapText="1" shrinkToFit="1"/>
    </xf>
    <xf numFmtId="0" fontId="31" fillId="3" borderId="35" xfId="0" applyFont="1" applyFill="1" applyBorder="1" applyAlignment="1">
      <alignment horizontal="center" vertical="center" wrapText="1" shrinkToFit="1"/>
    </xf>
    <xf numFmtId="0" fontId="31" fillId="4" borderId="68" xfId="0" applyFont="1" applyFill="1" applyBorder="1" applyAlignment="1">
      <alignment horizontal="center" vertical="center"/>
    </xf>
    <xf numFmtId="0" fontId="31" fillId="4" borderId="101" xfId="0" applyFont="1" applyFill="1" applyBorder="1" applyAlignment="1">
      <alignment horizontal="center" vertical="center"/>
    </xf>
    <xf numFmtId="0" fontId="31" fillId="4" borderId="73" xfId="0" applyFont="1" applyFill="1" applyBorder="1" applyAlignment="1">
      <alignment horizontal="center" vertical="center"/>
    </xf>
    <xf numFmtId="41" fontId="5" fillId="0" borderId="45" xfId="0" quotePrefix="1" applyNumberFormat="1" applyFont="1" applyBorder="1" applyAlignment="1">
      <alignment horizontal="center" vertical="center"/>
    </xf>
    <xf numFmtId="178" fontId="5" fillId="0" borderId="46" xfId="0" applyNumberFormat="1" applyFont="1" applyBorder="1" applyAlignment="1">
      <alignment horizontal="center" vertical="center" shrinkToFit="1"/>
    </xf>
    <xf numFmtId="178" fontId="5" fillId="8" borderId="47" xfId="0" applyNumberFormat="1" applyFont="1" applyFill="1" applyBorder="1" applyAlignment="1">
      <alignment horizontal="center" vertical="center" shrinkToFit="1"/>
    </xf>
    <xf numFmtId="178" fontId="5" fillId="0" borderId="47" xfId="0" applyNumberFormat="1" applyFont="1" applyBorder="1" applyAlignment="1">
      <alignment horizontal="center" vertical="center" shrinkToFit="1"/>
    </xf>
    <xf numFmtId="3" fontId="5" fillId="0" borderId="48" xfId="0" applyNumberFormat="1" applyFont="1" applyBorder="1" applyAlignment="1">
      <alignment horizontal="center" vertical="center" shrinkToFit="1"/>
    </xf>
    <xf numFmtId="185" fontId="5" fillId="0" borderId="45" xfId="0" applyNumberFormat="1" applyFont="1" applyBorder="1" applyAlignment="1">
      <alignment horizontal="center" vertical="center" wrapText="1" shrinkToFit="1"/>
    </xf>
    <xf numFmtId="179" fontId="5" fillId="0" borderId="49" xfId="0" applyNumberFormat="1" applyFont="1" applyBorder="1" applyAlignment="1">
      <alignment horizontal="center" vertical="center" wrapText="1" shrinkToFit="1"/>
    </xf>
    <xf numFmtId="179" fontId="5" fillId="0" borderId="45" xfId="0" applyNumberFormat="1" applyFont="1" applyBorder="1" applyAlignment="1">
      <alignment horizontal="center" vertical="center" wrapText="1" shrinkToFit="1"/>
    </xf>
    <xf numFmtId="3" fontId="25" fillId="0" borderId="50" xfId="0" applyNumberFormat="1" applyFont="1" applyBorder="1" applyAlignment="1">
      <alignment horizontal="center" vertical="center" wrapText="1" shrinkToFit="1"/>
    </xf>
    <xf numFmtId="180" fontId="5" fillId="0" borderId="49" xfId="0" applyNumberFormat="1" applyFont="1" applyBorder="1" applyAlignment="1">
      <alignment horizontal="center" vertical="center" wrapText="1"/>
    </xf>
    <xf numFmtId="180" fontId="5" fillId="0" borderId="98" xfId="0" applyNumberFormat="1" applyFont="1" applyBorder="1" applyAlignment="1">
      <alignment horizontal="center" vertical="center" wrapText="1"/>
    </xf>
    <xf numFmtId="179" fontId="5" fillId="0" borderId="89" xfId="0" applyNumberFormat="1" applyFont="1" applyBorder="1" applyAlignment="1">
      <alignment horizontal="center" vertical="center" wrapText="1"/>
    </xf>
    <xf numFmtId="180" fontId="4" fillId="0" borderId="77" xfId="0" applyNumberFormat="1" applyFont="1" applyBorder="1" applyAlignment="1">
      <alignment horizontal="center" vertical="center" wrapText="1"/>
    </xf>
    <xf numFmtId="41" fontId="36" fillId="0" borderId="0" xfId="0" applyNumberFormat="1" applyFont="1">
      <alignment vertical="center"/>
    </xf>
    <xf numFmtId="41" fontId="36" fillId="0" borderId="0" xfId="0" applyNumberFormat="1" applyFont="1" applyAlignment="1">
      <alignment horizontal="center" vertical="center"/>
    </xf>
    <xf numFmtId="41" fontId="5" fillId="0" borderId="78" xfId="0" quotePrefix="1" applyNumberFormat="1" applyFont="1" applyBorder="1" applyAlignment="1">
      <alignment horizontal="center" vertical="center"/>
    </xf>
    <xf numFmtId="178" fontId="5" fillId="0" borderId="79" xfId="0" applyNumberFormat="1" applyFont="1" applyBorder="1" applyAlignment="1">
      <alignment horizontal="center" vertical="center" shrinkToFit="1"/>
    </xf>
    <xf numFmtId="178" fontId="5" fillId="8" borderId="80" xfId="0" applyNumberFormat="1" applyFont="1" applyFill="1" applyBorder="1" applyAlignment="1">
      <alignment horizontal="center" vertical="center" shrinkToFit="1"/>
    </xf>
    <xf numFmtId="178" fontId="5" fillId="0" borderId="80" xfId="0" applyNumberFormat="1" applyFont="1" applyBorder="1" applyAlignment="1">
      <alignment horizontal="center" vertical="center" shrinkToFit="1"/>
    </xf>
    <xf numFmtId="3" fontId="5" fillId="0" borderId="81" xfId="0" applyNumberFormat="1" applyFont="1" applyBorder="1" applyAlignment="1">
      <alignment horizontal="center" vertical="center" shrinkToFit="1"/>
    </xf>
    <xf numFmtId="185" fontId="5" fillId="0" borderId="78" xfId="0" applyNumberFormat="1" applyFont="1" applyBorder="1" applyAlignment="1">
      <alignment horizontal="center" vertical="center" wrapText="1" shrinkToFit="1"/>
    </xf>
    <xf numFmtId="179" fontId="5" fillId="0" borderId="82" xfId="0" applyNumberFormat="1" applyFont="1" applyBorder="1" applyAlignment="1">
      <alignment horizontal="center" vertical="center" wrapText="1" shrinkToFit="1"/>
    </xf>
    <xf numFmtId="179" fontId="5" fillId="0" borderId="78" xfId="0" applyNumberFormat="1" applyFont="1" applyBorder="1" applyAlignment="1">
      <alignment horizontal="center" vertical="center" wrapText="1" shrinkToFit="1"/>
    </xf>
    <xf numFmtId="3" fontId="25" fillId="0" borderId="83" xfId="0" applyNumberFormat="1" applyFont="1" applyBorder="1" applyAlignment="1">
      <alignment horizontal="center" vertical="center" wrapText="1" shrinkToFit="1"/>
    </xf>
    <xf numFmtId="180" fontId="5" fillId="0" borderId="82" xfId="0" applyNumberFormat="1" applyFont="1" applyBorder="1" applyAlignment="1">
      <alignment horizontal="center" vertical="center" wrapText="1"/>
    </xf>
    <xf numFmtId="180" fontId="5" fillId="0" borderId="99" xfId="0" applyNumberFormat="1" applyFont="1" applyBorder="1" applyAlignment="1">
      <alignment horizontal="center" vertical="center" wrapText="1"/>
    </xf>
    <xf numFmtId="179" fontId="5" fillId="0" borderId="84" xfId="0" applyNumberFormat="1" applyFont="1" applyBorder="1" applyAlignment="1">
      <alignment horizontal="center" vertical="center" wrapText="1"/>
    </xf>
    <xf numFmtId="180" fontId="4" fillId="0" borderId="86" xfId="0" applyNumberFormat="1" applyFont="1" applyBorder="1" applyAlignment="1">
      <alignment horizontal="center" vertical="center" wrapText="1"/>
    </xf>
    <xf numFmtId="180" fontId="4" fillId="0" borderId="87" xfId="0" applyNumberFormat="1" applyFont="1" applyBorder="1" applyAlignment="1">
      <alignment horizontal="center" vertical="center" wrapText="1"/>
    </xf>
    <xf numFmtId="183" fontId="36" fillId="0" borderId="0" xfId="0" applyNumberFormat="1" applyFont="1">
      <alignment vertical="center"/>
    </xf>
    <xf numFmtId="185" fontId="31" fillId="7" borderId="45" xfId="0" applyNumberFormat="1" applyFont="1" applyFill="1" applyBorder="1" applyAlignment="1">
      <alignment horizontal="center" vertical="center" wrapText="1" shrinkToFit="1"/>
    </xf>
    <xf numFmtId="179" fontId="31" fillId="7" borderId="41" xfId="0" applyNumberFormat="1" applyFont="1" applyFill="1" applyBorder="1" applyAlignment="1">
      <alignment horizontal="center" vertical="center" wrapText="1" shrinkToFit="1"/>
    </xf>
    <xf numFmtId="180" fontId="31" fillId="7" borderId="45" xfId="0" applyNumberFormat="1" applyFont="1" applyFill="1" applyBorder="1" applyAlignment="1">
      <alignment horizontal="center" vertical="center" wrapText="1" shrinkToFit="1"/>
    </xf>
    <xf numFmtId="3" fontId="31" fillId="7" borderId="106" xfId="0" applyNumberFormat="1" applyFont="1" applyFill="1" applyBorder="1" applyAlignment="1">
      <alignment horizontal="center" vertical="center" shrinkToFit="1"/>
    </xf>
    <xf numFmtId="180" fontId="31" fillId="7" borderId="49" xfId="0" applyNumberFormat="1" applyFont="1" applyFill="1" applyBorder="1" applyAlignment="1">
      <alignment horizontal="center" vertical="center" wrapText="1"/>
    </xf>
    <xf numFmtId="180" fontId="31" fillId="7" borderId="100" xfId="0" applyNumberFormat="1" applyFont="1" applyFill="1" applyBorder="1" applyAlignment="1">
      <alignment horizontal="center" vertical="center" wrapText="1"/>
    </xf>
    <xf numFmtId="180" fontId="31" fillId="7" borderId="89" xfId="0" applyNumberFormat="1" applyFont="1" applyFill="1" applyBorder="1" applyAlignment="1">
      <alignment horizontal="center" vertical="center" wrapText="1"/>
    </xf>
    <xf numFmtId="180" fontId="31" fillId="7" borderId="75" xfId="0" applyNumberFormat="1" applyFont="1" applyFill="1" applyBorder="1" applyAlignment="1">
      <alignment horizontal="center" vertical="center" wrapText="1"/>
    </xf>
    <xf numFmtId="180" fontId="31" fillId="7" borderId="107" xfId="0" applyNumberFormat="1" applyFont="1" applyFill="1" applyBorder="1" applyAlignment="1">
      <alignment horizontal="center" vertical="center" wrapText="1"/>
    </xf>
    <xf numFmtId="180" fontId="31" fillId="7" borderId="108" xfId="0" applyNumberFormat="1" applyFont="1" applyFill="1" applyBorder="1" applyAlignment="1">
      <alignment horizontal="center" vertical="center" wrapText="1"/>
    </xf>
    <xf numFmtId="41" fontId="36" fillId="8" borderId="0" xfId="0" applyNumberFormat="1" applyFont="1" applyFill="1">
      <alignment vertical="center"/>
    </xf>
    <xf numFmtId="185" fontId="31" fillId="6" borderId="56" xfId="0" applyNumberFormat="1" applyFont="1" applyFill="1" applyBorder="1" applyAlignment="1">
      <alignment horizontal="center" vertical="center" wrapText="1" shrinkToFit="1"/>
    </xf>
    <xf numFmtId="179" fontId="31" fillId="6" borderId="53" xfId="0" applyNumberFormat="1" applyFont="1" applyFill="1" applyBorder="1" applyAlignment="1">
      <alignment horizontal="center" vertical="center" wrapText="1" shrinkToFit="1"/>
    </xf>
    <xf numFmtId="180" fontId="31" fillId="6" borderId="56" xfId="0" applyNumberFormat="1" applyFont="1" applyFill="1" applyBorder="1" applyAlignment="1">
      <alignment horizontal="center" vertical="center" wrapText="1" shrinkToFit="1"/>
    </xf>
    <xf numFmtId="3" fontId="31" fillId="6" borderId="57" xfId="0" applyNumberFormat="1" applyFont="1" applyFill="1" applyBorder="1" applyAlignment="1">
      <alignment horizontal="center" vertical="center" shrinkToFit="1"/>
    </xf>
    <xf numFmtId="180" fontId="31" fillId="6" borderId="53" xfId="0" applyNumberFormat="1" applyFont="1" applyFill="1" applyBorder="1" applyAlignment="1">
      <alignment horizontal="center" vertical="center" wrapText="1"/>
    </xf>
    <xf numFmtId="180" fontId="31" fillId="6" borderId="102" xfId="0" applyNumberFormat="1" applyFont="1" applyFill="1" applyBorder="1" applyAlignment="1">
      <alignment horizontal="center" vertical="center" wrapText="1"/>
    </xf>
    <xf numFmtId="180" fontId="31" fillId="6" borderId="58" xfId="0" applyNumberFormat="1" applyFont="1" applyFill="1" applyBorder="1" applyAlignment="1">
      <alignment horizontal="center" vertical="center" wrapText="1"/>
    </xf>
    <xf numFmtId="180" fontId="31" fillId="6" borderId="9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/>
    <xf numFmtId="0" fontId="31" fillId="3" borderId="41" xfId="0" applyFont="1" applyFill="1" applyBorder="1" applyAlignment="1">
      <alignment horizontal="center" vertical="center" wrapText="1"/>
    </xf>
    <xf numFmtId="0" fontId="11" fillId="4" borderId="64" xfId="0" applyFont="1" applyFill="1" applyBorder="1" applyAlignment="1">
      <alignment horizontal="center" vertical="center" wrapText="1"/>
    </xf>
    <xf numFmtId="0" fontId="11" fillId="4" borderId="65" xfId="0" applyFont="1" applyFill="1" applyBorder="1" applyAlignment="1">
      <alignment horizontal="center" vertical="center" wrapText="1"/>
    </xf>
    <xf numFmtId="0" fontId="11" fillId="4" borderId="71" xfId="0" applyFont="1" applyFill="1" applyBorder="1" applyAlignment="1">
      <alignment horizontal="center" vertical="center" wrapText="1"/>
    </xf>
    <xf numFmtId="0" fontId="11" fillId="4" borderId="92" xfId="0" applyFont="1" applyFill="1" applyBorder="1" applyAlignment="1">
      <alignment horizontal="center" vertical="center" wrapText="1"/>
    </xf>
    <xf numFmtId="3" fontId="31" fillId="6" borderId="56" xfId="0" applyNumberFormat="1" applyFont="1" applyFill="1" applyBorder="1" applyAlignment="1">
      <alignment horizontal="center" vertical="center" shrinkToFit="1"/>
    </xf>
    <xf numFmtId="180" fontId="31" fillId="6" borderId="56" xfId="0" applyNumberFormat="1" applyFont="1" applyFill="1" applyBorder="1" applyAlignment="1">
      <alignment horizontal="center" vertical="center" wrapText="1"/>
    </xf>
    <xf numFmtId="180" fontId="31" fillId="6" borderId="95" xfId="0" applyNumberFormat="1" applyFont="1" applyFill="1" applyBorder="1" applyAlignment="1">
      <alignment horizontal="center" vertical="center" wrapText="1"/>
    </xf>
    <xf numFmtId="180" fontId="31" fillId="6" borderId="96" xfId="0" applyNumberFormat="1" applyFont="1" applyFill="1" applyBorder="1" applyAlignment="1">
      <alignment horizontal="center" vertical="center" wrapText="1"/>
    </xf>
    <xf numFmtId="180" fontId="31" fillId="6" borderId="97" xfId="0" applyNumberFormat="1" applyFont="1" applyFill="1" applyBorder="1" applyAlignment="1">
      <alignment horizontal="center" vertical="center" wrapText="1"/>
    </xf>
    <xf numFmtId="179" fontId="5" fillId="0" borderId="75" xfId="0" applyNumberFormat="1" applyFont="1" applyBorder="1" applyAlignment="1">
      <alignment horizontal="center" vertical="center" wrapText="1"/>
    </xf>
    <xf numFmtId="179" fontId="5" fillId="0" borderId="85" xfId="0" applyNumberFormat="1" applyFont="1" applyBorder="1" applyAlignment="1">
      <alignment horizontal="center" vertical="center" wrapText="1"/>
    </xf>
    <xf numFmtId="179" fontId="5" fillId="0" borderId="35" xfId="0" applyNumberFormat="1" applyFont="1" applyBorder="1" applyAlignment="1">
      <alignment horizontal="center" vertical="center" wrapText="1" shrinkToFit="1"/>
    </xf>
    <xf numFmtId="180" fontId="5" fillId="0" borderId="45" xfId="0" applyNumberFormat="1" applyFont="1" applyBorder="1" applyAlignment="1">
      <alignment horizontal="center" vertical="center" wrapText="1"/>
    </xf>
    <xf numFmtId="180" fontId="5" fillId="0" borderId="118" xfId="0" applyNumberFormat="1" applyFont="1" applyBorder="1" applyAlignment="1">
      <alignment horizontal="center" vertical="center" wrapText="1"/>
    </xf>
    <xf numFmtId="179" fontId="5" fillId="0" borderId="114" xfId="0" applyNumberFormat="1" applyFont="1" applyBorder="1" applyAlignment="1">
      <alignment horizontal="center" vertical="center" wrapText="1"/>
    </xf>
    <xf numFmtId="180" fontId="5" fillId="0" borderId="114" xfId="0" applyNumberFormat="1" applyFont="1" applyBorder="1" applyAlignment="1">
      <alignment horizontal="center" vertical="center" wrapText="1"/>
    </xf>
    <xf numFmtId="180" fontId="4" fillId="0" borderId="117" xfId="0" applyNumberFormat="1" applyFont="1" applyBorder="1" applyAlignment="1">
      <alignment horizontal="center" vertical="center" wrapText="1"/>
    </xf>
    <xf numFmtId="179" fontId="5" fillId="0" borderId="115" xfId="0" applyNumberFormat="1" applyFont="1" applyBorder="1" applyAlignment="1">
      <alignment horizontal="center" vertical="center" wrapText="1"/>
    </xf>
    <xf numFmtId="180" fontId="5" fillId="0" borderId="115" xfId="0" applyNumberFormat="1" applyFont="1" applyBorder="1" applyAlignment="1">
      <alignment horizontal="center" vertical="center" wrapText="1"/>
    </xf>
    <xf numFmtId="180" fontId="4" fillId="0" borderId="19" xfId="0" applyNumberFormat="1" applyFont="1" applyBorder="1" applyAlignment="1">
      <alignment horizontal="center" vertical="center" wrapText="1"/>
    </xf>
    <xf numFmtId="179" fontId="5" fillId="0" borderId="113" xfId="0" applyNumberFormat="1" applyFont="1" applyBorder="1" applyAlignment="1">
      <alignment horizontal="center" vertical="center" wrapText="1" shrinkToFit="1"/>
    </xf>
    <xf numFmtId="179" fontId="5" fillId="0" borderId="116" xfId="0" applyNumberFormat="1" applyFont="1" applyBorder="1" applyAlignment="1">
      <alignment horizontal="center" vertical="center" wrapText="1"/>
    </xf>
    <xf numFmtId="180" fontId="5" fillId="0" borderId="116" xfId="0" applyNumberFormat="1" applyFont="1" applyBorder="1" applyAlignment="1">
      <alignment horizontal="center" vertical="center" wrapText="1"/>
    </xf>
    <xf numFmtId="0" fontId="28" fillId="7" borderId="66" xfId="0" applyFont="1" applyFill="1" applyBorder="1" applyAlignment="1">
      <alignment horizontal="center" vertical="center"/>
    </xf>
    <xf numFmtId="41" fontId="19" fillId="0" borderId="66" xfId="0" applyNumberFormat="1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66" xfId="0" applyFont="1" applyBorder="1">
      <alignment vertical="center"/>
    </xf>
    <xf numFmtId="181" fontId="19" fillId="0" borderId="66" xfId="0" applyNumberFormat="1" applyFont="1" applyBorder="1" applyAlignment="1">
      <alignment horizontal="right" vertical="center" indent="1"/>
    </xf>
    <xf numFmtId="0" fontId="19" fillId="0" borderId="66" xfId="0" applyFont="1" applyBorder="1" applyAlignment="1">
      <alignment vertical="center" wrapText="1"/>
    </xf>
    <xf numFmtId="41" fontId="31" fillId="0" borderId="0" xfId="0" applyNumberFormat="1" applyFont="1">
      <alignment vertical="center"/>
    </xf>
    <xf numFmtId="13" fontId="5" fillId="0" borderId="0" xfId="0" quotePrefix="1" applyNumberFormat="1" applyFont="1" applyAlignment="1">
      <alignment horizontal="center" shrinkToFit="1"/>
    </xf>
    <xf numFmtId="41" fontId="31" fillId="0" borderId="0" xfId="0" applyNumberFormat="1" applyFont="1" applyAlignment="1">
      <alignment vertical="center" shrinkToFit="1"/>
    </xf>
    <xf numFmtId="0" fontId="28" fillId="11" borderId="66" xfId="0" applyFont="1" applyFill="1" applyBorder="1" applyAlignment="1">
      <alignment horizontal="center" vertical="center"/>
    </xf>
    <xf numFmtId="0" fontId="28" fillId="11" borderId="66" xfId="0" applyFont="1" applyFill="1" applyBorder="1">
      <alignment vertical="center"/>
    </xf>
    <xf numFmtId="181" fontId="28" fillId="11" borderId="66" xfId="0" applyNumberFormat="1" applyFont="1" applyFill="1" applyBorder="1" applyAlignment="1">
      <alignment horizontal="right" vertical="center" indent="1"/>
    </xf>
    <xf numFmtId="0" fontId="37" fillId="0" borderId="0" xfId="0" applyFont="1">
      <alignment vertical="center"/>
    </xf>
    <xf numFmtId="0" fontId="29" fillId="7" borderId="66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189" fontId="28" fillId="11" borderId="66" xfId="1" applyNumberFormat="1" applyFont="1" applyFill="1" applyBorder="1">
      <alignment vertical="center"/>
    </xf>
    <xf numFmtId="189" fontId="28" fillId="11" borderId="66" xfId="1" applyNumberFormat="1" applyFont="1" applyFill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66" xfId="0" applyFont="1" applyBorder="1" applyAlignment="1">
      <alignment horizontal="left" vertical="center"/>
    </xf>
    <xf numFmtId="189" fontId="19" fillId="0" borderId="66" xfId="1" applyNumberFormat="1" applyFont="1" applyBorder="1" applyAlignment="1">
      <alignment horizontal="center" vertical="center"/>
    </xf>
    <xf numFmtId="0" fontId="25" fillId="8" borderId="66" xfId="0" applyFont="1" applyFill="1" applyBorder="1" applyAlignment="1">
      <alignment horizontal="center" vertical="center"/>
    </xf>
    <xf numFmtId="0" fontId="25" fillId="8" borderId="66" xfId="0" applyFont="1" applyFill="1" applyBorder="1" applyAlignment="1">
      <alignment horizontal="left" vertical="center"/>
    </xf>
    <xf numFmtId="189" fontId="19" fillId="8" borderId="66" xfId="1" applyNumberFormat="1" applyFont="1" applyFill="1" applyBorder="1" applyAlignment="1">
      <alignment horizontal="center" vertical="center"/>
    </xf>
    <xf numFmtId="0" fontId="25" fillId="0" borderId="66" xfId="0" applyFont="1" applyBorder="1">
      <alignment vertical="center"/>
    </xf>
    <xf numFmtId="189" fontId="19" fillId="0" borderId="66" xfId="1" applyNumberFormat="1" applyFont="1" applyBorder="1">
      <alignment vertical="center"/>
    </xf>
    <xf numFmtId="0" fontId="25" fillId="8" borderId="66" xfId="0" applyFont="1" applyFill="1" applyBorder="1">
      <alignment vertical="center"/>
    </xf>
    <xf numFmtId="189" fontId="19" fillId="8" borderId="66" xfId="1" applyNumberFormat="1" applyFont="1" applyFill="1" applyBorder="1">
      <alignment vertical="center"/>
    </xf>
    <xf numFmtId="0" fontId="37" fillId="0" borderId="120" xfId="0" applyFont="1" applyBorder="1">
      <alignment vertical="center"/>
    </xf>
    <xf numFmtId="0" fontId="37" fillId="0" borderId="121" xfId="0" applyFont="1" applyBorder="1">
      <alignment vertical="center"/>
    </xf>
    <xf numFmtId="0" fontId="37" fillId="0" borderId="122" xfId="0" applyFont="1" applyBorder="1">
      <alignment vertical="center"/>
    </xf>
    <xf numFmtId="0" fontId="37" fillId="0" borderId="123" xfId="0" applyFont="1" applyBorder="1">
      <alignment vertical="center"/>
    </xf>
    <xf numFmtId="0" fontId="37" fillId="0" borderId="124" xfId="0" applyFont="1" applyBorder="1">
      <alignment vertical="center"/>
    </xf>
    <xf numFmtId="0" fontId="37" fillId="0" borderId="125" xfId="0" applyFont="1" applyBorder="1">
      <alignment vertical="center"/>
    </xf>
    <xf numFmtId="0" fontId="37" fillId="0" borderId="126" xfId="0" applyFont="1" applyBorder="1">
      <alignment vertical="center"/>
    </xf>
    <xf numFmtId="0" fontId="37" fillId="0" borderId="127" xfId="0" applyFont="1" applyBorder="1">
      <alignment vertical="center"/>
    </xf>
    <xf numFmtId="0" fontId="28" fillId="0" borderId="0" xfId="0" applyFont="1">
      <alignment vertical="center"/>
    </xf>
    <xf numFmtId="0" fontId="40" fillId="0" borderId="0" xfId="0" applyFont="1">
      <alignment vertical="center"/>
    </xf>
    <xf numFmtId="0" fontId="38" fillId="7" borderId="119" xfId="0" applyFont="1" applyFill="1" applyBorder="1" applyAlignment="1">
      <alignment horizontal="center" vertical="center"/>
    </xf>
    <xf numFmtId="0" fontId="41" fillId="9" borderId="70" xfId="0" applyFont="1" applyFill="1" applyBorder="1" applyAlignment="1">
      <alignment horizontal="center" vertical="center" wrapText="1" readingOrder="1"/>
    </xf>
    <xf numFmtId="0" fontId="41" fillId="0" borderId="70" xfId="0" applyFont="1" applyBorder="1" applyAlignment="1">
      <alignment horizontal="center" vertical="center" wrapText="1" readingOrder="1"/>
    </xf>
    <xf numFmtId="0" fontId="42" fillId="0" borderId="7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 readingOrder="1"/>
    </xf>
    <xf numFmtId="0" fontId="41" fillId="10" borderId="70" xfId="0" applyFont="1" applyFill="1" applyBorder="1" applyAlignment="1">
      <alignment horizontal="center" vertical="center" wrapText="1" readingOrder="1"/>
    </xf>
    <xf numFmtId="0" fontId="43" fillId="10" borderId="70" xfId="0" applyFont="1" applyFill="1" applyBorder="1" applyAlignment="1">
      <alignment horizontal="center" vertical="center" wrapText="1" readingOrder="1"/>
    </xf>
    <xf numFmtId="0" fontId="19" fillId="0" borderId="119" xfId="0" applyFont="1" applyBorder="1" applyAlignment="1">
      <alignment horizontal="center" vertical="center" shrinkToFit="1"/>
    </xf>
    <xf numFmtId="0" fontId="28" fillId="7" borderId="119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19" fillId="0" borderId="123" xfId="0" applyFont="1" applyBorder="1">
      <alignment vertical="center"/>
    </xf>
    <xf numFmtId="0" fontId="19" fillId="0" borderId="124" xfId="0" applyFont="1" applyBorder="1">
      <alignment vertical="center"/>
    </xf>
    <xf numFmtId="0" fontId="19" fillId="0" borderId="125" xfId="0" applyFont="1" applyBorder="1">
      <alignment vertical="center"/>
    </xf>
    <xf numFmtId="0" fontId="19" fillId="0" borderId="126" xfId="0" applyFont="1" applyBorder="1">
      <alignment vertical="center"/>
    </xf>
    <xf numFmtId="0" fontId="19" fillId="0" borderId="127" xfId="0" applyFont="1" applyBorder="1">
      <alignment vertical="center"/>
    </xf>
    <xf numFmtId="0" fontId="44" fillId="0" borderId="128" xfId="0" applyFont="1" applyBorder="1">
      <alignment vertical="center"/>
    </xf>
    <xf numFmtId="0" fontId="19" fillId="0" borderId="129" xfId="0" applyFont="1" applyBorder="1">
      <alignment vertical="center"/>
    </xf>
    <xf numFmtId="0" fontId="19" fillId="0" borderId="130" xfId="0" applyFont="1" applyBorder="1">
      <alignment vertical="center"/>
    </xf>
    <xf numFmtId="0" fontId="0" fillId="0" borderId="123" xfId="0" applyBorder="1">
      <alignment vertical="center"/>
    </xf>
    <xf numFmtId="0" fontId="0" fillId="0" borderId="124" xfId="0" applyBorder="1">
      <alignment vertical="center"/>
    </xf>
    <xf numFmtId="0" fontId="0" fillId="0" borderId="125" xfId="0" applyBorder="1">
      <alignment vertical="center"/>
    </xf>
    <xf numFmtId="0" fontId="0" fillId="0" borderId="126" xfId="0" applyBorder="1">
      <alignment vertical="center"/>
    </xf>
    <xf numFmtId="0" fontId="0" fillId="0" borderId="127" xfId="0" applyBorder="1">
      <alignment vertical="center"/>
    </xf>
    <xf numFmtId="0" fontId="45" fillId="0" borderId="129" xfId="0" applyFont="1" applyBorder="1">
      <alignment vertical="center"/>
    </xf>
    <xf numFmtId="0" fontId="45" fillId="0" borderId="130" xfId="0" applyFont="1" applyBorder="1">
      <alignment vertical="center"/>
    </xf>
    <xf numFmtId="0" fontId="46" fillId="0" borderId="128" xfId="0" applyFont="1" applyBorder="1">
      <alignment vertical="center"/>
    </xf>
    <xf numFmtId="186" fontId="11" fillId="7" borderId="66" xfId="4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1" fillId="7" borderId="66" xfId="3" applyFont="1" applyFill="1" applyBorder="1" applyAlignment="1">
      <alignment horizontal="center" vertical="center"/>
    </xf>
    <xf numFmtId="0" fontId="11" fillId="7" borderId="66" xfId="3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0" fontId="25" fillId="11" borderId="119" xfId="0" applyFont="1" applyFill="1" applyBorder="1" applyAlignment="1">
      <alignment horizontal="center" vertical="center"/>
    </xf>
    <xf numFmtId="0" fontId="25" fillId="11" borderId="119" xfId="0" applyFont="1" applyFill="1" applyBorder="1" applyAlignment="1">
      <alignment horizontal="center" vertical="center" wrapText="1"/>
    </xf>
    <xf numFmtId="0" fontId="29" fillId="7" borderId="11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19" xfId="0" applyFont="1" applyBorder="1" applyAlignment="1">
      <alignment horizontal="center" vertical="center"/>
    </xf>
    <xf numFmtId="178" fontId="31" fillId="7" borderId="49" xfId="0" applyNumberFormat="1" applyFont="1" applyFill="1" applyBorder="1" applyAlignment="1">
      <alignment horizontal="center" vertical="center" shrinkToFit="1"/>
    </xf>
    <xf numFmtId="178" fontId="31" fillId="7" borderId="69" xfId="0" applyNumberFormat="1" applyFont="1" applyFill="1" applyBorder="1" applyAlignment="1">
      <alignment horizontal="center" vertical="center" shrinkToFit="1"/>
    </xf>
    <xf numFmtId="178" fontId="31" fillId="7" borderId="88" xfId="0" applyNumberFormat="1" applyFont="1" applyFill="1" applyBorder="1" applyAlignment="1">
      <alignment horizontal="center" vertical="center" shrinkToFit="1"/>
    </xf>
    <xf numFmtId="41" fontId="31" fillId="6" borderId="104" xfId="0" quotePrefix="1" applyNumberFormat="1" applyFont="1" applyFill="1" applyBorder="1" applyAlignment="1">
      <alignment horizontal="center" vertical="center"/>
    </xf>
    <xf numFmtId="41" fontId="31" fillId="6" borderId="105" xfId="0" quotePrefix="1" applyNumberFormat="1" applyFont="1" applyFill="1" applyBorder="1" applyAlignment="1">
      <alignment horizontal="center" vertical="center"/>
    </xf>
    <xf numFmtId="41" fontId="31" fillId="6" borderId="51" xfId="0" quotePrefix="1" applyNumberFormat="1" applyFont="1" applyFill="1" applyBorder="1" applyAlignment="1">
      <alignment horizontal="center" vertical="center"/>
    </xf>
    <xf numFmtId="41" fontId="31" fillId="6" borderId="52" xfId="0" quotePrefix="1" applyNumberFormat="1" applyFont="1" applyFill="1" applyBorder="1" applyAlignment="1">
      <alignment horizontal="center" vertical="center"/>
    </xf>
    <xf numFmtId="41" fontId="31" fillId="6" borderId="53" xfId="0" quotePrefix="1" applyNumberFormat="1" applyFont="1" applyFill="1" applyBorder="1" applyAlignment="1">
      <alignment horizontal="center" vertical="center"/>
    </xf>
    <xf numFmtId="41" fontId="31" fillId="6" borderId="54" xfId="0" quotePrefix="1" applyNumberFormat="1" applyFont="1" applyFill="1" applyBorder="1" applyAlignment="1">
      <alignment horizontal="center" vertical="center"/>
    </xf>
    <xf numFmtId="41" fontId="31" fillId="6" borderId="55" xfId="0" quotePrefix="1" applyNumberFormat="1" applyFont="1" applyFill="1" applyBorder="1" applyAlignment="1">
      <alignment horizontal="center" vertical="center"/>
    </xf>
    <xf numFmtId="180" fontId="31" fillId="6" borderId="91" xfId="0" applyNumberFormat="1" applyFont="1" applyFill="1" applyBorder="1" applyAlignment="1">
      <alignment horizontal="center" vertical="center" wrapText="1"/>
    </xf>
    <xf numFmtId="180" fontId="31" fillId="6" borderId="59" xfId="0" applyNumberFormat="1" applyFont="1" applyFill="1" applyBorder="1" applyAlignment="1">
      <alignment horizontal="center" vertical="center" wrapText="1"/>
    </xf>
    <xf numFmtId="0" fontId="31" fillId="3" borderId="24" xfId="0" applyFont="1" applyFill="1" applyBorder="1" applyAlignment="1">
      <alignment horizontal="center" vertical="center"/>
    </xf>
    <xf numFmtId="0" fontId="31" fillId="3" borderId="25" xfId="0" applyFont="1" applyFill="1" applyBorder="1" applyAlignment="1">
      <alignment horizontal="center" vertical="center"/>
    </xf>
    <xf numFmtId="0" fontId="31" fillId="3" borderId="26" xfId="0" applyFont="1" applyFill="1" applyBorder="1" applyAlignment="1">
      <alignment horizontal="center" vertical="center" shrinkToFit="1"/>
    </xf>
    <xf numFmtId="0" fontId="31" fillId="3" borderId="27" xfId="0" applyFont="1" applyFill="1" applyBorder="1" applyAlignment="1">
      <alignment horizontal="center" vertical="center" shrinkToFit="1"/>
    </xf>
    <xf numFmtId="0" fontId="31" fillId="3" borderId="25" xfId="0" applyFont="1" applyFill="1" applyBorder="1" applyAlignment="1">
      <alignment horizontal="center" vertical="center" shrinkToFit="1"/>
    </xf>
    <xf numFmtId="0" fontId="31" fillId="3" borderId="28" xfId="0" applyFont="1" applyFill="1" applyBorder="1" applyAlignment="1">
      <alignment horizontal="center" vertical="center" wrapText="1" shrinkToFit="1"/>
    </xf>
    <xf numFmtId="0" fontId="31" fillId="3" borderId="40" xfId="0" applyFont="1" applyFill="1" applyBorder="1" applyAlignment="1">
      <alignment horizontal="center" vertical="center" wrapText="1" shrinkToFit="1"/>
    </xf>
    <xf numFmtId="0" fontId="31" fillId="4" borderId="28" xfId="0" applyFont="1" applyFill="1" applyBorder="1" applyAlignment="1">
      <alignment horizontal="center" vertical="center" wrapText="1" shrinkToFit="1"/>
    </xf>
    <xf numFmtId="0" fontId="31" fillId="4" borderId="40" xfId="0" applyFont="1" applyFill="1" applyBorder="1" applyAlignment="1">
      <alignment horizontal="center" vertical="center" wrapText="1" shrinkToFit="1"/>
    </xf>
    <xf numFmtId="0" fontId="31" fillId="4" borderId="60" xfId="0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center" vertical="center"/>
    </xf>
    <xf numFmtId="0" fontId="31" fillId="4" borderId="62" xfId="0" applyFont="1" applyFill="1" applyBorder="1" applyAlignment="1">
      <alignment horizontal="center" vertical="center"/>
    </xf>
    <xf numFmtId="0" fontId="31" fillId="4" borderId="63" xfId="0" applyFont="1" applyFill="1" applyBorder="1" applyAlignment="1">
      <alignment horizontal="center" vertical="center"/>
    </xf>
    <xf numFmtId="41" fontId="31" fillId="5" borderId="34" xfId="0" quotePrefix="1" applyNumberFormat="1" applyFont="1" applyFill="1" applyBorder="1" applyAlignment="1">
      <alignment horizontal="center" vertical="center"/>
    </xf>
    <xf numFmtId="41" fontId="31" fillId="5" borderId="94" xfId="0" quotePrefix="1" applyNumberFormat="1" applyFont="1" applyFill="1" applyBorder="1" applyAlignment="1">
      <alignment horizontal="center" vertical="center"/>
    </xf>
    <xf numFmtId="41" fontId="31" fillId="5" borderId="93" xfId="0" quotePrefix="1" applyNumberFormat="1" applyFont="1" applyFill="1" applyBorder="1" applyAlignment="1">
      <alignment horizontal="center" vertical="center"/>
    </xf>
    <xf numFmtId="180" fontId="4" fillId="0" borderId="86" xfId="0" applyNumberFormat="1" applyFont="1" applyBorder="1" applyAlignment="1">
      <alignment horizontal="center" vertical="center" wrapText="1"/>
    </xf>
    <xf numFmtId="180" fontId="4" fillId="0" borderId="87" xfId="0" applyNumberFormat="1" applyFont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 wrapText="1"/>
    </xf>
    <xf numFmtId="0" fontId="31" fillId="3" borderId="74" xfId="0" applyFont="1" applyFill="1" applyBorder="1" applyAlignment="1">
      <alignment horizontal="center" vertical="center" wrapText="1"/>
    </xf>
    <xf numFmtId="0" fontId="31" fillId="3" borderId="44" xfId="0" applyFont="1" applyFill="1" applyBorder="1" applyAlignment="1">
      <alignment horizontal="center" vertical="center" wrapText="1"/>
    </xf>
    <xf numFmtId="41" fontId="4" fillId="0" borderId="0" xfId="0" applyNumberFormat="1" applyFont="1" applyAlignment="1">
      <alignment horizontal="center" vertical="center" wrapText="1"/>
    </xf>
    <xf numFmtId="180" fontId="4" fillId="0" borderId="76" xfId="0" applyNumberFormat="1" applyFont="1" applyBorder="1" applyAlignment="1">
      <alignment horizontal="center" vertical="center" wrapText="1"/>
    </xf>
    <xf numFmtId="180" fontId="4" fillId="0" borderId="77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84" fontId="4" fillId="2" borderId="0" xfId="0" applyNumberFormat="1" applyFont="1" applyFill="1" applyAlignment="1">
      <alignment horizontal="left" vertical="center"/>
    </xf>
    <xf numFmtId="0" fontId="31" fillId="3" borderId="29" xfId="0" applyFont="1" applyFill="1" applyBorder="1" applyAlignment="1">
      <alignment horizontal="center" vertical="center" shrinkToFit="1"/>
    </xf>
    <xf numFmtId="0" fontId="31" fillId="3" borderId="30" xfId="0" applyFont="1" applyFill="1" applyBorder="1" applyAlignment="1">
      <alignment horizontal="center" vertical="center" shrinkToFit="1"/>
    </xf>
    <xf numFmtId="0" fontId="31" fillId="3" borderId="30" xfId="0" applyFont="1" applyFill="1" applyBorder="1" applyAlignment="1">
      <alignment horizontal="center" vertical="center" wrapText="1" shrinkToFit="1"/>
    </xf>
    <xf numFmtId="0" fontId="31" fillId="3" borderId="42" xfId="0" applyFont="1" applyFill="1" applyBorder="1" applyAlignment="1">
      <alignment horizontal="center" vertical="center" wrapText="1" shrinkToFit="1"/>
    </xf>
    <xf numFmtId="0" fontId="31" fillId="3" borderId="29" xfId="0" applyFont="1" applyFill="1" applyBorder="1" applyAlignment="1">
      <alignment horizontal="center" vertical="center" wrapText="1"/>
    </xf>
    <xf numFmtId="0" fontId="31" fillId="3" borderId="43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 vertical="center"/>
    </xf>
    <xf numFmtId="0" fontId="31" fillId="4" borderId="32" xfId="0" applyFont="1" applyFill="1" applyBorder="1" applyAlignment="1">
      <alignment horizontal="center" vertical="center"/>
    </xf>
    <xf numFmtId="0" fontId="31" fillId="4" borderId="33" xfId="0" applyFont="1" applyFill="1" applyBorder="1" applyAlignment="1">
      <alignment horizontal="center" vertical="center"/>
    </xf>
    <xf numFmtId="178" fontId="31" fillId="7" borderId="109" xfId="0" applyNumberFormat="1" applyFont="1" applyFill="1" applyBorder="1" applyAlignment="1">
      <alignment horizontal="center" vertical="center" shrinkToFit="1"/>
    </xf>
    <xf numFmtId="178" fontId="31" fillId="7" borderId="110" xfId="0" applyNumberFormat="1" applyFont="1" applyFill="1" applyBorder="1" applyAlignment="1">
      <alignment horizontal="center" vertical="center" shrinkToFit="1"/>
    </xf>
    <xf numFmtId="178" fontId="31" fillId="7" borderId="111" xfId="0" applyNumberFormat="1" applyFont="1" applyFill="1" applyBorder="1" applyAlignment="1">
      <alignment horizontal="center" vertical="center" shrinkToFit="1"/>
    </xf>
    <xf numFmtId="0" fontId="19" fillId="0" borderId="71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29" fillId="11" borderId="68" xfId="0" applyFont="1" applyFill="1" applyBorder="1" applyAlignment="1">
      <alignment horizontal="center" vertical="center"/>
    </xf>
    <xf numFmtId="0" fontId="29" fillId="11" borderId="67" xfId="0" applyFont="1" applyFill="1" applyBorder="1" applyAlignment="1">
      <alignment horizontal="center" vertical="center"/>
    </xf>
    <xf numFmtId="0" fontId="41" fillId="10" borderId="70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0" fontId="19" fillId="0" borderId="119" xfId="0" applyFont="1" applyBorder="1" applyAlignment="1">
      <alignment horizontal="center" vertical="center"/>
    </xf>
    <xf numFmtId="0" fontId="41" fillId="9" borderId="70" xfId="0" applyFont="1" applyFill="1" applyBorder="1" applyAlignment="1">
      <alignment horizontal="center" vertical="center" wrapText="1" readingOrder="1"/>
    </xf>
    <xf numFmtId="0" fontId="28" fillId="7" borderId="128" xfId="0" applyFont="1" applyFill="1" applyBorder="1" applyAlignment="1">
      <alignment horizontal="center" vertical="center"/>
    </xf>
    <xf numFmtId="0" fontId="28" fillId="7" borderId="129" xfId="0" applyFont="1" applyFill="1" applyBorder="1" applyAlignment="1">
      <alignment horizontal="center" vertical="center"/>
    </xf>
    <xf numFmtId="0" fontId="28" fillId="7" borderId="130" xfId="0" applyFont="1" applyFill="1" applyBorder="1" applyAlignment="1">
      <alignment horizontal="center" vertical="center"/>
    </xf>
  </cellXfs>
  <cellStyles count="9">
    <cellStyle name="백분율" xfId="2" builtinId="5"/>
    <cellStyle name="백분율 3 2" xfId="5" xr:uid="{030E6ED2-4045-4EE4-8B72-F77BD572D6BB}"/>
    <cellStyle name="백분율 4" xfId="8" xr:uid="{9C645B55-CD7B-4143-9F69-40E850582C72}"/>
    <cellStyle name="쉼표 [0]" xfId="1" builtinId="6"/>
    <cellStyle name="쉼표 [0] 2 3" xfId="7" xr:uid="{90D4A2B1-16BE-4447-AB6B-5D1EAF7959B4}"/>
    <cellStyle name="쉼표 [0] 3 2" xfId="6" xr:uid="{4D30A3E7-AF85-449B-8EEC-FF8A79CA7317}"/>
    <cellStyle name="쉼표 [0]_토공내역서(제일)" xfId="4" xr:uid="{00000000-0005-0000-0000-000002000000}"/>
    <cellStyle name="쉼표 [0]_토공사및구조물공사 단가대비" xfId="3" xr:uid="{00000000-0005-0000-0000-000003000000}"/>
    <cellStyle name="표준" xfId="0" builtinId="0" customBuiltin="1"/>
  </cellStyles>
  <dxfs count="0"/>
  <tableStyles count="0" defaultTableStyle="TableStyleMedium2" defaultPivotStyle="PivotStyleLight16"/>
  <colors>
    <mruColors>
      <color rgb="FFFFFF99"/>
      <color rgb="FFCCFFCC"/>
      <color rgb="FFFF6699"/>
      <color rgb="FFFFFFCC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tmp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32796</xdr:colOff>
      <xdr:row>3</xdr:row>
      <xdr:rowOff>22415</xdr:rowOff>
    </xdr:from>
    <xdr:to>
      <xdr:col>7</xdr:col>
      <xdr:colOff>380916</xdr:colOff>
      <xdr:row>27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088752-CAD7-4147-85F4-6318B8EE1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120" y="784415"/>
          <a:ext cx="4628767" cy="6230467"/>
        </a:xfrm>
        <a:prstGeom prst="rect">
          <a:avLst/>
        </a:prstGeom>
      </xdr:spPr>
    </xdr:pic>
    <xdr:clientData/>
  </xdr:twoCellAnchor>
  <xdr:twoCellAnchor>
    <xdr:from>
      <xdr:col>2</xdr:col>
      <xdr:colOff>1004703</xdr:colOff>
      <xdr:row>4</xdr:row>
      <xdr:rowOff>42300</xdr:rowOff>
    </xdr:from>
    <xdr:to>
      <xdr:col>3</xdr:col>
      <xdr:colOff>212174</xdr:colOff>
      <xdr:row>26</xdr:row>
      <xdr:rowOff>235323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05AD32E-BAAD-45E8-AC1B-5AE55B0EA75E}"/>
            </a:ext>
          </a:extLst>
        </xdr:cNvPr>
        <xdr:cNvSpPr/>
      </xdr:nvSpPr>
      <xdr:spPr>
        <a:xfrm>
          <a:off x="2338203" y="1062035"/>
          <a:ext cx="216000" cy="58632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416117</xdr:colOff>
      <xdr:row>4</xdr:row>
      <xdr:rowOff>42300</xdr:rowOff>
    </xdr:from>
    <xdr:to>
      <xdr:col>3</xdr:col>
      <xdr:colOff>632117</xdr:colOff>
      <xdr:row>26</xdr:row>
      <xdr:rowOff>235323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9AAF7D1-9FE5-4A38-9428-ADC4B128DB3B}"/>
            </a:ext>
          </a:extLst>
        </xdr:cNvPr>
        <xdr:cNvSpPr/>
      </xdr:nvSpPr>
      <xdr:spPr>
        <a:xfrm>
          <a:off x="2758146" y="1062035"/>
          <a:ext cx="216000" cy="58632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56031</xdr:colOff>
      <xdr:row>39</xdr:row>
      <xdr:rowOff>257732</xdr:rowOff>
    </xdr:from>
    <xdr:to>
      <xdr:col>7</xdr:col>
      <xdr:colOff>434705</xdr:colOff>
      <xdr:row>64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3ABA4BF-092F-454E-B077-62C9EF44E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55" y="10298203"/>
          <a:ext cx="4659321" cy="6185650"/>
        </a:xfrm>
        <a:prstGeom prst="rect">
          <a:avLst/>
        </a:prstGeom>
      </xdr:spPr>
    </xdr:pic>
    <xdr:clientData/>
  </xdr:twoCellAnchor>
  <xdr:twoCellAnchor>
    <xdr:from>
      <xdr:col>1</xdr:col>
      <xdr:colOff>300403</xdr:colOff>
      <xdr:row>43</xdr:row>
      <xdr:rowOff>22410</xdr:rowOff>
    </xdr:from>
    <xdr:to>
      <xdr:col>1</xdr:col>
      <xdr:colOff>516403</xdr:colOff>
      <xdr:row>63</xdr:row>
      <xdr:rowOff>195704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EFCC3C4-A39B-410C-9033-812AF0131766}"/>
            </a:ext>
          </a:extLst>
        </xdr:cNvPr>
        <xdr:cNvSpPr/>
      </xdr:nvSpPr>
      <xdr:spPr>
        <a:xfrm>
          <a:off x="535727" y="11093822"/>
          <a:ext cx="216000" cy="5328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24505</xdr:colOff>
      <xdr:row>41</xdr:row>
      <xdr:rowOff>235321</xdr:rowOff>
    </xdr:from>
    <xdr:to>
      <xdr:col>7</xdr:col>
      <xdr:colOff>240505</xdr:colOff>
      <xdr:row>63</xdr:row>
      <xdr:rowOff>217144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5C6A91E0-0D12-4555-B2AB-1AE997014C94}"/>
            </a:ext>
          </a:extLst>
        </xdr:cNvPr>
        <xdr:cNvSpPr/>
      </xdr:nvSpPr>
      <xdr:spPr>
        <a:xfrm>
          <a:off x="4540476" y="10791262"/>
          <a:ext cx="216000" cy="5652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22409</xdr:colOff>
      <xdr:row>77</xdr:row>
      <xdr:rowOff>44826</xdr:rowOff>
    </xdr:from>
    <xdr:to>
      <xdr:col>7</xdr:col>
      <xdr:colOff>171523</xdr:colOff>
      <xdr:row>101</xdr:row>
      <xdr:rowOff>11206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62CCD4C-F4FE-45A0-BFB7-F8D1AA06B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733" y="19879238"/>
          <a:ext cx="4429761" cy="6152027"/>
        </a:xfrm>
        <a:prstGeom prst="rect">
          <a:avLst/>
        </a:prstGeom>
      </xdr:spPr>
    </xdr:pic>
    <xdr:clientData/>
  </xdr:twoCellAnchor>
  <xdr:twoCellAnchor>
    <xdr:from>
      <xdr:col>1</xdr:col>
      <xdr:colOff>196225</xdr:colOff>
      <xdr:row>78</xdr:row>
      <xdr:rowOff>212911</xdr:rowOff>
    </xdr:from>
    <xdr:to>
      <xdr:col>1</xdr:col>
      <xdr:colOff>412225</xdr:colOff>
      <xdr:row>100</xdr:row>
      <xdr:rowOff>230734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615948D-5C79-4448-9246-F4C90D1E6C6C}"/>
            </a:ext>
          </a:extLst>
        </xdr:cNvPr>
        <xdr:cNvSpPr/>
      </xdr:nvSpPr>
      <xdr:spPr>
        <a:xfrm>
          <a:off x="431549" y="20305058"/>
          <a:ext cx="216000" cy="5688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321698</xdr:colOff>
      <xdr:row>78</xdr:row>
      <xdr:rowOff>212911</xdr:rowOff>
    </xdr:from>
    <xdr:to>
      <xdr:col>3</xdr:col>
      <xdr:colOff>537698</xdr:colOff>
      <xdr:row>100</xdr:row>
      <xdr:rowOff>230734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6460E374-3A41-4D28-9431-8CE2CC22BE3C}"/>
            </a:ext>
          </a:extLst>
        </xdr:cNvPr>
        <xdr:cNvSpPr/>
      </xdr:nvSpPr>
      <xdr:spPr>
        <a:xfrm>
          <a:off x="2663727" y="20305058"/>
          <a:ext cx="216000" cy="5688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</xdr:colOff>
      <xdr:row>113</xdr:row>
      <xdr:rowOff>236760</xdr:rowOff>
    </xdr:from>
    <xdr:to>
      <xdr:col>7</xdr:col>
      <xdr:colOff>471240</xdr:colOff>
      <xdr:row>137</xdr:row>
      <xdr:rowOff>235324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CD992DD-F945-43A3-BC86-DAF0EC49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529" y="29349642"/>
          <a:ext cx="4740682" cy="6184211"/>
        </a:xfrm>
        <a:prstGeom prst="rect">
          <a:avLst/>
        </a:prstGeom>
      </xdr:spPr>
    </xdr:pic>
    <xdr:clientData/>
  </xdr:twoCellAnchor>
  <xdr:twoCellAnchor>
    <xdr:from>
      <xdr:col>1</xdr:col>
      <xdr:colOff>227531</xdr:colOff>
      <xdr:row>115</xdr:row>
      <xdr:rowOff>257734</xdr:rowOff>
    </xdr:from>
    <xdr:to>
      <xdr:col>1</xdr:col>
      <xdr:colOff>443531</xdr:colOff>
      <xdr:row>136</xdr:row>
      <xdr:rowOff>209293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D54ACC4-EEDB-47D8-BA43-2D18716D998A}"/>
            </a:ext>
          </a:extLst>
        </xdr:cNvPr>
        <xdr:cNvSpPr/>
      </xdr:nvSpPr>
      <xdr:spPr>
        <a:xfrm>
          <a:off x="462855" y="29886087"/>
          <a:ext cx="216000" cy="5364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57094</xdr:colOff>
      <xdr:row>116</xdr:row>
      <xdr:rowOff>11209</xdr:rowOff>
    </xdr:from>
    <xdr:to>
      <xdr:col>7</xdr:col>
      <xdr:colOff>273094</xdr:colOff>
      <xdr:row>137</xdr:row>
      <xdr:rowOff>250768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DB8579A-DBD3-4F32-A857-E953077DB8E1}"/>
            </a:ext>
          </a:extLst>
        </xdr:cNvPr>
        <xdr:cNvSpPr/>
      </xdr:nvSpPr>
      <xdr:spPr>
        <a:xfrm>
          <a:off x="4573065" y="29897297"/>
          <a:ext cx="216000" cy="5652000"/>
        </a:xfrm>
        <a:prstGeom prst="rect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58730</xdr:colOff>
      <xdr:row>92</xdr:row>
      <xdr:rowOff>241869</xdr:rowOff>
    </xdr:from>
    <xdr:to>
      <xdr:col>8</xdr:col>
      <xdr:colOff>871250</xdr:colOff>
      <xdr:row>100</xdr:row>
      <xdr:rowOff>195986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7A8009F-EF81-44F9-AFF9-422BD8D54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76524" y="23942310"/>
          <a:ext cx="2919226" cy="2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907677</xdr:colOff>
      <xdr:row>55</xdr:row>
      <xdr:rowOff>179293</xdr:rowOff>
    </xdr:from>
    <xdr:to>
      <xdr:col>6</xdr:col>
      <xdr:colOff>653184</xdr:colOff>
      <xdr:row>63</xdr:row>
      <xdr:rowOff>156881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3ED035A-EC5C-4E83-A991-366BC619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1" y="14343528"/>
          <a:ext cx="2927977" cy="2039471"/>
        </a:xfrm>
        <a:prstGeom prst="rect">
          <a:avLst/>
        </a:prstGeom>
      </xdr:spPr>
    </xdr:pic>
    <xdr:clientData/>
  </xdr:twoCellAnchor>
  <xdr:twoCellAnchor editAs="oneCell">
    <xdr:from>
      <xdr:col>6</xdr:col>
      <xdr:colOff>112060</xdr:colOff>
      <xdr:row>19</xdr:row>
      <xdr:rowOff>179294</xdr:rowOff>
    </xdr:from>
    <xdr:to>
      <xdr:col>9</xdr:col>
      <xdr:colOff>26438</xdr:colOff>
      <xdr:row>26</xdr:row>
      <xdr:rowOff>224120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2D2C14-5026-4925-84AB-6A34CB71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9854" y="5065059"/>
          <a:ext cx="2939966" cy="1848973"/>
        </a:xfrm>
        <a:prstGeom prst="rect">
          <a:avLst/>
        </a:prstGeom>
      </xdr:spPr>
    </xdr:pic>
    <xdr:clientData/>
  </xdr:twoCellAnchor>
  <xdr:twoCellAnchor editAs="oneCell">
    <xdr:from>
      <xdr:col>1</xdr:col>
      <xdr:colOff>504266</xdr:colOff>
      <xdr:row>133</xdr:row>
      <xdr:rowOff>175598</xdr:rowOff>
    </xdr:from>
    <xdr:to>
      <xdr:col>3</xdr:col>
      <xdr:colOff>201707</xdr:colOff>
      <xdr:row>138</xdr:row>
      <xdr:rowOff>196137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7E007D3-4B76-4F16-8AF4-AB8B035A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9590" y="34443186"/>
          <a:ext cx="1804146" cy="1309216"/>
        </a:xfrm>
        <a:prstGeom prst="rect">
          <a:avLst/>
        </a:prstGeom>
      </xdr:spPr>
    </xdr:pic>
    <xdr:clientData/>
  </xdr:twoCellAnchor>
  <xdr:oneCellAnchor>
    <xdr:from>
      <xdr:col>1</xdr:col>
      <xdr:colOff>526674</xdr:colOff>
      <xdr:row>133</xdr:row>
      <xdr:rowOff>201707</xdr:rowOff>
    </xdr:from>
    <xdr:ext cx="974914" cy="25904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D261B3-8E07-44B9-BE4E-833B9CE9612E}"/>
            </a:ext>
          </a:extLst>
        </xdr:cNvPr>
        <xdr:cNvSpPr txBox="1"/>
      </xdr:nvSpPr>
      <xdr:spPr>
        <a:xfrm>
          <a:off x="761998" y="34469295"/>
          <a:ext cx="974914" cy="259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/>
        <a:p>
          <a:r>
            <a:rPr lang="ko-KR" altLang="en-US" sz="1000">
              <a:latin typeface="굴림" panose="020B0600000101010101" pitchFamily="50" charset="-127"/>
              <a:ea typeface="굴림" panose="020B0600000101010101" pitchFamily="50" charset="-127"/>
            </a:rPr>
            <a:t>□ </a:t>
          </a:r>
          <a:r>
            <a:rPr lang="en-US" altLang="ko-KR" sz="1000">
              <a:latin typeface="굴림" panose="020B0600000101010101" pitchFamily="50" charset="-127"/>
              <a:ea typeface="굴림" panose="020B0600000101010101" pitchFamily="50" charset="-127"/>
            </a:rPr>
            <a:t>1,</a:t>
          </a:r>
          <a:r>
            <a:rPr lang="en-US" altLang="ko-KR" sz="1000" baseline="0">
              <a:latin typeface="굴림" panose="020B0600000101010101" pitchFamily="50" charset="-127"/>
              <a:ea typeface="굴림" panose="020B0600000101010101" pitchFamily="50" charset="-127"/>
            </a:rPr>
            <a:t> 2</a:t>
          </a:r>
          <a:r>
            <a:rPr lang="ko-KR" altLang="en-US" sz="1000" baseline="0">
              <a:latin typeface="굴림" panose="020B0600000101010101" pitchFamily="50" charset="-127"/>
              <a:ea typeface="굴림" panose="020B0600000101010101" pitchFamily="50" charset="-127"/>
            </a:rPr>
            <a:t>호세대</a:t>
          </a:r>
          <a:endParaRPr lang="ko-KR" altLang="en-US" sz="10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oneCellAnchor>
  <xdr:twoCellAnchor editAs="oneCell">
    <xdr:from>
      <xdr:col>3</xdr:col>
      <xdr:colOff>347386</xdr:colOff>
      <xdr:row>133</xdr:row>
      <xdr:rowOff>179294</xdr:rowOff>
    </xdr:from>
    <xdr:to>
      <xdr:col>6</xdr:col>
      <xdr:colOff>1071621</xdr:colOff>
      <xdr:row>138</xdr:row>
      <xdr:rowOff>140617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DC53330-8ABB-4549-81FF-764364715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9415" y="34446882"/>
          <a:ext cx="1800000" cy="1250000"/>
        </a:xfrm>
        <a:prstGeom prst="rect">
          <a:avLst/>
        </a:prstGeom>
      </xdr:spPr>
    </xdr:pic>
    <xdr:clientData/>
  </xdr:twoCellAnchor>
  <xdr:oneCellAnchor>
    <xdr:from>
      <xdr:col>3</xdr:col>
      <xdr:colOff>358587</xdr:colOff>
      <xdr:row>133</xdr:row>
      <xdr:rowOff>201706</xdr:rowOff>
    </xdr:from>
    <xdr:ext cx="963708" cy="25904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AAFE84E-B72A-4BA9-A2C8-F85ABE8A39BB}"/>
            </a:ext>
          </a:extLst>
        </xdr:cNvPr>
        <xdr:cNvSpPr txBox="1"/>
      </xdr:nvSpPr>
      <xdr:spPr>
        <a:xfrm>
          <a:off x="2700616" y="34469294"/>
          <a:ext cx="963708" cy="259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/>
        <a:p>
          <a:r>
            <a:rPr lang="ko-KR" altLang="en-US" sz="1000">
              <a:latin typeface="굴림" panose="020B0600000101010101" pitchFamily="50" charset="-127"/>
              <a:ea typeface="굴림" panose="020B0600000101010101" pitchFamily="50" charset="-127"/>
            </a:rPr>
            <a:t>□ </a:t>
          </a:r>
          <a:r>
            <a:rPr lang="en-US" altLang="ko-KR" sz="1000">
              <a:latin typeface="굴림" panose="020B0600000101010101" pitchFamily="50" charset="-127"/>
              <a:ea typeface="굴림" panose="020B0600000101010101" pitchFamily="50" charset="-127"/>
            </a:rPr>
            <a:t>3,</a:t>
          </a:r>
          <a:r>
            <a:rPr lang="en-US" altLang="ko-KR" sz="1000" baseline="0">
              <a:latin typeface="굴림" panose="020B0600000101010101" pitchFamily="50" charset="-127"/>
              <a:ea typeface="굴림" panose="020B0600000101010101" pitchFamily="50" charset="-127"/>
            </a:rPr>
            <a:t> 4</a:t>
          </a:r>
          <a:r>
            <a:rPr lang="ko-KR" altLang="en-US" sz="1000" baseline="0">
              <a:latin typeface="굴림" panose="020B0600000101010101" pitchFamily="50" charset="-127"/>
              <a:ea typeface="굴림" panose="020B0600000101010101" pitchFamily="50" charset="-127"/>
            </a:rPr>
            <a:t>호세대</a:t>
          </a:r>
          <a:endParaRPr lang="ko-KR" altLang="en-US" sz="10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136916</xdr:colOff>
      <xdr:row>2</xdr:row>
      <xdr:rowOff>108960</xdr:rowOff>
    </xdr:from>
    <xdr:to>
      <xdr:col>7</xdr:col>
      <xdr:colOff>694765</xdr:colOff>
      <xdr:row>17</xdr:row>
      <xdr:rowOff>312688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5EF4B33-5E9D-423B-862A-4B6608FA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16" y="781313"/>
          <a:ext cx="5813408" cy="4966228"/>
        </a:xfrm>
        <a:prstGeom prst="rect">
          <a:avLst/>
        </a:prstGeom>
      </xdr:spPr>
    </xdr:pic>
    <xdr:clientData/>
  </xdr:twoCellAnchor>
  <xdr:twoCellAnchor>
    <xdr:from>
      <xdr:col>1</xdr:col>
      <xdr:colOff>726144</xdr:colOff>
      <xdr:row>12</xdr:row>
      <xdr:rowOff>28231</xdr:rowOff>
    </xdr:from>
    <xdr:to>
      <xdr:col>3</xdr:col>
      <xdr:colOff>59383</xdr:colOff>
      <xdr:row>12</xdr:row>
      <xdr:rowOff>285664</xdr:rowOff>
    </xdr:to>
    <xdr:sp macro="" textlink="">
      <xdr:nvSpPr>
        <xdr:cNvPr id="15" name="모서리가 둥근 직사각형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 bwMode="auto">
        <a:xfrm>
          <a:off x="1476938" y="3647731"/>
          <a:ext cx="834827" cy="257433"/>
        </a:xfrm>
        <a:prstGeom prst="roundRect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ctr" latinLnBrk="1" hangingPunct="1">
            <a:defRPr/>
          </a:pPr>
          <a:r>
            <a:rPr lang="en-US" altLang="ko-KR" sz="14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101</a:t>
          </a:r>
          <a:endParaRPr lang="ko-KR" altLang="en-US" sz="1400">
            <a:ln>
              <a:solidFill>
                <a:schemeClr val="tx1"/>
              </a:solidFill>
            </a:ln>
            <a:solidFill>
              <a:schemeClr val="tx1"/>
            </a:solidFill>
            <a:latin typeface="HY중고딕" panose="02030600000101010101" pitchFamily="18" charset="-127"/>
            <a:ea typeface="HY중고딕" panose="02030600000101010101" pitchFamily="18" charset="-127"/>
          </a:endParaRPr>
        </a:p>
      </xdr:txBody>
    </xdr:sp>
    <xdr:clientData/>
  </xdr:twoCellAnchor>
  <xdr:twoCellAnchor>
    <xdr:from>
      <xdr:col>4</xdr:col>
      <xdr:colOff>738501</xdr:colOff>
      <xdr:row>14</xdr:row>
      <xdr:rowOff>178174</xdr:rowOff>
    </xdr:from>
    <xdr:to>
      <xdr:col>5</xdr:col>
      <xdr:colOff>167706</xdr:colOff>
      <xdr:row>14</xdr:row>
      <xdr:rowOff>358174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3741677" y="4425203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178206</xdr:colOff>
      <xdr:row>6</xdr:row>
      <xdr:rowOff>285705</xdr:rowOff>
    </xdr:from>
    <xdr:to>
      <xdr:col>6</xdr:col>
      <xdr:colOff>358206</xdr:colOff>
      <xdr:row>7</xdr:row>
      <xdr:rowOff>151941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4682971" y="2022617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345204</xdr:colOff>
      <xdr:row>3</xdr:row>
      <xdr:rowOff>97401</xdr:rowOff>
    </xdr:from>
    <xdr:ext cx="1354136" cy="323493"/>
    <xdr:sp macro="" textlink="">
      <xdr:nvSpPr>
        <xdr:cNvPr id="74" name="모서리가 둥근 직사각형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 bwMode="auto">
        <a:xfrm>
          <a:off x="345204" y="893019"/>
          <a:ext cx="1354136" cy="323493"/>
        </a:xfrm>
        <a:prstGeom prst="round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 eaLnBrk="1" fontAlgn="ctr" latinLnBrk="1" hangingPunct="1">
            <a:defRPr/>
          </a:pPr>
          <a:r>
            <a:rPr lang="en-US" altLang="ko-KR" sz="12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: </a:t>
          </a:r>
          <a:r>
            <a:rPr lang="ko-KR" altLang="en-US" sz="12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중속 싱글</a:t>
          </a:r>
          <a:endParaRPr lang="en-US" altLang="ko-KR" sz="1200">
            <a:ln>
              <a:solidFill>
                <a:schemeClr val="tx1"/>
              </a:solidFill>
            </a:ln>
            <a:solidFill>
              <a:schemeClr val="tx1"/>
            </a:solidFill>
            <a:latin typeface="HY중고딕" panose="02030600000101010101" pitchFamily="18" charset="-127"/>
            <a:ea typeface="HY중고딕" panose="02030600000101010101" pitchFamily="18" charset="-127"/>
          </a:endParaRPr>
        </a:p>
      </xdr:txBody>
    </xdr:sp>
    <xdr:clientData/>
  </xdr:oneCellAnchor>
  <xdr:twoCellAnchor>
    <xdr:from>
      <xdr:col>0</xdr:col>
      <xdr:colOff>499174</xdr:colOff>
      <xdr:row>3</xdr:row>
      <xdr:rowOff>151550</xdr:rowOff>
    </xdr:from>
    <xdr:to>
      <xdr:col>0</xdr:col>
      <xdr:colOff>679174</xdr:colOff>
      <xdr:row>4</xdr:row>
      <xdr:rowOff>17786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499174" y="947168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369064</xdr:colOff>
      <xdr:row>14</xdr:row>
      <xdr:rowOff>54733</xdr:rowOff>
    </xdr:from>
    <xdr:to>
      <xdr:col>2</xdr:col>
      <xdr:colOff>549064</xdr:colOff>
      <xdr:row>14</xdr:row>
      <xdr:rowOff>234733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BC74975E-5480-4B03-BCA6-92328D07BBBA}"/>
            </a:ext>
          </a:extLst>
        </xdr:cNvPr>
        <xdr:cNvSpPr/>
      </xdr:nvSpPr>
      <xdr:spPr>
        <a:xfrm>
          <a:off x="1870652" y="4301762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601827</xdr:colOff>
      <xdr:row>14</xdr:row>
      <xdr:rowOff>55155</xdr:rowOff>
    </xdr:from>
    <xdr:to>
      <xdr:col>3</xdr:col>
      <xdr:colOff>31033</xdr:colOff>
      <xdr:row>14</xdr:row>
      <xdr:rowOff>235155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7C5E2704-EFE4-4F4B-84C6-A175E5D94601}"/>
            </a:ext>
          </a:extLst>
        </xdr:cNvPr>
        <xdr:cNvSpPr/>
      </xdr:nvSpPr>
      <xdr:spPr>
        <a:xfrm>
          <a:off x="2103415" y="4302184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117049</xdr:colOff>
      <xdr:row>6</xdr:row>
      <xdr:rowOff>265900</xdr:rowOff>
    </xdr:from>
    <xdr:to>
      <xdr:col>5</xdr:col>
      <xdr:colOff>297049</xdr:colOff>
      <xdr:row>7</xdr:row>
      <xdr:rowOff>132136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A89E76A1-9CE3-404F-9514-28BC5C017B82}"/>
            </a:ext>
          </a:extLst>
        </xdr:cNvPr>
        <xdr:cNvSpPr/>
      </xdr:nvSpPr>
      <xdr:spPr>
        <a:xfrm>
          <a:off x="3871020" y="2002812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59149</xdr:colOff>
      <xdr:row>6</xdr:row>
      <xdr:rowOff>118398</xdr:rowOff>
    </xdr:from>
    <xdr:to>
      <xdr:col>3</xdr:col>
      <xdr:colOff>239149</xdr:colOff>
      <xdr:row>6</xdr:row>
      <xdr:rowOff>298398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B09127F9-BE10-4962-BE0B-39E91CFA5671}"/>
            </a:ext>
          </a:extLst>
        </xdr:cNvPr>
        <xdr:cNvSpPr/>
      </xdr:nvSpPr>
      <xdr:spPr>
        <a:xfrm>
          <a:off x="2311531" y="1855310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212974</xdr:colOff>
      <xdr:row>6</xdr:row>
      <xdr:rowOff>107191</xdr:rowOff>
    </xdr:from>
    <xdr:to>
      <xdr:col>1</xdr:col>
      <xdr:colOff>392974</xdr:colOff>
      <xdr:row>6</xdr:row>
      <xdr:rowOff>287191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993F5DEE-4829-4204-9B99-FC5B6A11D57B}"/>
            </a:ext>
          </a:extLst>
        </xdr:cNvPr>
        <xdr:cNvSpPr/>
      </xdr:nvSpPr>
      <xdr:spPr>
        <a:xfrm>
          <a:off x="963768" y="1844103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184348</xdr:colOff>
      <xdr:row>4</xdr:row>
      <xdr:rowOff>274761</xdr:rowOff>
    </xdr:from>
    <xdr:to>
      <xdr:col>6</xdr:col>
      <xdr:colOff>268381</xdr:colOff>
      <xdr:row>5</xdr:row>
      <xdr:rowOff>218429</xdr:rowOff>
    </xdr:to>
    <xdr:sp macro="" textlink="">
      <xdr:nvSpPr>
        <xdr:cNvPr id="63" name="모서리가 둥근 직사각형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 bwMode="auto">
        <a:xfrm>
          <a:off x="3938319" y="1384143"/>
          <a:ext cx="834827" cy="257433"/>
        </a:xfrm>
        <a:prstGeom prst="roundRect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ctr" latinLnBrk="1" hangingPunct="1">
            <a:defRPr/>
          </a:pPr>
          <a:r>
            <a:rPr lang="en-US" altLang="ko-KR" sz="14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103</a:t>
          </a:r>
          <a:endParaRPr lang="ko-KR" altLang="en-US" sz="1400">
            <a:ln>
              <a:solidFill>
                <a:schemeClr val="tx1"/>
              </a:solidFill>
            </a:ln>
            <a:solidFill>
              <a:schemeClr val="tx1"/>
            </a:solidFill>
            <a:latin typeface="HY중고딕" panose="02030600000101010101" pitchFamily="18" charset="-127"/>
            <a:ea typeface="HY중고딕" panose="02030600000101010101" pitchFamily="18" charset="-127"/>
          </a:endParaRPr>
        </a:p>
      </xdr:txBody>
    </xdr:sp>
    <xdr:clientData/>
  </xdr:twoCellAnchor>
  <xdr:twoCellAnchor>
    <xdr:from>
      <xdr:col>5</xdr:col>
      <xdr:colOff>397259</xdr:colOff>
      <xdr:row>11</xdr:row>
      <xdr:rowOff>278390</xdr:rowOff>
    </xdr:from>
    <xdr:to>
      <xdr:col>6</xdr:col>
      <xdr:colOff>481292</xdr:colOff>
      <xdr:row>12</xdr:row>
      <xdr:rowOff>222058</xdr:rowOff>
    </xdr:to>
    <xdr:sp macro="" textlink="">
      <xdr:nvSpPr>
        <xdr:cNvPr id="64" name="모서리가 둥근 직사각형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 bwMode="auto">
        <a:xfrm>
          <a:off x="4151230" y="3584125"/>
          <a:ext cx="834827" cy="257433"/>
        </a:xfrm>
        <a:prstGeom prst="roundRect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ctr" latinLnBrk="1" hangingPunct="1">
            <a:defRPr/>
          </a:pPr>
          <a:r>
            <a:rPr lang="en-US" altLang="ko-KR" sz="14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104</a:t>
          </a:r>
          <a:endParaRPr lang="ko-KR" altLang="en-US" sz="1400">
            <a:ln>
              <a:solidFill>
                <a:schemeClr val="tx1"/>
              </a:solidFill>
            </a:ln>
            <a:solidFill>
              <a:schemeClr val="tx1"/>
            </a:solidFill>
            <a:latin typeface="HY중고딕" panose="02030600000101010101" pitchFamily="18" charset="-127"/>
            <a:ea typeface="HY중고딕" panose="02030600000101010101" pitchFamily="18" charset="-127"/>
          </a:endParaRPr>
        </a:p>
      </xdr:txBody>
    </xdr:sp>
    <xdr:clientData/>
  </xdr:twoCellAnchor>
  <xdr:twoCellAnchor>
    <xdr:from>
      <xdr:col>1</xdr:col>
      <xdr:colOff>532257</xdr:colOff>
      <xdr:row>6</xdr:row>
      <xdr:rowOff>143919</xdr:rowOff>
    </xdr:from>
    <xdr:to>
      <xdr:col>2</xdr:col>
      <xdr:colOff>616290</xdr:colOff>
      <xdr:row>7</xdr:row>
      <xdr:rowOff>87588</xdr:rowOff>
    </xdr:to>
    <xdr:sp macro="" textlink="">
      <xdr:nvSpPr>
        <xdr:cNvPr id="65" name="모서리가 둥근 직사각형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 bwMode="auto">
        <a:xfrm>
          <a:off x="1283051" y="1880831"/>
          <a:ext cx="834827" cy="257433"/>
        </a:xfrm>
        <a:prstGeom prst="roundRect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ctr" latinLnBrk="1" hangingPunct="1">
            <a:defRPr/>
          </a:pPr>
          <a:r>
            <a:rPr lang="en-US" altLang="ko-KR" sz="140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HY중고딕" panose="02030600000101010101" pitchFamily="18" charset="-127"/>
              <a:ea typeface="HY중고딕" panose="02030600000101010101" pitchFamily="18" charset="-127"/>
            </a:rPr>
            <a:t>102</a:t>
          </a:r>
          <a:endParaRPr lang="ko-KR" altLang="en-US" sz="1400">
            <a:ln>
              <a:solidFill>
                <a:schemeClr val="tx1"/>
              </a:solidFill>
            </a:ln>
            <a:solidFill>
              <a:schemeClr val="tx1"/>
            </a:solidFill>
            <a:latin typeface="HY중고딕" panose="02030600000101010101" pitchFamily="18" charset="-127"/>
            <a:ea typeface="HY중고딕" panose="02030600000101010101" pitchFamily="18" charset="-127"/>
          </a:endParaRPr>
        </a:p>
      </xdr:txBody>
    </xdr:sp>
    <xdr:clientData/>
  </xdr:twoCellAnchor>
  <xdr:twoCellAnchor>
    <xdr:from>
      <xdr:col>6</xdr:col>
      <xdr:colOff>704883</xdr:colOff>
      <xdr:row>14</xdr:row>
      <xdr:rowOff>189379</xdr:rowOff>
    </xdr:from>
    <xdr:to>
      <xdr:col>7</xdr:col>
      <xdr:colOff>134089</xdr:colOff>
      <xdr:row>14</xdr:row>
      <xdr:rowOff>369379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25A0C64E-2F04-4537-836F-2E1639CC5655}"/>
            </a:ext>
          </a:extLst>
        </xdr:cNvPr>
        <xdr:cNvSpPr/>
      </xdr:nvSpPr>
      <xdr:spPr>
        <a:xfrm>
          <a:off x="5209648" y="4436408"/>
          <a:ext cx="180000" cy="180000"/>
        </a:xfrm>
        <a:prstGeom prst="ellipse">
          <a:avLst/>
        </a:prstGeom>
        <a:solidFill>
          <a:srgbClr val="0000FF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7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57981</xdr:colOff>
      <xdr:row>3</xdr:row>
      <xdr:rowOff>41413</xdr:rowOff>
    </xdr:from>
    <xdr:to>
      <xdr:col>12</xdr:col>
      <xdr:colOff>659721</xdr:colOff>
      <xdr:row>29</xdr:row>
      <xdr:rowOff>132522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2DC856-01FC-4D63-BB7F-C1987891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81" y="646043"/>
          <a:ext cx="9745740" cy="46134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76198</xdr:colOff>
      <xdr:row>2</xdr:row>
      <xdr:rowOff>55747</xdr:rowOff>
    </xdr:from>
    <xdr:to>
      <xdr:col>8</xdr:col>
      <xdr:colOff>702784</xdr:colOff>
      <xdr:row>21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6E40EB-36F3-400D-B44A-F750EC251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088877" y="-366382"/>
          <a:ext cx="4697228" cy="672258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21</xdr:row>
      <xdr:rowOff>241300</xdr:rowOff>
    </xdr:from>
    <xdr:to>
      <xdr:col>8</xdr:col>
      <xdr:colOff>714374</xdr:colOff>
      <xdr:row>32</xdr:row>
      <xdr:rowOff>62513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18D91AF-9EC5-42F8-9C8C-39136E78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537200"/>
          <a:ext cx="6743699" cy="2545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showGridLines="0" view="pageBreakPreview" zoomScaleNormal="85" zoomScaleSheetLayoutView="100" workbookViewId="0">
      <selection activeCell="J13" sqref="J13"/>
    </sheetView>
  </sheetViews>
  <sheetFormatPr defaultColWidth="8" defaultRowHeight="12"/>
  <cols>
    <col min="1" max="1" width="4.21875" style="2" customWidth="1"/>
    <col min="2" max="2" width="8" style="2" customWidth="1"/>
    <col min="3" max="3" width="7.88671875" style="2" customWidth="1"/>
    <col min="4" max="4" width="8" style="2" customWidth="1"/>
    <col min="5" max="5" width="8.21875" style="2" customWidth="1"/>
    <col min="6" max="6" width="21.77734375" style="2" customWidth="1"/>
    <col min="7" max="7" width="14.88671875" style="2" customWidth="1"/>
    <col min="8" max="8" width="4.109375" style="2" customWidth="1"/>
    <col min="9" max="9" width="8" style="2" customWidth="1"/>
    <col min="10" max="10" width="7.77734375" style="2" customWidth="1"/>
    <col min="11" max="12" width="8.109375" style="2" customWidth="1"/>
    <col min="13" max="13" width="7.44140625" style="2" customWidth="1"/>
    <col min="14" max="14" width="4" style="2" customWidth="1"/>
    <col min="15" max="19" width="8" style="2" customWidth="1"/>
    <col min="20" max="20" width="4" style="2" customWidth="1"/>
    <col min="21" max="256" width="8" style="2"/>
    <col min="257" max="257" width="4.21875" style="2" customWidth="1"/>
    <col min="258" max="258" width="8" style="2" customWidth="1"/>
    <col min="259" max="259" width="7.88671875" style="2" customWidth="1"/>
    <col min="260" max="260" width="8" style="2" customWidth="1"/>
    <col min="261" max="261" width="8.21875" style="2" customWidth="1"/>
    <col min="262" max="262" width="21.77734375" style="2" customWidth="1"/>
    <col min="263" max="263" width="14.88671875" style="2" customWidth="1"/>
    <col min="264" max="264" width="4.109375" style="2" customWidth="1"/>
    <col min="265" max="265" width="8" style="2" customWidth="1"/>
    <col min="266" max="266" width="7.77734375" style="2" customWidth="1"/>
    <col min="267" max="268" width="8.109375" style="2" customWidth="1"/>
    <col min="269" max="269" width="7.44140625" style="2" customWidth="1"/>
    <col min="270" max="270" width="4" style="2" customWidth="1"/>
    <col min="271" max="275" width="8" style="2" customWidth="1"/>
    <col min="276" max="276" width="4" style="2" customWidth="1"/>
    <col min="277" max="512" width="8" style="2"/>
    <col min="513" max="513" width="4.21875" style="2" customWidth="1"/>
    <col min="514" max="514" width="8" style="2" customWidth="1"/>
    <col min="515" max="515" width="7.88671875" style="2" customWidth="1"/>
    <col min="516" max="516" width="8" style="2" customWidth="1"/>
    <col min="517" max="517" width="8.21875" style="2" customWidth="1"/>
    <col min="518" max="518" width="21.77734375" style="2" customWidth="1"/>
    <col min="519" max="519" width="14.88671875" style="2" customWidth="1"/>
    <col min="520" max="520" width="4.109375" style="2" customWidth="1"/>
    <col min="521" max="521" width="8" style="2" customWidth="1"/>
    <col min="522" max="522" width="7.77734375" style="2" customWidth="1"/>
    <col min="523" max="524" width="8.109375" style="2" customWidth="1"/>
    <col min="525" max="525" width="7.44140625" style="2" customWidth="1"/>
    <col min="526" max="526" width="4" style="2" customWidth="1"/>
    <col min="527" max="531" width="8" style="2" customWidth="1"/>
    <col min="532" max="532" width="4" style="2" customWidth="1"/>
    <col min="533" max="768" width="8" style="2"/>
    <col min="769" max="769" width="4.21875" style="2" customWidth="1"/>
    <col min="770" max="770" width="8" style="2" customWidth="1"/>
    <col min="771" max="771" width="7.88671875" style="2" customWidth="1"/>
    <col min="772" max="772" width="8" style="2" customWidth="1"/>
    <col min="773" max="773" width="8.21875" style="2" customWidth="1"/>
    <col min="774" max="774" width="21.77734375" style="2" customWidth="1"/>
    <col min="775" max="775" width="14.88671875" style="2" customWidth="1"/>
    <col min="776" max="776" width="4.109375" style="2" customWidth="1"/>
    <col min="777" max="777" width="8" style="2" customWidth="1"/>
    <col min="778" max="778" width="7.77734375" style="2" customWidth="1"/>
    <col min="779" max="780" width="8.109375" style="2" customWidth="1"/>
    <col min="781" max="781" width="7.44140625" style="2" customWidth="1"/>
    <col min="782" max="782" width="4" style="2" customWidth="1"/>
    <col min="783" max="787" width="8" style="2" customWidth="1"/>
    <col min="788" max="788" width="4" style="2" customWidth="1"/>
    <col min="789" max="1024" width="8" style="2"/>
    <col min="1025" max="1025" width="4.21875" style="2" customWidth="1"/>
    <col min="1026" max="1026" width="8" style="2" customWidth="1"/>
    <col min="1027" max="1027" width="7.88671875" style="2" customWidth="1"/>
    <col min="1028" max="1028" width="8" style="2" customWidth="1"/>
    <col min="1029" max="1029" width="8.21875" style="2" customWidth="1"/>
    <col min="1030" max="1030" width="21.77734375" style="2" customWidth="1"/>
    <col min="1031" max="1031" width="14.88671875" style="2" customWidth="1"/>
    <col min="1032" max="1032" width="4.109375" style="2" customWidth="1"/>
    <col min="1033" max="1033" width="8" style="2" customWidth="1"/>
    <col min="1034" max="1034" width="7.77734375" style="2" customWidth="1"/>
    <col min="1035" max="1036" width="8.109375" style="2" customWidth="1"/>
    <col min="1037" max="1037" width="7.44140625" style="2" customWidth="1"/>
    <col min="1038" max="1038" width="4" style="2" customWidth="1"/>
    <col min="1039" max="1043" width="8" style="2" customWidth="1"/>
    <col min="1044" max="1044" width="4" style="2" customWidth="1"/>
    <col min="1045" max="1280" width="8" style="2"/>
    <col min="1281" max="1281" width="4.21875" style="2" customWidth="1"/>
    <col min="1282" max="1282" width="8" style="2" customWidth="1"/>
    <col min="1283" max="1283" width="7.88671875" style="2" customWidth="1"/>
    <col min="1284" max="1284" width="8" style="2" customWidth="1"/>
    <col min="1285" max="1285" width="8.21875" style="2" customWidth="1"/>
    <col min="1286" max="1286" width="21.77734375" style="2" customWidth="1"/>
    <col min="1287" max="1287" width="14.88671875" style="2" customWidth="1"/>
    <col min="1288" max="1288" width="4.109375" style="2" customWidth="1"/>
    <col min="1289" max="1289" width="8" style="2" customWidth="1"/>
    <col min="1290" max="1290" width="7.77734375" style="2" customWidth="1"/>
    <col min="1291" max="1292" width="8.109375" style="2" customWidth="1"/>
    <col min="1293" max="1293" width="7.44140625" style="2" customWidth="1"/>
    <col min="1294" max="1294" width="4" style="2" customWidth="1"/>
    <col min="1295" max="1299" width="8" style="2" customWidth="1"/>
    <col min="1300" max="1300" width="4" style="2" customWidth="1"/>
    <col min="1301" max="1536" width="8" style="2"/>
    <col min="1537" max="1537" width="4.21875" style="2" customWidth="1"/>
    <col min="1538" max="1538" width="8" style="2" customWidth="1"/>
    <col min="1539" max="1539" width="7.88671875" style="2" customWidth="1"/>
    <col min="1540" max="1540" width="8" style="2" customWidth="1"/>
    <col min="1541" max="1541" width="8.21875" style="2" customWidth="1"/>
    <col min="1542" max="1542" width="21.77734375" style="2" customWidth="1"/>
    <col min="1543" max="1543" width="14.88671875" style="2" customWidth="1"/>
    <col min="1544" max="1544" width="4.109375" style="2" customWidth="1"/>
    <col min="1545" max="1545" width="8" style="2" customWidth="1"/>
    <col min="1546" max="1546" width="7.77734375" style="2" customWidth="1"/>
    <col min="1547" max="1548" width="8.109375" style="2" customWidth="1"/>
    <col min="1549" max="1549" width="7.44140625" style="2" customWidth="1"/>
    <col min="1550" max="1550" width="4" style="2" customWidth="1"/>
    <col min="1551" max="1555" width="8" style="2" customWidth="1"/>
    <col min="1556" max="1556" width="4" style="2" customWidth="1"/>
    <col min="1557" max="1792" width="8" style="2"/>
    <col min="1793" max="1793" width="4.21875" style="2" customWidth="1"/>
    <col min="1794" max="1794" width="8" style="2" customWidth="1"/>
    <col min="1795" max="1795" width="7.88671875" style="2" customWidth="1"/>
    <col min="1796" max="1796" width="8" style="2" customWidth="1"/>
    <col min="1797" max="1797" width="8.21875" style="2" customWidth="1"/>
    <col min="1798" max="1798" width="21.77734375" style="2" customWidth="1"/>
    <col min="1799" max="1799" width="14.88671875" style="2" customWidth="1"/>
    <col min="1800" max="1800" width="4.109375" style="2" customWidth="1"/>
    <col min="1801" max="1801" width="8" style="2" customWidth="1"/>
    <col min="1802" max="1802" width="7.77734375" style="2" customWidth="1"/>
    <col min="1803" max="1804" width="8.109375" style="2" customWidth="1"/>
    <col min="1805" max="1805" width="7.44140625" style="2" customWidth="1"/>
    <col min="1806" max="1806" width="4" style="2" customWidth="1"/>
    <col min="1807" max="1811" width="8" style="2" customWidth="1"/>
    <col min="1812" max="1812" width="4" style="2" customWidth="1"/>
    <col min="1813" max="2048" width="8" style="2"/>
    <col min="2049" max="2049" width="4.21875" style="2" customWidth="1"/>
    <col min="2050" max="2050" width="8" style="2" customWidth="1"/>
    <col min="2051" max="2051" width="7.88671875" style="2" customWidth="1"/>
    <col min="2052" max="2052" width="8" style="2" customWidth="1"/>
    <col min="2053" max="2053" width="8.21875" style="2" customWidth="1"/>
    <col min="2054" max="2054" width="21.77734375" style="2" customWidth="1"/>
    <col min="2055" max="2055" width="14.88671875" style="2" customWidth="1"/>
    <col min="2056" max="2056" width="4.109375" style="2" customWidth="1"/>
    <col min="2057" max="2057" width="8" style="2" customWidth="1"/>
    <col min="2058" max="2058" width="7.77734375" style="2" customWidth="1"/>
    <col min="2059" max="2060" width="8.109375" style="2" customWidth="1"/>
    <col min="2061" max="2061" width="7.44140625" style="2" customWidth="1"/>
    <col min="2062" max="2062" width="4" style="2" customWidth="1"/>
    <col min="2063" max="2067" width="8" style="2" customWidth="1"/>
    <col min="2068" max="2068" width="4" style="2" customWidth="1"/>
    <col min="2069" max="2304" width="8" style="2"/>
    <col min="2305" max="2305" width="4.21875" style="2" customWidth="1"/>
    <col min="2306" max="2306" width="8" style="2" customWidth="1"/>
    <col min="2307" max="2307" width="7.88671875" style="2" customWidth="1"/>
    <col min="2308" max="2308" width="8" style="2" customWidth="1"/>
    <col min="2309" max="2309" width="8.21875" style="2" customWidth="1"/>
    <col min="2310" max="2310" width="21.77734375" style="2" customWidth="1"/>
    <col min="2311" max="2311" width="14.88671875" style="2" customWidth="1"/>
    <col min="2312" max="2312" width="4.109375" style="2" customWidth="1"/>
    <col min="2313" max="2313" width="8" style="2" customWidth="1"/>
    <col min="2314" max="2314" width="7.77734375" style="2" customWidth="1"/>
    <col min="2315" max="2316" width="8.109375" style="2" customWidth="1"/>
    <col min="2317" max="2317" width="7.44140625" style="2" customWidth="1"/>
    <col min="2318" max="2318" width="4" style="2" customWidth="1"/>
    <col min="2319" max="2323" width="8" style="2" customWidth="1"/>
    <col min="2324" max="2324" width="4" style="2" customWidth="1"/>
    <col min="2325" max="2560" width="8" style="2"/>
    <col min="2561" max="2561" width="4.21875" style="2" customWidth="1"/>
    <col min="2562" max="2562" width="8" style="2" customWidth="1"/>
    <col min="2563" max="2563" width="7.88671875" style="2" customWidth="1"/>
    <col min="2564" max="2564" width="8" style="2" customWidth="1"/>
    <col min="2565" max="2565" width="8.21875" style="2" customWidth="1"/>
    <col min="2566" max="2566" width="21.77734375" style="2" customWidth="1"/>
    <col min="2567" max="2567" width="14.88671875" style="2" customWidth="1"/>
    <col min="2568" max="2568" width="4.109375" style="2" customWidth="1"/>
    <col min="2569" max="2569" width="8" style="2" customWidth="1"/>
    <col min="2570" max="2570" width="7.77734375" style="2" customWidth="1"/>
    <col min="2571" max="2572" width="8.109375" style="2" customWidth="1"/>
    <col min="2573" max="2573" width="7.44140625" style="2" customWidth="1"/>
    <col min="2574" max="2574" width="4" style="2" customWidth="1"/>
    <col min="2575" max="2579" width="8" style="2" customWidth="1"/>
    <col min="2580" max="2580" width="4" style="2" customWidth="1"/>
    <col min="2581" max="2816" width="8" style="2"/>
    <col min="2817" max="2817" width="4.21875" style="2" customWidth="1"/>
    <col min="2818" max="2818" width="8" style="2" customWidth="1"/>
    <col min="2819" max="2819" width="7.88671875" style="2" customWidth="1"/>
    <col min="2820" max="2820" width="8" style="2" customWidth="1"/>
    <col min="2821" max="2821" width="8.21875" style="2" customWidth="1"/>
    <col min="2822" max="2822" width="21.77734375" style="2" customWidth="1"/>
    <col min="2823" max="2823" width="14.88671875" style="2" customWidth="1"/>
    <col min="2824" max="2824" width="4.109375" style="2" customWidth="1"/>
    <col min="2825" max="2825" width="8" style="2" customWidth="1"/>
    <col min="2826" max="2826" width="7.77734375" style="2" customWidth="1"/>
    <col min="2827" max="2828" width="8.109375" style="2" customWidth="1"/>
    <col min="2829" max="2829" width="7.44140625" style="2" customWidth="1"/>
    <col min="2830" max="2830" width="4" style="2" customWidth="1"/>
    <col min="2831" max="2835" width="8" style="2" customWidth="1"/>
    <col min="2836" max="2836" width="4" style="2" customWidth="1"/>
    <col min="2837" max="3072" width="8" style="2"/>
    <col min="3073" max="3073" width="4.21875" style="2" customWidth="1"/>
    <col min="3074" max="3074" width="8" style="2" customWidth="1"/>
    <col min="3075" max="3075" width="7.88671875" style="2" customWidth="1"/>
    <col min="3076" max="3076" width="8" style="2" customWidth="1"/>
    <col min="3077" max="3077" width="8.21875" style="2" customWidth="1"/>
    <col min="3078" max="3078" width="21.77734375" style="2" customWidth="1"/>
    <col min="3079" max="3079" width="14.88671875" style="2" customWidth="1"/>
    <col min="3080" max="3080" width="4.109375" style="2" customWidth="1"/>
    <col min="3081" max="3081" width="8" style="2" customWidth="1"/>
    <col min="3082" max="3082" width="7.77734375" style="2" customWidth="1"/>
    <col min="3083" max="3084" width="8.109375" style="2" customWidth="1"/>
    <col min="3085" max="3085" width="7.44140625" style="2" customWidth="1"/>
    <col min="3086" max="3086" width="4" style="2" customWidth="1"/>
    <col min="3087" max="3091" width="8" style="2" customWidth="1"/>
    <col min="3092" max="3092" width="4" style="2" customWidth="1"/>
    <col min="3093" max="3328" width="8" style="2"/>
    <col min="3329" max="3329" width="4.21875" style="2" customWidth="1"/>
    <col min="3330" max="3330" width="8" style="2" customWidth="1"/>
    <col min="3331" max="3331" width="7.88671875" style="2" customWidth="1"/>
    <col min="3332" max="3332" width="8" style="2" customWidth="1"/>
    <col min="3333" max="3333" width="8.21875" style="2" customWidth="1"/>
    <col min="3334" max="3334" width="21.77734375" style="2" customWidth="1"/>
    <col min="3335" max="3335" width="14.88671875" style="2" customWidth="1"/>
    <col min="3336" max="3336" width="4.109375" style="2" customWidth="1"/>
    <col min="3337" max="3337" width="8" style="2" customWidth="1"/>
    <col min="3338" max="3338" width="7.77734375" style="2" customWidth="1"/>
    <col min="3339" max="3340" width="8.109375" style="2" customWidth="1"/>
    <col min="3341" max="3341" width="7.44140625" style="2" customWidth="1"/>
    <col min="3342" max="3342" width="4" style="2" customWidth="1"/>
    <col min="3343" max="3347" width="8" style="2" customWidth="1"/>
    <col min="3348" max="3348" width="4" style="2" customWidth="1"/>
    <col min="3349" max="3584" width="8" style="2"/>
    <col min="3585" max="3585" width="4.21875" style="2" customWidth="1"/>
    <col min="3586" max="3586" width="8" style="2" customWidth="1"/>
    <col min="3587" max="3587" width="7.88671875" style="2" customWidth="1"/>
    <col min="3588" max="3588" width="8" style="2" customWidth="1"/>
    <col min="3589" max="3589" width="8.21875" style="2" customWidth="1"/>
    <col min="3590" max="3590" width="21.77734375" style="2" customWidth="1"/>
    <col min="3591" max="3591" width="14.88671875" style="2" customWidth="1"/>
    <col min="3592" max="3592" width="4.109375" style="2" customWidth="1"/>
    <col min="3593" max="3593" width="8" style="2" customWidth="1"/>
    <col min="3594" max="3594" width="7.77734375" style="2" customWidth="1"/>
    <col min="3595" max="3596" width="8.109375" style="2" customWidth="1"/>
    <col min="3597" max="3597" width="7.44140625" style="2" customWidth="1"/>
    <col min="3598" max="3598" width="4" style="2" customWidth="1"/>
    <col min="3599" max="3603" width="8" style="2" customWidth="1"/>
    <col min="3604" max="3604" width="4" style="2" customWidth="1"/>
    <col min="3605" max="3840" width="8" style="2"/>
    <col min="3841" max="3841" width="4.21875" style="2" customWidth="1"/>
    <col min="3842" max="3842" width="8" style="2" customWidth="1"/>
    <col min="3843" max="3843" width="7.88671875" style="2" customWidth="1"/>
    <col min="3844" max="3844" width="8" style="2" customWidth="1"/>
    <col min="3845" max="3845" width="8.21875" style="2" customWidth="1"/>
    <col min="3846" max="3846" width="21.77734375" style="2" customWidth="1"/>
    <col min="3847" max="3847" width="14.88671875" style="2" customWidth="1"/>
    <col min="3848" max="3848" width="4.109375" style="2" customWidth="1"/>
    <col min="3849" max="3849" width="8" style="2" customWidth="1"/>
    <col min="3850" max="3850" width="7.77734375" style="2" customWidth="1"/>
    <col min="3851" max="3852" width="8.109375" style="2" customWidth="1"/>
    <col min="3853" max="3853" width="7.44140625" style="2" customWidth="1"/>
    <col min="3854" max="3854" width="4" style="2" customWidth="1"/>
    <col min="3855" max="3859" width="8" style="2" customWidth="1"/>
    <col min="3860" max="3860" width="4" style="2" customWidth="1"/>
    <col min="3861" max="4096" width="8" style="2"/>
    <col min="4097" max="4097" width="4.21875" style="2" customWidth="1"/>
    <col min="4098" max="4098" width="8" style="2" customWidth="1"/>
    <col min="4099" max="4099" width="7.88671875" style="2" customWidth="1"/>
    <col min="4100" max="4100" width="8" style="2" customWidth="1"/>
    <col min="4101" max="4101" width="8.21875" style="2" customWidth="1"/>
    <col min="4102" max="4102" width="21.77734375" style="2" customWidth="1"/>
    <col min="4103" max="4103" width="14.88671875" style="2" customWidth="1"/>
    <col min="4104" max="4104" width="4.109375" style="2" customWidth="1"/>
    <col min="4105" max="4105" width="8" style="2" customWidth="1"/>
    <col min="4106" max="4106" width="7.77734375" style="2" customWidth="1"/>
    <col min="4107" max="4108" width="8.109375" style="2" customWidth="1"/>
    <col min="4109" max="4109" width="7.44140625" style="2" customWidth="1"/>
    <col min="4110" max="4110" width="4" style="2" customWidth="1"/>
    <col min="4111" max="4115" width="8" style="2" customWidth="1"/>
    <col min="4116" max="4116" width="4" style="2" customWidth="1"/>
    <col min="4117" max="4352" width="8" style="2"/>
    <col min="4353" max="4353" width="4.21875" style="2" customWidth="1"/>
    <col min="4354" max="4354" width="8" style="2" customWidth="1"/>
    <col min="4355" max="4355" width="7.88671875" style="2" customWidth="1"/>
    <col min="4356" max="4356" width="8" style="2" customWidth="1"/>
    <col min="4357" max="4357" width="8.21875" style="2" customWidth="1"/>
    <col min="4358" max="4358" width="21.77734375" style="2" customWidth="1"/>
    <col min="4359" max="4359" width="14.88671875" style="2" customWidth="1"/>
    <col min="4360" max="4360" width="4.109375" style="2" customWidth="1"/>
    <col min="4361" max="4361" width="8" style="2" customWidth="1"/>
    <col min="4362" max="4362" width="7.77734375" style="2" customWidth="1"/>
    <col min="4363" max="4364" width="8.109375" style="2" customWidth="1"/>
    <col min="4365" max="4365" width="7.44140625" style="2" customWidth="1"/>
    <col min="4366" max="4366" width="4" style="2" customWidth="1"/>
    <col min="4367" max="4371" width="8" style="2" customWidth="1"/>
    <col min="4372" max="4372" width="4" style="2" customWidth="1"/>
    <col min="4373" max="4608" width="8" style="2"/>
    <col min="4609" max="4609" width="4.21875" style="2" customWidth="1"/>
    <col min="4610" max="4610" width="8" style="2" customWidth="1"/>
    <col min="4611" max="4611" width="7.88671875" style="2" customWidth="1"/>
    <col min="4612" max="4612" width="8" style="2" customWidth="1"/>
    <col min="4613" max="4613" width="8.21875" style="2" customWidth="1"/>
    <col min="4614" max="4614" width="21.77734375" style="2" customWidth="1"/>
    <col min="4615" max="4615" width="14.88671875" style="2" customWidth="1"/>
    <col min="4616" max="4616" width="4.109375" style="2" customWidth="1"/>
    <col min="4617" max="4617" width="8" style="2" customWidth="1"/>
    <col min="4618" max="4618" width="7.77734375" style="2" customWidth="1"/>
    <col min="4619" max="4620" width="8.109375" style="2" customWidth="1"/>
    <col min="4621" max="4621" width="7.44140625" style="2" customWidth="1"/>
    <col min="4622" max="4622" width="4" style="2" customWidth="1"/>
    <col min="4623" max="4627" width="8" style="2" customWidth="1"/>
    <col min="4628" max="4628" width="4" style="2" customWidth="1"/>
    <col min="4629" max="4864" width="8" style="2"/>
    <col min="4865" max="4865" width="4.21875" style="2" customWidth="1"/>
    <col min="4866" max="4866" width="8" style="2" customWidth="1"/>
    <col min="4867" max="4867" width="7.88671875" style="2" customWidth="1"/>
    <col min="4868" max="4868" width="8" style="2" customWidth="1"/>
    <col min="4869" max="4869" width="8.21875" style="2" customWidth="1"/>
    <col min="4870" max="4870" width="21.77734375" style="2" customWidth="1"/>
    <col min="4871" max="4871" width="14.88671875" style="2" customWidth="1"/>
    <col min="4872" max="4872" width="4.109375" style="2" customWidth="1"/>
    <col min="4873" max="4873" width="8" style="2" customWidth="1"/>
    <col min="4874" max="4874" width="7.77734375" style="2" customWidth="1"/>
    <col min="4875" max="4876" width="8.109375" style="2" customWidth="1"/>
    <col min="4877" max="4877" width="7.44140625" style="2" customWidth="1"/>
    <col min="4878" max="4878" width="4" style="2" customWidth="1"/>
    <col min="4879" max="4883" width="8" style="2" customWidth="1"/>
    <col min="4884" max="4884" width="4" style="2" customWidth="1"/>
    <col min="4885" max="5120" width="8" style="2"/>
    <col min="5121" max="5121" width="4.21875" style="2" customWidth="1"/>
    <col min="5122" max="5122" width="8" style="2" customWidth="1"/>
    <col min="5123" max="5123" width="7.88671875" style="2" customWidth="1"/>
    <col min="5124" max="5124" width="8" style="2" customWidth="1"/>
    <col min="5125" max="5125" width="8.21875" style="2" customWidth="1"/>
    <col min="5126" max="5126" width="21.77734375" style="2" customWidth="1"/>
    <col min="5127" max="5127" width="14.88671875" style="2" customWidth="1"/>
    <col min="5128" max="5128" width="4.109375" style="2" customWidth="1"/>
    <col min="5129" max="5129" width="8" style="2" customWidth="1"/>
    <col min="5130" max="5130" width="7.77734375" style="2" customWidth="1"/>
    <col min="5131" max="5132" width="8.109375" style="2" customWidth="1"/>
    <col min="5133" max="5133" width="7.44140625" style="2" customWidth="1"/>
    <col min="5134" max="5134" width="4" style="2" customWidth="1"/>
    <col min="5135" max="5139" width="8" style="2" customWidth="1"/>
    <col min="5140" max="5140" width="4" style="2" customWidth="1"/>
    <col min="5141" max="5376" width="8" style="2"/>
    <col min="5377" max="5377" width="4.21875" style="2" customWidth="1"/>
    <col min="5378" max="5378" width="8" style="2" customWidth="1"/>
    <col min="5379" max="5379" width="7.88671875" style="2" customWidth="1"/>
    <col min="5380" max="5380" width="8" style="2" customWidth="1"/>
    <col min="5381" max="5381" width="8.21875" style="2" customWidth="1"/>
    <col min="5382" max="5382" width="21.77734375" style="2" customWidth="1"/>
    <col min="5383" max="5383" width="14.88671875" style="2" customWidth="1"/>
    <col min="5384" max="5384" width="4.109375" style="2" customWidth="1"/>
    <col min="5385" max="5385" width="8" style="2" customWidth="1"/>
    <col min="5386" max="5386" width="7.77734375" style="2" customWidth="1"/>
    <col min="5387" max="5388" width="8.109375" style="2" customWidth="1"/>
    <col min="5389" max="5389" width="7.44140625" style="2" customWidth="1"/>
    <col min="5390" max="5390" width="4" style="2" customWidth="1"/>
    <col min="5391" max="5395" width="8" style="2" customWidth="1"/>
    <col min="5396" max="5396" width="4" style="2" customWidth="1"/>
    <col min="5397" max="5632" width="8" style="2"/>
    <col min="5633" max="5633" width="4.21875" style="2" customWidth="1"/>
    <col min="5634" max="5634" width="8" style="2" customWidth="1"/>
    <col min="5635" max="5635" width="7.88671875" style="2" customWidth="1"/>
    <col min="5636" max="5636" width="8" style="2" customWidth="1"/>
    <col min="5637" max="5637" width="8.21875" style="2" customWidth="1"/>
    <col min="5638" max="5638" width="21.77734375" style="2" customWidth="1"/>
    <col min="5639" max="5639" width="14.88671875" style="2" customWidth="1"/>
    <col min="5640" max="5640" width="4.109375" style="2" customWidth="1"/>
    <col min="5641" max="5641" width="8" style="2" customWidth="1"/>
    <col min="5642" max="5642" width="7.77734375" style="2" customWidth="1"/>
    <col min="5643" max="5644" width="8.109375" style="2" customWidth="1"/>
    <col min="5645" max="5645" width="7.44140625" style="2" customWidth="1"/>
    <col min="5646" max="5646" width="4" style="2" customWidth="1"/>
    <col min="5647" max="5651" width="8" style="2" customWidth="1"/>
    <col min="5652" max="5652" width="4" style="2" customWidth="1"/>
    <col min="5653" max="5888" width="8" style="2"/>
    <col min="5889" max="5889" width="4.21875" style="2" customWidth="1"/>
    <col min="5890" max="5890" width="8" style="2" customWidth="1"/>
    <col min="5891" max="5891" width="7.88671875" style="2" customWidth="1"/>
    <col min="5892" max="5892" width="8" style="2" customWidth="1"/>
    <col min="5893" max="5893" width="8.21875" style="2" customWidth="1"/>
    <col min="5894" max="5894" width="21.77734375" style="2" customWidth="1"/>
    <col min="5895" max="5895" width="14.88671875" style="2" customWidth="1"/>
    <col min="5896" max="5896" width="4.109375" style="2" customWidth="1"/>
    <col min="5897" max="5897" width="8" style="2" customWidth="1"/>
    <col min="5898" max="5898" width="7.77734375" style="2" customWidth="1"/>
    <col min="5899" max="5900" width="8.109375" style="2" customWidth="1"/>
    <col min="5901" max="5901" width="7.44140625" style="2" customWidth="1"/>
    <col min="5902" max="5902" width="4" style="2" customWidth="1"/>
    <col min="5903" max="5907" width="8" style="2" customWidth="1"/>
    <col min="5908" max="5908" width="4" style="2" customWidth="1"/>
    <col min="5909" max="6144" width="8" style="2"/>
    <col min="6145" max="6145" width="4.21875" style="2" customWidth="1"/>
    <col min="6146" max="6146" width="8" style="2" customWidth="1"/>
    <col min="6147" max="6147" width="7.88671875" style="2" customWidth="1"/>
    <col min="6148" max="6148" width="8" style="2" customWidth="1"/>
    <col min="6149" max="6149" width="8.21875" style="2" customWidth="1"/>
    <col min="6150" max="6150" width="21.77734375" style="2" customWidth="1"/>
    <col min="6151" max="6151" width="14.88671875" style="2" customWidth="1"/>
    <col min="6152" max="6152" width="4.109375" style="2" customWidth="1"/>
    <col min="6153" max="6153" width="8" style="2" customWidth="1"/>
    <col min="6154" max="6154" width="7.77734375" style="2" customWidth="1"/>
    <col min="6155" max="6156" width="8.109375" style="2" customWidth="1"/>
    <col min="6157" max="6157" width="7.44140625" style="2" customWidth="1"/>
    <col min="6158" max="6158" width="4" style="2" customWidth="1"/>
    <col min="6159" max="6163" width="8" style="2" customWidth="1"/>
    <col min="6164" max="6164" width="4" style="2" customWidth="1"/>
    <col min="6165" max="6400" width="8" style="2"/>
    <col min="6401" max="6401" width="4.21875" style="2" customWidth="1"/>
    <col min="6402" max="6402" width="8" style="2" customWidth="1"/>
    <col min="6403" max="6403" width="7.88671875" style="2" customWidth="1"/>
    <col min="6404" max="6404" width="8" style="2" customWidth="1"/>
    <col min="6405" max="6405" width="8.21875" style="2" customWidth="1"/>
    <col min="6406" max="6406" width="21.77734375" style="2" customWidth="1"/>
    <col min="6407" max="6407" width="14.88671875" style="2" customWidth="1"/>
    <col min="6408" max="6408" width="4.109375" style="2" customWidth="1"/>
    <col min="6409" max="6409" width="8" style="2" customWidth="1"/>
    <col min="6410" max="6410" width="7.77734375" style="2" customWidth="1"/>
    <col min="6411" max="6412" width="8.109375" style="2" customWidth="1"/>
    <col min="6413" max="6413" width="7.44140625" style="2" customWidth="1"/>
    <col min="6414" max="6414" width="4" style="2" customWidth="1"/>
    <col min="6415" max="6419" width="8" style="2" customWidth="1"/>
    <col min="6420" max="6420" width="4" style="2" customWidth="1"/>
    <col min="6421" max="6656" width="8" style="2"/>
    <col min="6657" max="6657" width="4.21875" style="2" customWidth="1"/>
    <col min="6658" max="6658" width="8" style="2" customWidth="1"/>
    <col min="6659" max="6659" width="7.88671875" style="2" customWidth="1"/>
    <col min="6660" max="6660" width="8" style="2" customWidth="1"/>
    <col min="6661" max="6661" width="8.21875" style="2" customWidth="1"/>
    <col min="6662" max="6662" width="21.77734375" style="2" customWidth="1"/>
    <col min="6663" max="6663" width="14.88671875" style="2" customWidth="1"/>
    <col min="6664" max="6664" width="4.109375" style="2" customWidth="1"/>
    <col min="6665" max="6665" width="8" style="2" customWidth="1"/>
    <col min="6666" max="6666" width="7.77734375" style="2" customWidth="1"/>
    <col min="6667" max="6668" width="8.109375" style="2" customWidth="1"/>
    <col min="6669" max="6669" width="7.44140625" style="2" customWidth="1"/>
    <col min="6670" max="6670" width="4" style="2" customWidth="1"/>
    <col min="6671" max="6675" width="8" style="2" customWidth="1"/>
    <col min="6676" max="6676" width="4" style="2" customWidth="1"/>
    <col min="6677" max="6912" width="8" style="2"/>
    <col min="6913" max="6913" width="4.21875" style="2" customWidth="1"/>
    <col min="6914" max="6914" width="8" style="2" customWidth="1"/>
    <col min="6915" max="6915" width="7.88671875" style="2" customWidth="1"/>
    <col min="6916" max="6916" width="8" style="2" customWidth="1"/>
    <col min="6917" max="6917" width="8.21875" style="2" customWidth="1"/>
    <col min="6918" max="6918" width="21.77734375" style="2" customWidth="1"/>
    <col min="6919" max="6919" width="14.88671875" style="2" customWidth="1"/>
    <col min="6920" max="6920" width="4.109375" style="2" customWidth="1"/>
    <col min="6921" max="6921" width="8" style="2" customWidth="1"/>
    <col min="6922" max="6922" width="7.77734375" style="2" customWidth="1"/>
    <col min="6923" max="6924" width="8.109375" style="2" customWidth="1"/>
    <col min="6925" max="6925" width="7.44140625" style="2" customWidth="1"/>
    <col min="6926" max="6926" width="4" style="2" customWidth="1"/>
    <col min="6927" max="6931" width="8" style="2" customWidth="1"/>
    <col min="6932" max="6932" width="4" style="2" customWidth="1"/>
    <col min="6933" max="7168" width="8" style="2"/>
    <col min="7169" max="7169" width="4.21875" style="2" customWidth="1"/>
    <col min="7170" max="7170" width="8" style="2" customWidth="1"/>
    <col min="7171" max="7171" width="7.88671875" style="2" customWidth="1"/>
    <col min="7172" max="7172" width="8" style="2" customWidth="1"/>
    <col min="7173" max="7173" width="8.21875" style="2" customWidth="1"/>
    <col min="7174" max="7174" width="21.77734375" style="2" customWidth="1"/>
    <col min="7175" max="7175" width="14.88671875" style="2" customWidth="1"/>
    <col min="7176" max="7176" width="4.109375" style="2" customWidth="1"/>
    <col min="7177" max="7177" width="8" style="2" customWidth="1"/>
    <col min="7178" max="7178" width="7.77734375" style="2" customWidth="1"/>
    <col min="7179" max="7180" width="8.109375" style="2" customWidth="1"/>
    <col min="7181" max="7181" width="7.44140625" style="2" customWidth="1"/>
    <col min="7182" max="7182" width="4" style="2" customWidth="1"/>
    <col min="7183" max="7187" width="8" style="2" customWidth="1"/>
    <col min="7188" max="7188" width="4" style="2" customWidth="1"/>
    <col min="7189" max="7424" width="8" style="2"/>
    <col min="7425" max="7425" width="4.21875" style="2" customWidth="1"/>
    <col min="7426" max="7426" width="8" style="2" customWidth="1"/>
    <col min="7427" max="7427" width="7.88671875" style="2" customWidth="1"/>
    <col min="7428" max="7428" width="8" style="2" customWidth="1"/>
    <col min="7429" max="7429" width="8.21875" style="2" customWidth="1"/>
    <col min="7430" max="7430" width="21.77734375" style="2" customWidth="1"/>
    <col min="7431" max="7431" width="14.88671875" style="2" customWidth="1"/>
    <col min="7432" max="7432" width="4.109375" style="2" customWidth="1"/>
    <col min="7433" max="7433" width="8" style="2" customWidth="1"/>
    <col min="7434" max="7434" width="7.77734375" style="2" customWidth="1"/>
    <col min="7435" max="7436" width="8.109375" style="2" customWidth="1"/>
    <col min="7437" max="7437" width="7.44140625" style="2" customWidth="1"/>
    <col min="7438" max="7438" width="4" style="2" customWidth="1"/>
    <col min="7439" max="7443" width="8" style="2" customWidth="1"/>
    <col min="7444" max="7444" width="4" style="2" customWidth="1"/>
    <col min="7445" max="7680" width="8" style="2"/>
    <col min="7681" max="7681" width="4.21875" style="2" customWidth="1"/>
    <col min="7682" max="7682" width="8" style="2" customWidth="1"/>
    <col min="7683" max="7683" width="7.88671875" style="2" customWidth="1"/>
    <col min="7684" max="7684" width="8" style="2" customWidth="1"/>
    <col min="7685" max="7685" width="8.21875" style="2" customWidth="1"/>
    <col min="7686" max="7686" width="21.77734375" style="2" customWidth="1"/>
    <col min="7687" max="7687" width="14.88671875" style="2" customWidth="1"/>
    <col min="7688" max="7688" width="4.109375" style="2" customWidth="1"/>
    <col min="7689" max="7689" width="8" style="2" customWidth="1"/>
    <col min="7690" max="7690" width="7.77734375" style="2" customWidth="1"/>
    <col min="7691" max="7692" width="8.109375" style="2" customWidth="1"/>
    <col min="7693" max="7693" width="7.44140625" style="2" customWidth="1"/>
    <col min="7694" max="7694" width="4" style="2" customWidth="1"/>
    <col min="7695" max="7699" width="8" style="2" customWidth="1"/>
    <col min="7700" max="7700" width="4" style="2" customWidth="1"/>
    <col min="7701" max="7936" width="8" style="2"/>
    <col min="7937" max="7937" width="4.21875" style="2" customWidth="1"/>
    <col min="7938" max="7938" width="8" style="2" customWidth="1"/>
    <col min="7939" max="7939" width="7.88671875" style="2" customWidth="1"/>
    <col min="7940" max="7940" width="8" style="2" customWidth="1"/>
    <col min="7941" max="7941" width="8.21875" style="2" customWidth="1"/>
    <col min="7942" max="7942" width="21.77734375" style="2" customWidth="1"/>
    <col min="7943" max="7943" width="14.88671875" style="2" customWidth="1"/>
    <col min="7944" max="7944" width="4.109375" style="2" customWidth="1"/>
    <col min="7945" max="7945" width="8" style="2" customWidth="1"/>
    <col min="7946" max="7946" width="7.77734375" style="2" customWidth="1"/>
    <col min="7947" max="7948" width="8.109375" style="2" customWidth="1"/>
    <col min="7949" max="7949" width="7.44140625" style="2" customWidth="1"/>
    <col min="7950" max="7950" width="4" style="2" customWidth="1"/>
    <col min="7951" max="7955" width="8" style="2" customWidth="1"/>
    <col min="7956" max="7956" width="4" style="2" customWidth="1"/>
    <col min="7957" max="8192" width="8" style="2"/>
    <col min="8193" max="8193" width="4.21875" style="2" customWidth="1"/>
    <col min="8194" max="8194" width="8" style="2" customWidth="1"/>
    <col min="8195" max="8195" width="7.88671875" style="2" customWidth="1"/>
    <col min="8196" max="8196" width="8" style="2" customWidth="1"/>
    <col min="8197" max="8197" width="8.21875" style="2" customWidth="1"/>
    <col min="8198" max="8198" width="21.77734375" style="2" customWidth="1"/>
    <col min="8199" max="8199" width="14.88671875" style="2" customWidth="1"/>
    <col min="8200" max="8200" width="4.109375" style="2" customWidth="1"/>
    <col min="8201" max="8201" width="8" style="2" customWidth="1"/>
    <col min="8202" max="8202" width="7.77734375" style="2" customWidth="1"/>
    <col min="8203" max="8204" width="8.109375" style="2" customWidth="1"/>
    <col min="8205" max="8205" width="7.44140625" style="2" customWidth="1"/>
    <col min="8206" max="8206" width="4" style="2" customWidth="1"/>
    <col min="8207" max="8211" width="8" style="2" customWidth="1"/>
    <col min="8212" max="8212" width="4" style="2" customWidth="1"/>
    <col min="8213" max="8448" width="8" style="2"/>
    <col min="8449" max="8449" width="4.21875" style="2" customWidth="1"/>
    <col min="8450" max="8450" width="8" style="2" customWidth="1"/>
    <col min="8451" max="8451" width="7.88671875" style="2" customWidth="1"/>
    <col min="8452" max="8452" width="8" style="2" customWidth="1"/>
    <col min="8453" max="8453" width="8.21875" style="2" customWidth="1"/>
    <col min="8454" max="8454" width="21.77734375" style="2" customWidth="1"/>
    <col min="8455" max="8455" width="14.88671875" style="2" customWidth="1"/>
    <col min="8456" max="8456" width="4.109375" style="2" customWidth="1"/>
    <col min="8457" max="8457" width="8" style="2" customWidth="1"/>
    <col min="8458" max="8458" width="7.77734375" style="2" customWidth="1"/>
    <col min="8459" max="8460" width="8.109375" style="2" customWidth="1"/>
    <col min="8461" max="8461" width="7.44140625" style="2" customWidth="1"/>
    <col min="8462" max="8462" width="4" style="2" customWidth="1"/>
    <col min="8463" max="8467" width="8" style="2" customWidth="1"/>
    <col min="8468" max="8468" width="4" style="2" customWidth="1"/>
    <col min="8469" max="8704" width="8" style="2"/>
    <col min="8705" max="8705" width="4.21875" style="2" customWidth="1"/>
    <col min="8706" max="8706" width="8" style="2" customWidth="1"/>
    <col min="8707" max="8707" width="7.88671875" style="2" customWidth="1"/>
    <col min="8708" max="8708" width="8" style="2" customWidth="1"/>
    <col min="8709" max="8709" width="8.21875" style="2" customWidth="1"/>
    <col min="8710" max="8710" width="21.77734375" style="2" customWidth="1"/>
    <col min="8711" max="8711" width="14.88671875" style="2" customWidth="1"/>
    <col min="8712" max="8712" width="4.109375" style="2" customWidth="1"/>
    <col min="8713" max="8713" width="8" style="2" customWidth="1"/>
    <col min="8714" max="8714" width="7.77734375" style="2" customWidth="1"/>
    <col min="8715" max="8716" width="8.109375" style="2" customWidth="1"/>
    <col min="8717" max="8717" width="7.44140625" style="2" customWidth="1"/>
    <col min="8718" max="8718" width="4" style="2" customWidth="1"/>
    <col min="8719" max="8723" width="8" style="2" customWidth="1"/>
    <col min="8724" max="8724" width="4" style="2" customWidth="1"/>
    <col min="8725" max="8960" width="8" style="2"/>
    <col min="8961" max="8961" width="4.21875" style="2" customWidth="1"/>
    <col min="8962" max="8962" width="8" style="2" customWidth="1"/>
    <col min="8963" max="8963" width="7.88671875" style="2" customWidth="1"/>
    <col min="8964" max="8964" width="8" style="2" customWidth="1"/>
    <col min="8965" max="8965" width="8.21875" style="2" customWidth="1"/>
    <col min="8966" max="8966" width="21.77734375" style="2" customWidth="1"/>
    <col min="8967" max="8967" width="14.88671875" style="2" customWidth="1"/>
    <col min="8968" max="8968" width="4.109375" style="2" customWidth="1"/>
    <col min="8969" max="8969" width="8" style="2" customWidth="1"/>
    <col min="8970" max="8970" width="7.77734375" style="2" customWidth="1"/>
    <col min="8971" max="8972" width="8.109375" style="2" customWidth="1"/>
    <col min="8973" max="8973" width="7.44140625" style="2" customWidth="1"/>
    <col min="8974" max="8974" width="4" style="2" customWidth="1"/>
    <col min="8975" max="8979" width="8" style="2" customWidth="1"/>
    <col min="8980" max="8980" width="4" style="2" customWidth="1"/>
    <col min="8981" max="9216" width="8" style="2"/>
    <col min="9217" max="9217" width="4.21875" style="2" customWidth="1"/>
    <col min="9218" max="9218" width="8" style="2" customWidth="1"/>
    <col min="9219" max="9219" width="7.88671875" style="2" customWidth="1"/>
    <col min="9220" max="9220" width="8" style="2" customWidth="1"/>
    <col min="9221" max="9221" width="8.21875" style="2" customWidth="1"/>
    <col min="9222" max="9222" width="21.77734375" style="2" customWidth="1"/>
    <col min="9223" max="9223" width="14.88671875" style="2" customWidth="1"/>
    <col min="9224" max="9224" width="4.109375" style="2" customWidth="1"/>
    <col min="9225" max="9225" width="8" style="2" customWidth="1"/>
    <col min="9226" max="9226" width="7.77734375" style="2" customWidth="1"/>
    <col min="9227" max="9228" width="8.109375" style="2" customWidth="1"/>
    <col min="9229" max="9229" width="7.44140625" style="2" customWidth="1"/>
    <col min="9230" max="9230" width="4" style="2" customWidth="1"/>
    <col min="9231" max="9235" width="8" style="2" customWidth="1"/>
    <col min="9236" max="9236" width="4" style="2" customWidth="1"/>
    <col min="9237" max="9472" width="8" style="2"/>
    <col min="9473" max="9473" width="4.21875" style="2" customWidth="1"/>
    <col min="9474" max="9474" width="8" style="2" customWidth="1"/>
    <col min="9475" max="9475" width="7.88671875" style="2" customWidth="1"/>
    <col min="9476" max="9476" width="8" style="2" customWidth="1"/>
    <col min="9477" max="9477" width="8.21875" style="2" customWidth="1"/>
    <col min="9478" max="9478" width="21.77734375" style="2" customWidth="1"/>
    <col min="9479" max="9479" width="14.88671875" style="2" customWidth="1"/>
    <col min="9480" max="9480" width="4.109375" style="2" customWidth="1"/>
    <col min="9481" max="9481" width="8" style="2" customWidth="1"/>
    <col min="9482" max="9482" width="7.77734375" style="2" customWidth="1"/>
    <col min="9483" max="9484" width="8.109375" style="2" customWidth="1"/>
    <col min="9485" max="9485" width="7.44140625" style="2" customWidth="1"/>
    <col min="9486" max="9486" width="4" style="2" customWidth="1"/>
    <col min="9487" max="9491" width="8" style="2" customWidth="1"/>
    <col min="9492" max="9492" width="4" style="2" customWidth="1"/>
    <col min="9493" max="9728" width="8" style="2"/>
    <col min="9729" max="9729" width="4.21875" style="2" customWidth="1"/>
    <col min="9730" max="9730" width="8" style="2" customWidth="1"/>
    <col min="9731" max="9731" width="7.88671875" style="2" customWidth="1"/>
    <col min="9732" max="9732" width="8" style="2" customWidth="1"/>
    <col min="9733" max="9733" width="8.21875" style="2" customWidth="1"/>
    <col min="9734" max="9734" width="21.77734375" style="2" customWidth="1"/>
    <col min="9735" max="9735" width="14.88671875" style="2" customWidth="1"/>
    <col min="9736" max="9736" width="4.109375" style="2" customWidth="1"/>
    <col min="9737" max="9737" width="8" style="2" customWidth="1"/>
    <col min="9738" max="9738" width="7.77734375" style="2" customWidth="1"/>
    <col min="9739" max="9740" width="8.109375" style="2" customWidth="1"/>
    <col min="9741" max="9741" width="7.44140625" style="2" customWidth="1"/>
    <col min="9742" max="9742" width="4" style="2" customWidth="1"/>
    <col min="9743" max="9747" width="8" style="2" customWidth="1"/>
    <col min="9748" max="9748" width="4" style="2" customWidth="1"/>
    <col min="9749" max="9984" width="8" style="2"/>
    <col min="9985" max="9985" width="4.21875" style="2" customWidth="1"/>
    <col min="9986" max="9986" width="8" style="2" customWidth="1"/>
    <col min="9987" max="9987" width="7.88671875" style="2" customWidth="1"/>
    <col min="9988" max="9988" width="8" style="2" customWidth="1"/>
    <col min="9989" max="9989" width="8.21875" style="2" customWidth="1"/>
    <col min="9990" max="9990" width="21.77734375" style="2" customWidth="1"/>
    <col min="9991" max="9991" width="14.88671875" style="2" customWidth="1"/>
    <col min="9992" max="9992" width="4.109375" style="2" customWidth="1"/>
    <col min="9993" max="9993" width="8" style="2" customWidth="1"/>
    <col min="9994" max="9994" width="7.77734375" style="2" customWidth="1"/>
    <col min="9995" max="9996" width="8.109375" style="2" customWidth="1"/>
    <col min="9997" max="9997" width="7.44140625" style="2" customWidth="1"/>
    <col min="9998" max="9998" width="4" style="2" customWidth="1"/>
    <col min="9999" max="10003" width="8" style="2" customWidth="1"/>
    <col min="10004" max="10004" width="4" style="2" customWidth="1"/>
    <col min="10005" max="10240" width="8" style="2"/>
    <col min="10241" max="10241" width="4.21875" style="2" customWidth="1"/>
    <col min="10242" max="10242" width="8" style="2" customWidth="1"/>
    <col min="10243" max="10243" width="7.88671875" style="2" customWidth="1"/>
    <col min="10244" max="10244" width="8" style="2" customWidth="1"/>
    <col min="10245" max="10245" width="8.21875" style="2" customWidth="1"/>
    <col min="10246" max="10246" width="21.77734375" style="2" customWidth="1"/>
    <col min="10247" max="10247" width="14.88671875" style="2" customWidth="1"/>
    <col min="10248" max="10248" width="4.109375" style="2" customWidth="1"/>
    <col min="10249" max="10249" width="8" style="2" customWidth="1"/>
    <col min="10250" max="10250" width="7.77734375" style="2" customWidth="1"/>
    <col min="10251" max="10252" width="8.109375" style="2" customWidth="1"/>
    <col min="10253" max="10253" width="7.44140625" style="2" customWidth="1"/>
    <col min="10254" max="10254" width="4" style="2" customWidth="1"/>
    <col min="10255" max="10259" width="8" style="2" customWidth="1"/>
    <col min="10260" max="10260" width="4" style="2" customWidth="1"/>
    <col min="10261" max="10496" width="8" style="2"/>
    <col min="10497" max="10497" width="4.21875" style="2" customWidth="1"/>
    <col min="10498" max="10498" width="8" style="2" customWidth="1"/>
    <col min="10499" max="10499" width="7.88671875" style="2" customWidth="1"/>
    <col min="10500" max="10500" width="8" style="2" customWidth="1"/>
    <col min="10501" max="10501" width="8.21875" style="2" customWidth="1"/>
    <col min="10502" max="10502" width="21.77734375" style="2" customWidth="1"/>
    <col min="10503" max="10503" width="14.88671875" style="2" customWidth="1"/>
    <col min="10504" max="10504" width="4.109375" style="2" customWidth="1"/>
    <col min="10505" max="10505" width="8" style="2" customWidth="1"/>
    <col min="10506" max="10506" width="7.77734375" style="2" customWidth="1"/>
    <col min="10507" max="10508" width="8.109375" style="2" customWidth="1"/>
    <col min="10509" max="10509" width="7.44140625" style="2" customWidth="1"/>
    <col min="10510" max="10510" width="4" style="2" customWidth="1"/>
    <col min="10511" max="10515" width="8" style="2" customWidth="1"/>
    <col min="10516" max="10516" width="4" style="2" customWidth="1"/>
    <col min="10517" max="10752" width="8" style="2"/>
    <col min="10753" max="10753" width="4.21875" style="2" customWidth="1"/>
    <col min="10754" max="10754" width="8" style="2" customWidth="1"/>
    <col min="10755" max="10755" width="7.88671875" style="2" customWidth="1"/>
    <col min="10756" max="10756" width="8" style="2" customWidth="1"/>
    <col min="10757" max="10757" width="8.21875" style="2" customWidth="1"/>
    <col min="10758" max="10758" width="21.77734375" style="2" customWidth="1"/>
    <col min="10759" max="10759" width="14.88671875" style="2" customWidth="1"/>
    <col min="10760" max="10760" width="4.109375" style="2" customWidth="1"/>
    <col min="10761" max="10761" width="8" style="2" customWidth="1"/>
    <col min="10762" max="10762" width="7.77734375" style="2" customWidth="1"/>
    <col min="10763" max="10764" width="8.109375" style="2" customWidth="1"/>
    <col min="10765" max="10765" width="7.44140625" style="2" customWidth="1"/>
    <col min="10766" max="10766" width="4" style="2" customWidth="1"/>
    <col min="10767" max="10771" width="8" style="2" customWidth="1"/>
    <col min="10772" max="10772" width="4" style="2" customWidth="1"/>
    <col min="10773" max="11008" width="8" style="2"/>
    <col min="11009" max="11009" width="4.21875" style="2" customWidth="1"/>
    <col min="11010" max="11010" width="8" style="2" customWidth="1"/>
    <col min="11011" max="11011" width="7.88671875" style="2" customWidth="1"/>
    <col min="11012" max="11012" width="8" style="2" customWidth="1"/>
    <col min="11013" max="11013" width="8.21875" style="2" customWidth="1"/>
    <col min="11014" max="11014" width="21.77734375" style="2" customWidth="1"/>
    <col min="11015" max="11015" width="14.88671875" style="2" customWidth="1"/>
    <col min="11016" max="11016" width="4.109375" style="2" customWidth="1"/>
    <col min="11017" max="11017" width="8" style="2" customWidth="1"/>
    <col min="11018" max="11018" width="7.77734375" style="2" customWidth="1"/>
    <col min="11019" max="11020" width="8.109375" style="2" customWidth="1"/>
    <col min="11021" max="11021" width="7.44140625" style="2" customWidth="1"/>
    <col min="11022" max="11022" width="4" style="2" customWidth="1"/>
    <col min="11023" max="11027" width="8" style="2" customWidth="1"/>
    <col min="11028" max="11028" width="4" style="2" customWidth="1"/>
    <col min="11029" max="11264" width="8" style="2"/>
    <col min="11265" max="11265" width="4.21875" style="2" customWidth="1"/>
    <col min="11266" max="11266" width="8" style="2" customWidth="1"/>
    <col min="11267" max="11267" width="7.88671875" style="2" customWidth="1"/>
    <col min="11268" max="11268" width="8" style="2" customWidth="1"/>
    <col min="11269" max="11269" width="8.21875" style="2" customWidth="1"/>
    <col min="11270" max="11270" width="21.77734375" style="2" customWidth="1"/>
    <col min="11271" max="11271" width="14.88671875" style="2" customWidth="1"/>
    <col min="11272" max="11272" width="4.109375" style="2" customWidth="1"/>
    <col min="11273" max="11273" width="8" style="2" customWidth="1"/>
    <col min="11274" max="11274" width="7.77734375" style="2" customWidth="1"/>
    <col min="11275" max="11276" width="8.109375" style="2" customWidth="1"/>
    <col min="11277" max="11277" width="7.44140625" style="2" customWidth="1"/>
    <col min="11278" max="11278" width="4" style="2" customWidth="1"/>
    <col min="11279" max="11283" width="8" style="2" customWidth="1"/>
    <col min="11284" max="11284" width="4" style="2" customWidth="1"/>
    <col min="11285" max="11520" width="8" style="2"/>
    <col min="11521" max="11521" width="4.21875" style="2" customWidth="1"/>
    <col min="11522" max="11522" width="8" style="2" customWidth="1"/>
    <col min="11523" max="11523" width="7.88671875" style="2" customWidth="1"/>
    <col min="11524" max="11524" width="8" style="2" customWidth="1"/>
    <col min="11525" max="11525" width="8.21875" style="2" customWidth="1"/>
    <col min="11526" max="11526" width="21.77734375" style="2" customWidth="1"/>
    <col min="11527" max="11527" width="14.88671875" style="2" customWidth="1"/>
    <col min="11528" max="11528" width="4.109375" style="2" customWidth="1"/>
    <col min="11529" max="11529" width="8" style="2" customWidth="1"/>
    <col min="11530" max="11530" width="7.77734375" style="2" customWidth="1"/>
    <col min="11531" max="11532" width="8.109375" style="2" customWidth="1"/>
    <col min="11533" max="11533" width="7.44140625" style="2" customWidth="1"/>
    <col min="11534" max="11534" width="4" style="2" customWidth="1"/>
    <col min="11535" max="11539" width="8" style="2" customWidth="1"/>
    <col min="11540" max="11540" width="4" style="2" customWidth="1"/>
    <col min="11541" max="11776" width="8" style="2"/>
    <col min="11777" max="11777" width="4.21875" style="2" customWidth="1"/>
    <col min="11778" max="11778" width="8" style="2" customWidth="1"/>
    <col min="11779" max="11779" width="7.88671875" style="2" customWidth="1"/>
    <col min="11780" max="11780" width="8" style="2" customWidth="1"/>
    <col min="11781" max="11781" width="8.21875" style="2" customWidth="1"/>
    <col min="11782" max="11782" width="21.77734375" style="2" customWidth="1"/>
    <col min="11783" max="11783" width="14.88671875" style="2" customWidth="1"/>
    <col min="11784" max="11784" width="4.109375" style="2" customWidth="1"/>
    <col min="11785" max="11785" width="8" style="2" customWidth="1"/>
    <col min="11786" max="11786" width="7.77734375" style="2" customWidth="1"/>
    <col min="11787" max="11788" width="8.109375" style="2" customWidth="1"/>
    <col min="11789" max="11789" width="7.44140625" style="2" customWidth="1"/>
    <col min="11790" max="11790" width="4" style="2" customWidth="1"/>
    <col min="11791" max="11795" width="8" style="2" customWidth="1"/>
    <col min="11796" max="11796" width="4" style="2" customWidth="1"/>
    <col min="11797" max="12032" width="8" style="2"/>
    <col min="12033" max="12033" width="4.21875" style="2" customWidth="1"/>
    <col min="12034" max="12034" width="8" style="2" customWidth="1"/>
    <col min="12035" max="12035" width="7.88671875" style="2" customWidth="1"/>
    <col min="12036" max="12036" width="8" style="2" customWidth="1"/>
    <col min="12037" max="12037" width="8.21875" style="2" customWidth="1"/>
    <col min="12038" max="12038" width="21.77734375" style="2" customWidth="1"/>
    <col min="12039" max="12039" width="14.88671875" style="2" customWidth="1"/>
    <col min="12040" max="12040" width="4.109375" style="2" customWidth="1"/>
    <col min="12041" max="12041" width="8" style="2" customWidth="1"/>
    <col min="12042" max="12042" width="7.77734375" style="2" customWidth="1"/>
    <col min="12043" max="12044" width="8.109375" style="2" customWidth="1"/>
    <col min="12045" max="12045" width="7.44140625" style="2" customWidth="1"/>
    <col min="12046" max="12046" width="4" style="2" customWidth="1"/>
    <col min="12047" max="12051" width="8" style="2" customWidth="1"/>
    <col min="12052" max="12052" width="4" style="2" customWidth="1"/>
    <col min="12053" max="12288" width="8" style="2"/>
    <col min="12289" max="12289" width="4.21875" style="2" customWidth="1"/>
    <col min="12290" max="12290" width="8" style="2" customWidth="1"/>
    <col min="12291" max="12291" width="7.88671875" style="2" customWidth="1"/>
    <col min="12292" max="12292" width="8" style="2" customWidth="1"/>
    <col min="12293" max="12293" width="8.21875" style="2" customWidth="1"/>
    <col min="12294" max="12294" width="21.77734375" style="2" customWidth="1"/>
    <col min="12295" max="12295" width="14.88671875" style="2" customWidth="1"/>
    <col min="12296" max="12296" width="4.109375" style="2" customWidth="1"/>
    <col min="12297" max="12297" width="8" style="2" customWidth="1"/>
    <col min="12298" max="12298" width="7.77734375" style="2" customWidth="1"/>
    <col min="12299" max="12300" width="8.109375" style="2" customWidth="1"/>
    <col min="12301" max="12301" width="7.44140625" style="2" customWidth="1"/>
    <col min="12302" max="12302" width="4" style="2" customWidth="1"/>
    <col min="12303" max="12307" width="8" style="2" customWidth="1"/>
    <col min="12308" max="12308" width="4" style="2" customWidth="1"/>
    <col min="12309" max="12544" width="8" style="2"/>
    <col min="12545" max="12545" width="4.21875" style="2" customWidth="1"/>
    <col min="12546" max="12546" width="8" style="2" customWidth="1"/>
    <col min="12547" max="12547" width="7.88671875" style="2" customWidth="1"/>
    <col min="12548" max="12548" width="8" style="2" customWidth="1"/>
    <col min="12549" max="12549" width="8.21875" style="2" customWidth="1"/>
    <col min="12550" max="12550" width="21.77734375" style="2" customWidth="1"/>
    <col min="12551" max="12551" width="14.88671875" style="2" customWidth="1"/>
    <col min="12552" max="12552" width="4.109375" style="2" customWidth="1"/>
    <col min="12553" max="12553" width="8" style="2" customWidth="1"/>
    <col min="12554" max="12554" width="7.77734375" style="2" customWidth="1"/>
    <col min="12555" max="12556" width="8.109375" style="2" customWidth="1"/>
    <col min="12557" max="12557" width="7.44140625" style="2" customWidth="1"/>
    <col min="12558" max="12558" width="4" style="2" customWidth="1"/>
    <col min="12559" max="12563" width="8" style="2" customWidth="1"/>
    <col min="12564" max="12564" width="4" style="2" customWidth="1"/>
    <col min="12565" max="12800" width="8" style="2"/>
    <col min="12801" max="12801" width="4.21875" style="2" customWidth="1"/>
    <col min="12802" max="12802" width="8" style="2" customWidth="1"/>
    <col min="12803" max="12803" width="7.88671875" style="2" customWidth="1"/>
    <col min="12804" max="12804" width="8" style="2" customWidth="1"/>
    <col min="12805" max="12805" width="8.21875" style="2" customWidth="1"/>
    <col min="12806" max="12806" width="21.77734375" style="2" customWidth="1"/>
    <col min="12807" max="12807" width="14.88671875" style="2" customWidth="1"/>
    <col min="12808" max="12808" width="4.109375" style="2" customWidth="1"/>
    <col min="12809" max="12809" width="8" style="2" customWidth="1"/>
    <col min="12810" max="12810" width="7.77734375" style="2" customWidth="1"/>
    <col min="12811" max="12812" width="8.109375" style="2" customWidth="1"/>
    <col min="12813" max="12813" width="7.44140625" style="2" customWidth="1"/>
    <col min="12814" max="12814" width="4" style="2" customWidth="1"/>
    <col min="12815" max="12819" width="8" style="2" customWidth="1"/>
    <col min="12820" max="12820" width="4" style="2" customWidth="1"/>
    <col min="12821" max="13056" width="8" style="2"/>
    <col min="13057" max="13057" width="4.21875" style="2" customWidth="1"/>
    <col min="13058" max="13058" width="8" style="2" customWidth="1"/>
    <col min="13059" max="13059" width="7.88671875" style="2" customWidth="1"/>
    <col min="13060" max="13060" width="8" style="2" customWidth="1"/>
    <col min="13061" max="13061" width="8.21875" style="2" customWidth="1"/>
    <col min="13062" max="13062" width="21.77734375" style="2" customWidth="1"/>
    <col min="13063" max="13063" width="14.88671875" style="2" customWidth="1"/>
    <col min="13064" max="13064" width="4.109375" style="2" customWidth="1"/>
    <col min="13065" max="13065" width="8" style="2" customWidth="1"/>
    <col min="13066" max="13066" width="7.77734375" style="2" customWidth="1"/>
    <col min="13067" max="13068" width="8.109375" style="2" customWidth="1"/>
    <col min="13069" max="13069" width="7.44140625" style="2" customWidth="1"/>
    <col min="13070" max="13070" width="4" style="2" customWidth="1"/>
    <col min="13071" max="13075" width="8" style="2" customWidth="1"/>
    <col min="13076" max="13076" width="4" style="2" customWidth="1"/>
    <col min="13077" max="13312" width="8" style="2"/>
    <col min="13313" max="13313" width="4.21875" style="2" customWidth="1"/>
    <col min="13314" max="13314" width="8" style="2" customWidth="1"/>
    <col min="13315" max="13315" width="7.88671875" style="2" customWidth="1"/>
    <col min="13316" max="13316" width="8" style="2" customWidth="1"/>
    <col min="13317" max="13317" width="8.21875" style="2" customWidth="1"/>
    <col min="13318" max="13318" width="21.77734375" style="2" customWidth="1"/>
    <col min="13319" max="13319" width="14.88671875" style="2" customWidth="1"/>
    <col min="13320" max="13320" width="4.109375" style="2" customWidth="1"/>
    <col min="13321" max="13321" width="8" style="2" customWidth="1"/>
    <col min="13322" max="13322" width="7.77734375" style="2" customWidth="1"/>
    <col min="13323" max="13324" width="8.109375" style="2" customWidth="1"/>
    <col min="13325" max="13325" width="7.44140625" style="2" customWidth="1"/>
    <col min="13326" max="13326" width="4" style="2" customWidth="1"/>
    <col min="13327" max="13331" width="8" style="2" customWidth="1"/>
    <col min="13332" max="13332" width="4" style="2" customWidth="1"/>
    <col min="13333" max="13568" width="8" style="2"/>
    <col min="13569" max="13569" width="4.21875" style="2" customWidth="1"/>
    <col min="13570" max="13570" width="8" style="2" customWidth="1"/>
    <col min="13571" max="13571" width="7.88671875" style="2" customWidth="1"/>
    <col min="13572" max="13572" width="8" style="2" customWidth="1"/>
    <col min="13573" max="13573" width="8.21875" style="2" customWidth="1"/>
    <col min="13574" max="13574" width="21.77734375" style="2" customWidth="1"/>
    <col min="13575" max="13575" width="14.88671875" style="2" customWidth="1"/>
    <col min="13576" max="13576" width="4.109375" style="2" customWidth="1"/>
    <col min="13577" max="13577" width="8" style="2" customWidth="1"/>
    <col min="13578" max="13578" width="7.77734375" style="2" customWidth="1"/>
    <col min="13579" max="13580" width="8.109375" style="2" customWidth="1"/>
    <col min="13581" max="13581" width="7.44140625" style="2" customWidth="1"/>
    <col min="13582" max="13582" width="4" style="2" customWidth="1"/>
    <col min="13583" max="13587" width="8" style="2" customWidth="1"/>
    <col min="13588" max="13588" width="4" style="2" customWidth="1"/>
    <col min="13589" max="13824" width="8" style="2"/>
    <col min="13825" max="13825" width="4.21875" style="2" customWidth="1"/>
    <col min="13826" max="13826" width="8" style="2" customWidth="1"/>
    <col min="13827" max="13827" width="7.88671875" style="2" customWidth="1"/>
    <col min="13828" max="13828" width="8" style="2" customWidth="1"/>
    <col min="13829" max="13829" width="8.21875" style="2" customWidth="1"/>
    <col min="13830" max="13830" width="21.77734375" style="2" customWidth="1"/>
    <col min="13831" max="13831" width="14.88671875" style="2" customWidth="1"/>
    <col min="13832" max="13832" width="4.109375" style="2" customWidth="1"/>
    <col min="13833" max="13833" width="8" style="2" customWidth="1"/>
    <col min="13834" max="13834" width="7.77734375" style="2" customWidth="1"/>
    <col min="13835" max="13836" width="8.109375" style="2" customWidth="1"/>
    <col min="13837" max="13837" width="7.44140625" style="2" customWidth="1"/>
    <col min="13838" max="13838" width="4" style="2" customWidth="1"/>
    <col min="13839" max="13843" width="8" style="2" customWidth="1"/>
    <col min="13844" max="13844" width="4" style="2" customWidth="1"/>
    <col min="13845" max="14080" width="8" style="2"/>
    <col min="14081" max="14081" width="4.21875" style="2" customWidth="1"/>
    <col min="14082" max="14082" width="8" style="2" customWidth="1"/>
    <col min="14083" max="14083" width="7.88671875" style="2" customWidth="1"/>
    <col min="14084" max="14084" width="8" style="2" customWidth="1"/>
    <col min="14085" max="14085" width="8.21875" style="2" customWidth="1"/>
    <col min="14086" max="14086" width="21.77734375" style="2" customWidth="1"/>
    <col min="14087" max="14087" width="14.88671875" style="2" customWidth="1"/>
    <col min="14088" max="14088" width="4.109375" style="2" customWidth="1"/>
    <col min="14089" max="14089" width="8" style="2" customWidth="1"/>
    <col min="14090" max="14090" width="7.77734375" style="2" customWidth="1"/>
    <col min="14091" max="14092" width="8.109375" style="2" customWidth="1"/>
    <col min="14093" max="14093" width="7.44140625" style="2" customWidth="1"/>
    <col min="14094" max="14094" width="4" style="2" customWidth="1"/>
    <col min="14095" max="14099" width="8" style="2" customWidth="1"/>
    <col min="14100" max="14100" width="4" style="2" customWidth="1"/>
    <col min="14101" max="14336" width="8" style="2"/>
    <col min="14337" max="14337" width="4.21875" style="2" customWidth="1"/>
    <col min="14338" max="14338" width="8" style="2" customWidth="1"/>
    <col min="14339" max="14339" width="7.88671875" style="2" customWidth="1"/>
    <col min="14340" max="14340" width="8" style="2" customWidth="1"/>
    <col min="14341" max="14341" width="8.21875" style="2" customWidth="1"/>
    <col min="14342" max="14342" width="21.77734375" style="2" customWidth="1"/>
    <col min="14343" max="14343" width="14.88671875" style="2" customWidth="1"/>
    <col min="14344" max="14344" width="4.109375" style="2" customWidth="1"/>
    <col min="14345" max="14345" width="8" style="2" customWidth="1"/>
    <col min="14346" max="14346" width="7.77734375" style="2" customWidth="1"/>
    <col min="14347" max="14348" width="8.109375" style="2" customWidth="1"/>
    <col min="14349" max="14349" width="7.44140625" style="2" customWidth="1"/>
    <col min="14350" max="14350" width="4" style="2" customWidth="1"/>
    <col min="14351" max="14355" width="8" style="2" customWidth="1"/>
    <col min="14356" max="14356" width="4" style="2" customWidth="1"/>
    <col min="14357" max="14592" width="8" style="2"/>
    <col min="14593" max="14593" width="4.21875" style="2" customWidth="1"/>
    <col min="14594" max="14594" width="8" style="2" customWidth="1"/>
    <col min="14595" max="14595" width="7.88671875" style="2" customWidth="1"/>
    <col min="14596" max="14596" width="8" style="2" customWidth="1"/>
    <col min="14597" max="14597" width="8.21875" style="2" customWidth="1"/>
    <col min="14598" max="14598" width="21.77734375" style="2" customWidth="1"/>
    <col min="14599" max="14599" width="14.88671875" style="2" customWidth="1"/>
    <col min="14600" max="14600" width="4.109375" style="2" customWidth="1"/>
    <col min="14601" max="14601" width="8" style="2" customWidth="1"/>
    <col min="14602" max="14602" width="7.77734375" style="2" customWidth="1"/>
    <col min="14603" max="14604" width="8.109375" style="2" customWidth="1"/>
    <col min="14605" max="14605" width="7.44140625" style="2" customWidth="1"/>
    <col min="14606" max="14606" width="4" style="2" customWidth="1"/>
    <col min="14607" max="14611" width="8" style="2" customWidth="1"/>
    <col min="14612" max="14612" width="4" style="2" customWidth="1"/>
    <col min="14613" max="14848" width="8" style="2"/>
    <col min="14849" max="14849" width="4.21875" style="2" customWidth="1"/>
    <col min="14850" max="14850" width="8" style="2" customWidth="1"/>
    <col min="14851" max="14851" width="7.88671875" style="2" customWidth="1"/>
    <col min="14852" max="14852" width="8" style="2" customWidth="1"/>
    <col min="14853" max="14853" width="8.21875" style="2" customWidth="1"/>
    <col min="14854" max="14854" width="21.77734375" style="2" customWidth="1"/>
    <col min="14855" max="14855" width="14.88671875" style="2" customWidth="1"/>
    <col min="14856" max="14856" width="4.109375" style="2" customWidth="1"/>
    <col min="14857" max="14857" width="8" style="2" customWidth="1"/>
    <col min="14858" max="14858" width="7.77734375" style="2" customWidth="1"/>
    <col min="14859" max="14860" width="8.109375" style="2" customWidth="1"/>
    <col min="14861" max="14861" width="7.44140625" style="2" customWidth="1"/>
    <col min="14862" max="14862" width="4" style="2" customWidth="1"/>
    <col min="14863" max="14867" width="8" style="2" customWidth="1"/>
    <col min="14868" max="14868" width="4" style="2" customWidth="1"/>
    <col min="14869" max="15104" width="8" style="2"/>
    <col min="15105" max="15105" width="4.21875" style="2" customWidth="1"/>
    <col min="15106" max="15106" width="8" style="2" customWidth="1"/>
    <col min="15107" max="15107" width="7.88671875" style="2" customWidth="1"/>
    <col min="15108" max="15108" width="8" style="2" customWidth="1"/>
    <col min="15109" max="15109" width="8.21875" style="2" customWidth="1"/>
    <col min="15110" max="15110" width="21.77734375" style="2" customWidth="1"/>
    <col min="15111" max="15111" width="14.88671875" style="2" customWidth="1"/>
    <col min="15112" max="15112" width="4.109375" style="2" customWidth="1"/>
    <col min="15113" max="15113" width="8" style="2" customWidth="1"/>
    <col min="15114" max="15114" width="7.77734375" style="2" customWidth="1"/>
    <col min="15115" max="15116" width="8.109375" style="2" customWidth="1"/>
    <col min="15117" max="15117" width="7.44140625" style="2" customWidth="1"/>
    <col min="15118" max="15118" width="4" style="2" customWidth="1"/>
    <col min="15119" max="15123" width="8" style="2" customWidth="1"/>
    <col min="15124" max="15124" width="4" style="2" customWidth="1"/>
    <col min="15125" max="15360" width="8" style="2"/>
    <col min="15361" max="15361" width="4.21875" style="2" customWidth="1"/>
    <col min="15362" max="15362" width="8" style="2" customWidth="1"/>
    <col min="15363" max="15363" width="7.88671875" style="2" customWidth="1"/>
    <col min="15364" max="15364" width="8" style="2" customWidth="1"/>
    <col min="15365" max="15365" width="8.21875" style="2" customWidth="1"/>
    <col min="15366" max="15366" width="21.77734375" style="2" customWidth="1"/>
    <col min="15367" max="15367" width="14.88671875" style="2" customWidth="1"/>
    <col min="15368" max="15368" width="4.109375" style="2" customWidth="1"/>
    <col min="15369" max="15369" width="8" style="2" customWidth="1"/>
    <col min="15370" max="15370" width="7.77734375" style="2" customWidth="1"/>
    <col min="15371" max="15372" width="8.109375" style="2" customWidth="1"/>
    <col min="15373" max="15373" width="7.44140625" style="2" customWidth="1"/>
    <col min="15374" max="15374" width="4" style="2" customWidth="1"/>
    <col min="15375" max="15379" width="8" style="2" customWidth="1"/>
    <col min="15380" max="15380" width="4" style="2" customWidth="1"/>
    <col min="15381" max="15616" width="8" style="2"/>
    <col min="15617" max="15617" width="4.21875" style="2" customWidth="1"/>
    <col min="15618" max="15618" width="8" style="2" customWidth="1"/>
    <col min="15619" max="15619" width="7.88671875" style="2" customWidth="1"/>
    <col min="15620" max="15620" width="8" style="2" customWidth="1"/>
    <col min="15621" max="15621" width="8.21875" style="2" customWidth="1"/>
    <col min="15622" max="15622" width="21.77734375" style="2" customWidth="1"/>
    <col min="15623" max="15623" width="14.88671875" style="2" customWidth="1"/>
    <col min="15624" max="15624" width="4.109375" style="2" customWidth="1"/>
    <col min="15625" max="15625" width="8" style="2" customWidth="1"/>
    <col min="15626" max="15626" width="7.77734375" style="2" customWidth="1"/>
    <col min="15627" max="15628" width="8.109375" style="2" customWidth="1"/>
    <col min="15629" max="15629" width="7.44140625" style="2" customWidth="1"/>
    <col min="15630" max="15630" width="4" style="2" customWidth="1"/>
    <col min="15631" max="15635" width="8" style="2" customWidth="1"/>
    <col min="15636" max="15636" width="4" style="2" customWidth="1"/>
    <col min="15637" max="15872" width="8" style="2"/>
    <col min="15873" max="15873" width="4.21875" style="2" customWidth="1"/>
    <col min="15874" max="15874" width="8" style="2" customWidth="1"/>
    <col min="15875" max="15875" width="7.88671875" style="2" customWidth="1"/>
    <col min="15876" max="15876" width="8" style="2" customWidth="1"/>
    <col min="15877" max="15877" width="8.21875" style="2" customWidth="1"/>
    <col min="15878" max="15878" width="21.77734375" style="2" customWidth="1"/>
    <col min="15879" max="15879" width="14.88671875" style="2" customWidth="1"/>
    <col min="15880" max="15880" width="4.109375" style="2" customWidth="1"/>
    <col min="15881" max="15881" width="8" style="2" customWidth="1"/>
    <col min="15882" max="15882" width="7.77734375" style="2" customWidth="1"/>
    <col min="15883" max="15884" width="8.109375" style="2" customWidth="1"/>
    <col min="15885" max="15885" width="7.44140625" style="2" customWidth="1"/>
    <col min="15886" max="15886" width="4" style="2" customWidth="1"/>
    <col min="15887" max="15891" width="8" style="2" customWidth="1"/>
    <col min="15892" max="15892" width="4" style="2" customWidth="1"/>
    <col min="15893" max="16128" width="8" style="2"/>
    <col min="16129" max="16129" width="4.21875" style="2" customWidth="1"/>
    <col min="16130" max="16130" width="8" style="2" customWidth="1"/>
    <col min="16131" max="16131" width="7.88671875" style="2" customWidth="1"/>
    <col min="16132" max="16132" width="8" style="2" customWidth="1"/>
    <col min="16133" max="16133" width="8.21875" style="2" customWidth="1"/>
    <col min="16134" max="16134" width="21.77734375" style="2" customWidth="1"/>
    <col min="16135" max="16135" width="14.88671875" style="2" customWidth="1"/>
    <col min="16136" max="16136" width="4.109375" style="2" customWidth="1"/>
    <col min="16137" max="16137" width="8" style="2" customWidth="1"/>
    <col min="16138" max="16138" width="7.77734375" style="2" customWidth="1"/>
    <col min="16139" max="16140" width="8.109375" style="2" customWidth="1"/>
    <col min="16141" max="16141" width="7.44140625" style="2" customWidth="1"/>
    <col min="16142" max="16142" width="4" style="2" customWidth="1"/>
    <col min="16143" max="16147" width="8" style="2" customWidth="1"/>
    <col min="16148" max="16148" width="4" style="2" customWidth="1"/>
    <col min="16149" max="16384" width="8" style="2"/>
  </cols>
  <sheetData>
    <row r="1" spans="1:24" ht="43.5" customHeight="1">
      <c r="A1" s="262" t="s">
        <v>218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1"/>
    </row>
    <row r="2" spans="1:24" ht="30" customHeight="1">
      <c r="A2" s="2" t="s">
        <v>217</v>
      </c>
    </row>
    <row r="3" spans="1:24" ht="30" customHeight="1"/>
    <row r="4" spans="1:24" ht="20.25" customHeight="1">
      <c r="A4" s="263" t="s">
        <v>0</v>
      </c>
      <c r="B4" s="3" t="s">
        <v>1</v>
      </c>
      <c r="C4" s="266" t="s">
        <v>2</v>
      </c>
      <c r="D4" s="266"/>
      <c r="E4" s="4" t="s">
        <v>3</v>
      </c>
      <c r="H4" s="263" t="s">
        <v>0</v>
      </c>
      <c r="I4" s="3" t="s">
        <v>4</v>
      </c>
      <c r="J4" s="266" t="s">
        <v>2</v>
      </c>
      <c r="K4" s="266"/>
      <c r="L4" s="4" t="s">
        <v>3</v>
      </c>
    </row>
    <row r="5" spans="1:24" ht="42" customHeight="1">
      <c r="A5" s="264"/>
      <c r="B5" s="5"/>
      <c r="C5" s="5"/>
      <c r="D5" s="39"/>
      <c r="E5" s="6"/>
      <c r="H5" s="264"/>
      <c r="I5" s="5"/>
      <c r="J5" s="5"/>
      <c r="K5" s="5"/>
      <c r="L5" s="6"/>
      <c r="M5" s="7"/>
      <c r="N5" s="8"/>
      <c r="O5" s="9"/>
      <c r="P5" s="10"/>
      <c r="Q5" s="10"/>
      <c r="R5" s="9"/>
      <c r="T5" s="8"/>
      <c r="U5" s="9"/>
      <c r="V5" s="10"/>
      <c r="W5" s="10"/>
      <c r="X5" s="9"/>
    </row>
    <row r="6" spans="1:24" ht="17.25" customHeight="1">
      <c r="A6" s="264"/>
      <c r="B6" s="11"/>
      <c r="C6" s="11"/>
      <c r="D6" s="11"/>
      <c r="E6" s="12"/>
      <c r="H6" s="264"/>
      <c r="I6" s="13"/>
      <c r="J6" s="13"/>
      <c r="K6" s="13"/>
      <c r="L6" s="14"/>
      <c r="M6" s="7"/>
      <c r="N6" s="8"/>
      <c r="O6" s="9"/>
      <c r="P6" s="10"/>
      <c r="Q6" s="10"/>
      <c r="R6" s="9"/>
      <c r="T6" s="8"/>
      <c r="U6" s="9"/>
      <c r="V6" s="10"/>
      <c r="W6" s="10"/>
      <c r="X6" s="9"/>
    </row>
    <row r="7" spans="1:24" ht="17.25" customHeight="1">
      <c r="A7" s="265"/>
      <c r="B7" s="15"/>
      <c r="C7" s="15"/>
      <c r="D7" s="15"/>
      <c r="E7" s="16"/>
      <c r="H7" s="265"/>
      <c r="I7" s="15"/>
      <c r="J7" s="15"/>
      <c r="K7" s="15"/>
      <c r="L7" s="16"/>
      <c r="N7" s="8"/>
      <c r="T7" s="8"/>
    </row>
    <row r="8" spans="1:24" ht="19.5" customHeight="1">
      <c r="I8" s="8"/>
      <c r="N8" s="8"/>
      <c r="T8" s="8"/>
    </row>
    <row r="9" spans="1:24" ht="15" customHeight="1"/>
    <row r="10" spans="1:24" ht="15" customHeight="1"/>
    <row r="11" spans="1:24" ht="15" customHeight="1"/>
    <row r="12" spans="1:24" ht="26.25" customHeight="1">
      <c r="A12" s="261" t="s">
        <v>185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17"/>
    </row>
    <row r="13" spans="1:24" ht="35.25" customHeight="1">
      <c r="J13" s="2" t="s">
        <v>5</v>
      </c>
    </row>
    <row r="14" spans="1:24" ht="39.950000000000003" customHeight="1">
      <c r="G14" s="18"/>
      <c r="H14" s="18"/>
      <c r="I14" s="18"/>
      <c r="J14" s="18"/>
      <c r="K14" s="19"/>
      <c r="L14" s="19"/>
      <c r="M14" s="19"/>
    </row>
    <row r="15" spans="1:24" ht="20.25" customHeight="1">
      <c r="G15" s="20" t="s">
        <v>6</v>
      </c>
      <c r="H15" s="267" t="s">
        <v>186</v>
      </c>
      <c r="I15" s="268"/>
      <c r="J15" s="268"/>
      <c r="K15" s="268"/>
      <c r="L15" s="21"/>
      <c r="M15" s="19"/>
    </row>
    <row r="16" spans="1:24" ht="20.25" customHeight="1">
      <c r="G16" s="22" t="s">
        <v>7</v>
      </c>
      <c r="H16" s="269" t="s">
        <v>186</v>
      </c>
      <c r="I16" s="270"/>
      <c r="J16" s="270"/>
      <c r="K16" s="270"/>
      <c r="L16" s="23"/>
      <c r="M16" s="19"/>
    </row>
    <row r="17" spans="1:24" ht="20.25" customHeight="1">
      <c r="G17" s="24" t="s">
        <v>8</v>
      </c>
      <c r="H17" s="271" t="s">
        <v>186</v>
      </c>
      <c r="I17" s="272"/>
      <c r="J17" s="272"/>
      <c r="K17" s="272"/>
      <c r="L17" s="25"/>
      <c r="M17" s="19"/>
    </row>
    <row r="21" spans="1:24" ht="31.5">
      <c r="A21" s="273" t="s">
        <v>153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6"/>
    </row>
    <row r="25" spans="1:24" ht="19.5" customHeight="1">
      <c r="I25" s="274"/>
      <c r="J25" s="7"/>
      <c r="K25" s="7"/>
      <c r="L25" s="7"/>
      <c r="M25" s="7"/>
      <c r="N25" s="263" t="s">
        <v>0</v>
      </c>
      <c r="O25" s="3" t="s">
        <v>4</v>
      </c>
      <c r="P25" s="266" t="s">
        <v>2</v>
      </c>
      <c r="Q25" s="266"/>
      <c r="R25" s="4" t="s">
        <v>3</v>
      </c>
      <c r="T25" s="263" t="s">
        <v>0</v>
      </c>
      <c r="U25" s="3" t="s">
        <v>1</v>
      </c>
      <c r="V25" s="266" t="s">
        <v>2</v>
      </c>
      <c r="W25" s="266"/>
      <c r="X25" s="4" t="s">
        <v>3</v>
      </c>
    </row>
    <row r="26" spans="1:24" ht="39" customHeight="1">
      <c r="I26" s="274"/>
      <c r="N26" s="264"/>
      <c r="O26" s="5"/>
      <c r="P26" s="5"/>
      <c r="Q26" s="5"/>
      <c r="R26" s="6"/>
      <c r="T26" s="264"/>
      <c r="U26" s="5"/>
      <c r="V26" s="5"/>
      <c r="W26" s="5"/>
      <c r="X26" s="6"/>
    </row>
    <row r="27" spans="1:24" ht="19.5" customHeight="1">
      <c r="I27" s="274"/>
      <c r="N27" s="265"/>
      <c r="O27" s="15"/>
      <c r="P27" s="15"/>
      <c r="Q27" s="15"/>
      <c r="R27" s="16"/>
      <c r="T27" s="265"/>
      <c r="U27" s="15"/>
      <c r="V27" s="15"/>
      <c r="W27" s="15"/>
      <c r="X27" s="16"/>
    </row>
    <row r="33" spans="12:12">
      <c r="L33" s="2" t="s">
        <v>9</v>
      </c>
    </row>
  </sheetData>
  <mergeCells count="15">
    <mergeCell ref="P25:Q25"/>
    <mergeCell ref="T25:T27"/>
    <mergeCell ref="V25:W25"/>
    <mergeCell ref="H15:K15"/>
    <mergeCell ref="H16:K16"/>
    <mergeCell ref="H17:K17"/>
    <mergeCell ref="A21:L21"/>
    <mergeCell ref="I25:I27"/>
    <mergeCell ref="N25:N27"/>
    <mergeCell ref="A12:L12"/>
    <mergeCell ref="A1:L1"/>
    <mergeCell ref="A4:A7"/>
    <mergeCell ref="C4:D4"/>
    <mergeCell ref="H4:H7"/>
    <mergeCell ref="J4:K4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showGridLines="0" view="pageBreakPreview" zoomScaleNormal="100" zoomScaleSheetLayoutView="100" workbookViewId="0">
      <pane ySplit="4" topLeftCell="A5" activePane="bottomLeft" state="frozen"/>
      <selection activeCell="H16" sqref="H16:K16"/>
      <selection pane="bottomLeft" activeCell="E16" sqref="E16"/>
    </sheetView>
  </sheetViews>
  <sheetFormatPr defaultColWidth="8" defaultRowHeight="13.5"/>
  <cols>
    <col min="1" max="1" width="30.77734375" style="10" customWidth="1"/>
    <col min="2" max="2" width="25.77734375" style="10" bestFit="1" customWidth="1"/>
    <col min="3" max="3" width="5.77734375" style="10" bestFit="1" customWidth="1"/>
    <col min="4" max="4" width="8.77734375" style="10" customWidth="1"/>
    <col min="5" max="12" width="12.77734375" style="10" customWidth="1"/>
    <col min="13" max="13" width="20.77734375" style="10" customWidth="1"/>
    <col min="14" max="14" width="11.21875" style="10" customWidth="1"/>
    <col min="15" max="247" width="8.88671875" style="10" customWidth="1"/>
    <col min="248" max="248" width="16.5546875" style="10" bestFit="1" customWidth="1"/>
    <col min="249" max="249" width="12.6640625" style="10" bestFit="1" customWidth="1"/>
    <col min="250" max="250" width="4.33203125" style="10" customWidth="1"/>
    <col min="251" max="251" width="6.33203125" style="10" customWidth="1"/>
    <col min="252" max="252" width="8.21875" style="10" customWidth="1"/>
    <col min="253" max="253" width="11.109375" style="10" customWidth="1"/>
    <col min="254" max="262" width="8" style="10"/>
    <col min="263" max="263" width="23.5546875" style="10" customWidth="1"/>
    <col min="264" max="264" width="20" style="10" customWidth="1"/>
    <col min="265" max="265" width="5.6640625" style="10" customWidth="1"/>
    <col min="266" max="266" width="8.44140625" style="10" customWidth="1"/>
    <col min="267" max="267" width="14.5546875" style="10" customWidth="1"/>
    <col min="268" max="268" width="21.77734375" style="10" customWidth="1"/>
    <col min="269" max="269" width="20.88671875" style="10" customWidth="1"/>
    <col min="270" max="270" width="11.21875" style="10" customWidth="1"/>
    <col min="271" max="503" width="8.88671875" style="10" customWidth="1"/>
    <col min="504" max="504" width="16.5546875" style="10" bestFit="1" customWidth="1"/>
    <col min="505" max="505" width="12.6640625" style="10" bestFit="1" customWidth="1"/>
    <col min="506" max="506" width="4.33203125" style="10" customWidth="1"/>
    <col min="507" max="507" width="6.33203125" style="10" customWidth="1"/>
    <col min="508" max="508" width="8.21875" style="10" customWidth="1"/>
    <col min="509" max="509" width="11.109375" style="10" customWidth="1"/>
    <col min="510" max="518" width="8" style="10"/>
    <col min="519" max="519" width="23.5546875" style="10" customWidth="1"/>
    <col min="520" max="520" width="20" style="10" customWidth="1"/>
    <col min="521" max="521" width="5.6640625" style="10" customWidth="1"/>
    <col min="522" max="522" width="8.44140625" style="10" customWidth="1"/>
    <col min="523" max="523" width="14.5546875" style="10" customWidth="1"/>
    <col min="524" max="524" width="21.77734375" style="10" customWidth="1"/>
    <col min="525" max="525" width="20.88671875" style="10" customWidth="1"/>
    <col min="526" max="526" width="11.21875" style="10" customWidth="1"/>
    <col min="527" max="759" width="8.88671875" style="10" customWidth="1"/>
    <col min="760" max="760" width="16.5546875" style="10" bestFit="1" customWidth="1"/>
    <col min="761" max="761" width="12.6640625" style="10" bestFit="1" customWidth="1"/>
    <col min="762" max="762" width="4.33203125" style="10" customWidth="1"/>
    <col min="763" max="763" width="6.33203125" style="10" customWidth="1"/>
    <col min="764" max="764" width="8.21875" style="10" customWidth="1"/>
    <col min="765" max="765" width="11.109375" style="10" customWidth="1"/>
    <col min="766" max="774" width="8" style="10"/>
    <col min="775" max="775" width="23.5546875" style="10" customWidth="1"/>
    <col min="776" max="776" width="20" style="10" customWidth="1"/>
    <col min="777" max="777" width="5.6640625" style="10" customWidth="1"/>
    <col min="778" max="778" width="8.44140625" style="10" customWidth="1"/>
    <col min="779" max="779" width="14.5546875" style="10" customWidth="1"/>
    <col min="780" max="780" width="21.77734375" style="10" customWidth="1"/>
    <col min="781" max="781" width="20.88671875" style="10" customWidth="1"/>
    <col min="782" max="782" width="11.21875" style="10" customWidth="1"/>
    <col min="783" max="1015" width="8.88671875" style="10" customWidth="1"/>
    <col min="1016" max="1016" width="16.5546875" style="10" bestFit="1" customWidth="1"/>
    <col min="1017" max="1017" width="12.6640625" style="10" bestFit="1" customWidth="1"/>
    <col min="1018" max="1018" width="4.33203125" style="10" customWidth="1"/>
    <col min="1019" max="1019" width="6.33203125" style="10" customWidth="1"/>
    <col min="1020" max="1020" width="8.21875" style="10" customWidth="1"/>
    <col min="1021" max="1021" width="11.109375" style="10" customWidth="1"/>
    <col min="1022" max="1030" width="8" style="10"/>
    <col min="1031" max="1031" width="23.5546875" style="10" customWidth="1"/>
    <col min="1032" max="1032" width="20" style="10" customWidth="1"/>
    <col min="1033" max="1033" width="5.6640625" style="10" customWidth="1"/>
    <col min="1034" max="1034" width="8.44140625" style="10" customWidth="1"/>
    <col min="1035" max="1035" width="14.5546875" style="10" customWidth="1"/>
    <col min="1036" max="1036" width="21.77734375" style="10" customWidth="1"/>
    <col min="1037" max="1037" width="20.88671875" style="10" customWidth="1"/>
    <col min="1038" max="1038" width="11.21875" style="10" customWidth="1"/>
    <col min="1039" max="1271" width="8.88671875" style="10" customWidth="1"/>
    <col min="1272" max="1272" width="16.5546875" style="10" bestFit="1" customWidth="1"/>
    <col min="1273" max="1273" width="12.6640625" style="10" bestFit="1" customWidth="1"/>
    <col min="1274" max="1274" width="4.33203125" style="10" customWidth="1"/>
    <col min="1275" max="1275" width="6.33203125" style="10" customWidth="1"/>
    <col min="1276" max="1276" width="8.21875" style="10" customWidth="1"/>
    <col min="1277" max="1277" width="11.109375" style="10" customWidth="1"/>
    <col min="1278" max="1286" width="8" style="10"/>
    <col min="1287" max="1287" width="23.5546875" style="10" customWidth="1"/>
    <col min="1288" max="1288" width="20" style="10" customWidth="1"/>
    <col min="1289" max="1289" width="5.6640625" style="10" customWidth="1"/>
    <col min="1290" max="1290" width="8.44140625" style="10" customWidth="1"/>
    <col min="1291" max="1291" width="14.5546875" style="10" customWidth="1"/>
    <col min="1292" max="1292" width="21.77734375" style="10" customWidth="1"/>
    <col min="1293" max="1293" width="20.88671875" style="10" customWidth="1"/>
    <col min="1294" max="1294" width="11.21875" style="10" customWidth="1"/>
    <col min="1295" max="1527" width="8.88671875" style="10" customWidth="1"/>
    <col min="1528" max="1528" width="16.5546875" style="10" bestFit="1" customWidth="1"/>
    <col min="1529" max="1529" width="12.6640625" style="10" bestFit="1" customWidth="1"/>
    <col min="1530" max="1530" width="4.33203125" style="10" customWidth="1"/>
    <col min="1531" max="1531" width="6.33203125" style="10" customWidth="1"/>
    <col min="1532" max="1532" width="8.21875" style="10" customWidth="1"/>
    <col min="1533" max="1533" width="11.109375" style="10" customWidth="1"/>
    <col min="1534" max="1542" width="8" style="10"/>
    <col min="1543" max="1543" width="23.5546875" style="10" customWidth="1"/>
    <col min="1544" max="1544" width="20" style="10" customWidth="1"/>
    <col min="1545" max="1545" width="5.6640625" style="10" customWidth="1"/>
    <col min="1546" max="1546" width="8.44140625" style="10" customWidth="1"/>
    <col min="1547" max="1547" width="14.5546875" style="10" customWidth="1"/>
    <col min="1548" max="1548" width="21.77734375" style="10" customWidth="1"/>
    <col min="1549" max="1549" width="20.88671875" style="10" customWidth="1"/>
    <col min="1550" max="1550" width="11.21875" style="10" customWidth="1"/>
    <col min="1551" max="1783" width="8.88671875" style="10" customWidth="1"/>
    <col min="1784" max="1784" width="16.5546875" style="10" bestFit="1" customWidth="1"/>
    <col min="1785" max="1785" width="12.6640625" style="10" bestFit="1" customWidth="1"/>
    <col min="1786" max="1786" width="4.33203125" style="10" customWidth="1"/>
    <col min="1787" max="1787" width="6.33203125" style="10" customWidth="1"/>
    <col min="1788" max="1788" width="8.21875" style="10" customWidth="1"/>
    <col min="1789" max="1789" width="11.109375" style="10" customWidth="1"/>
    <col min="1790" max="1798" width="8" style="10"/>
    <col min="1799" max="1799" width="23.5546875" style="10" customWidth="1"/>
    <col min="1800" max="1800" width="20" style="10" customWidth="1"/>
    <col min="1801" max="1801" width="5.6640625" style="10" customWidth="1"/>
    <col min="1802" max="1802" width="8.44140625" style="10" customWidth="1"/>
    <col min="1803" max="1803" width="14.5546875" style="10" customWidth="1"/>
    <col min="1804" max="1804" width="21.77734375" style="10" customWidth="1"/>
    <col min="1805" max="1805" width="20.88671875" style="10" customWidth="1"/>
    <col min="1806" max="1806" width="11.21875" style="10" customWidth="1"/>
    <col min="1807" max="2039" width="8.88671875" style="10" customWidth="1"/>
    <col min="2040" max="2040" width="16.5546875" style="10" bestFit="1" customWidth="1"/>
    <col min="2041" max="2041" width="12.6640625" style="10" bestFit="1" customWidth="1"/>
    <col min="2042" max="2042" width="4.33203125" style="10" customWidth="1"/>
    <col min="2043" max="2043" width="6.33203125" style="10" customWidth="1"/>
    <col min="2044" max="2044" width="8.21875" style="10" customWidth="1"/>
    <col min="2045" max="2045" width="11.109375" style="10" customWidth="1"/>
    <col min="2046" max="2054" width="8" style="10"/>
    <col min="2055" max="2055" width="23.5546875" style="10" customWidth="1"/>
    <col min="2056" max="2056" width="20" style="10" customWidth="1"/>
    <col min="2057" max="2057" width="5.6640625" style="10" customWidth="1"/>
    <col min="2058" max="2058" width="8.44140625" style="10" customWidth="1"/>
    <col min="2059" max="2059" width="14.5546875" style="10" customWidth="1"/>
    <col min="2060" max="2060" width="21.77734375" style="10" customWidth="1"/>
    <col min="2061" max="2061" width="20.88671875" style="10" customWidth="1"/>
    <col min="2062" max="2062" width="11.21875" style="10" customWidth="1"/>
    <col min="2063" max="2295" width="8.88671875" style="10" customWidth="1"/>
    <col min="2296" max="2296" width="16.5546875" style="10" bestFit="1" customWidth="1"/>
    <col min="2297" max="2297" width="12.6640625" style="10" bestFit="1" customWidth="1"/>
    <col min="2298" max="2298" width="4.33203125" style="10" customWidth="1"/>
    <col min="2299" max="2299" width="6.33203125" style="10" customWidth="1"/>
    <col min="2300" max="2300" width="8.21875" style="10" customWidth="1"/>
    <col min="2301" max="2301" width="11.109375" style="10" customWidth="1"/>
    <col min="2302" max="2310" width="8" style="10"/>
    <col min="2311" max="2311" width="23.5546875" style="10" customWidth="1"/>
    <col min="2312" max="2312" width="20" style="10" customWidth="1"/>
    <col min="2313" max="2313" width="5.6640625" style="10" customWidth="1"/>
    <col min="2314" max="2314" width="8.44140625" style="10" customWidth="1"/>
    <col min="2315" max="2315" width="14.5546875" style="10" customWidth="1"/>
    <col min="2316" max="2316" width="21.77734375" style="10" customWidth="1"/>
    <col min="2317" max="2317" width="20.88671875" style="10" customWidth="1"/>
    <col min="2318" max="2318" width="11.21875" style="10" customWidth="1"/>
    <col min="2319" max="2551" width="8.88671875" style="10" customWidth="1"/>
    <col min="2552" max="2552" width="16.5546875" style="10" bestFit="1" customWidth="1"/>
    <col min="2553" max="2553" width="12.6640625" style="10" bestFit="1" customWidth="1"/>
    <col min="2554" max="2554" width="4.33203125" style="10" customWidth="1"/>
    <col min="2555" max="2555" width="6.33203125" style="10" customWidth="1"/>
    <col min="2556" max="2556" width="8.21875" style="10" customWidth="1"/>
    <col min="2557" max="2557" width="11.109375" style="10" customWidth="1"/>
    <col min="2558" max="2566" width="8" style="10"/>
    <col min="2567" max="2567" width="23.5546875" style="10" customWidth="1"/>
    <col min="2568" max="2568" width="20" style="10" customWidth="1"/>
    <col min="2569" max="2569" width="5.6640625" style="10" customWidth="1"/>
    <col min="2570" max="2570" width="8.44140625" style="10" customWidth="1"/>
    <col min="2571" max="2571" width="14.5546875" style="10" customWidth="1"/>
    <col min="2572" max="2572" width="21.77734375" style="10" customWidth="1"/>
    <col min="2573" max="2573" width="20.88671875" style="10" customWidth="1"/>
    <col min="2574" max="2574" width="11.21875" style="10" customWidth="1"/>
    <col min="2575" max="2807" width="8.88671875" style="10" customWidth="1"/>
    <col min="2808" max="2808" width="16.5546875" style="10" bestFit="1" customWidth="1"/>
    <col min="2809" max="2809" width="12.6640625" style="10" bestFit="1" customWidth="1"/>
    <col min="2810" max="2810" width="4.33203125" style="10" customWidth="1"/>
    <col min="2811" max="2811" width="6.33203125" style="10" customWidth="1"/>
    <col min="2812" max="2812" width="8.21875" style="10" customWidth="1"/>
    <col min="2813" max="2813" width="11.109375" style="10" customWidth="1"/>
    <col min="2814" max="2822" width="8" style="10"/>
    <col min="2823" max="2823" width="23.5546875" style="10" customWidth="1"/>
    <col min="2824" max="2824" width="20" style="10" customWidth="1"/>
    <col min="2825" max="2825" width="5.6640625" style="10" customWidth="1"/>
    <col min="2826" max="2826" width="8.44140625" style="10" customWidth="1"/>
    <col min="2827" max="2827" width="14.5546875" style="10" customWidth="1"/>
    <col min="2828" max="2828" width="21.77734375" style="10" customWidth="1"/>
    <col min="2829" max="2829" width="20.88671875" style="10" customWidth="1"/>
    <col min="2830" max="2830" width="11.21875" style="10" customWidth="1"/>
    <col min="2831" max="3063" width="8.88671875" style="10" customWidth="1"/>
    <col min="3064" max="3064" width="16.5546875" style="10" bestFit="1" customWidth="1"/>
    <col min="3065" max="3065" width="12.6640625" style="10" bestFit="1" customWidth="1"/>
    <col min="3066" max="3066" width="4.33203125" style="10" customWidth="1"/>
    <col min="3067" max="3067" width="6.33203125" style="10" customWidth="1"/>
    <col min="3068" max="3068" width="8.21875" style="10" customWidth="1"/>
    <col min="3069" max="3069" width="11.109375" style="10" customWidth="1"/>
    <col min="3070" max="3078" width="8" style="10"/>
    <col min="3079" max="3079" width="23.5546875" style="10" customWidth="1"/>
    <col min="3080" max="3080" width="20" style="10" customWidth="1"/>
    <col min="3081" max="3081" width="5.6640625" style="10" customWidth="1"/>
    <col min="3082" max="3082" width="8.44140625" style="10" customWidth="1"/>
    <col min="3083" max="3083" width="14.5546875" style="10" customWidth="1"/>
    <col min="3084" max="3084" width="21.77734375" style="10" customWidth="1"/>
    <col min="3085" max="3085" width="20.88671875" style="10" customWidth="1"/>
    <col min="3086" max="3086" width="11.21875" style="10" customWidth="1"/>
    <col min="3087" max="3319" width="8.88671875" style="10" customWidth="1"/>
    <col min="3320" max="3320" width="16.5546875" style="10" bestFit="1" customWidth="1"/>
    <col min="3321" max="3321" width="12.6640625" style="10" bestFit="1" customWidth="1"/>
    <col min="3322" max="3322" width="4.33203125" style="10" customWidth="1"/>
    <col min="3323" max="3323" width="6.33203125" style="10" customWidth="1"/>
    <col min="3324" max="3324" width="8.21875" style="10" customWidth="1"/>
    <col min="3325" max="3325" width="11.109375" style="10" customWidth="1"/>
    <col min="3326" max="3334" width="8" style="10"/>
    <col min="3335" max="3335" width="23.5546875" style="10" customWidth="1"/>
    <col min="3336" max="3336" width="20" style="10" customWidth="1"/>
    <col min="3337" max="3337" width="5.6640625" style="10" customWidth="1"/>
    <col min="3338" max="3338" width="8.44140625" style="10" customWidth="1"/>
    <col min="3339" max="3339" width="14.5546875" style="10" customWidth="1"/>
    <col min="3340" max="3340" width="21.77734375" style="10" customWidth="1"/>
    <col min="3341" max="3341" width="20.88671875" style="10" customWidth="1"/>
    <col min="3342" max="3342" width="11.21875" style="10" customWidth="1"/>
    <col min="3343" max="3575" width="8.88671875" style="10" customWidth="1"/>
    <col min="3576" max="3576" width="16.5546875" style="10" bestFit="1" customWidth="1"/>
    <col min="3577" max="3577" width="12.6640625" style="10" bestFit="1" customWidth="1"/>
    <col min="3578" max="3578" width="4.33203125" style="10" customWidth="1"/>
    <col min="3579" max="3579" width="6.33203125" style="10" customWidth="1"/>
    <col min="3580" max="3580" width="8.21875" style="10" customWidth="1"/>
    <col min="3581" max="3581" width="11.109375" style="10" customWidth="1"/>
    <col min="3582" max="3590" width="8" style="10"/>
    <col min="3591" max="3591" width="23.5546875" style="10" customWidth="1"/>
    <col min="3592" max="3592" width="20" style="10" customWidth="1"/>
    <col min="3593" max="3593" width="5.6640625" style="10" customWidth="1"/>
    <col min="3594" max="3594" width="8.44140625" style="10" customWidth="1"/>
    <col min="3595" max="3595" width="14.5546875" style="10" customWidth="1"/>
    <col min="3596" max="3596" width="21.77734375" style="10" customWidth="1"/>
    <col min="3597" max="3597" width="20.88671875" style="10" customWidth="1"/>
    <col min="3598" max="3598" width="11.21875" style="10" customWidth="1"/>
    <col min="3599" max="3831" width="8.88671875" style="10" customWidth="1"/>
    <col min="3832" max="3832" width="16.5546875" style="10" bestFit="1" customWidth="1"/>
    <col min="3833" max="3833" width="12.6640625" style="10" bestFit="1" customWidth="1"/>
    <col min="3834" max="3834" width="4.33203125" style="10" customWidth="1"/>
    <col min="3835" max="3835" width="6.33203125" style="10" customWidth="1"/>
    <col min="3836" max="3836" width="8.21875" style="10" customWidth="1"/>
    <col min="3837" max="3837" width="11.109375" style="10" customWidth="1"/>
    <col min="3838" max="3846" width="8" style="10"/>
    <col min="3847" max="3847" width="23.5546875" style="10" customWidth="1"/>
    <col min="3848" max="3848" width="20" style="10" customWidth="1"/>
    <col min="3849" max="3849" width="5.6640625" style="10" customWidth="1"/>
    <col min="3850" max="3850" width="8.44140625" style="10" customWidth="1"/>
    <col min="3851" max="3851" width="14.5546875" style="10" customWidth="1"/>
    <col min="3852" max="3852" width="21.77734375" style="10" customWidth="1"/>
    <col min="3853" max="3853" width="20.88671875" style="10" customWidth="1"/>
    <col min="3854" max="3854" width="11.21875" style="10" customWidth="1"/>
    <col min="3855" max="4087" width="8.88671875" style="10" customWidth="1"/>
    <col min="4088" max="4088" width="16.5546875" style="10" bestFit="1" customWidth="1"/>
    <col min="4089" max="4089" width="12.6640625" style="10" bestFit="1" customWidth="1"/>
    <col min="4090" max="4090" width="4.33203125" style="10" customWidth="1"/>
    <col min="4091" max="4091" width="6.33203125" style="10" customWidth="1"/>
    <col min="4092" max="4092" width="8.21875" style="10" customWidth="1"/>
    <col min="4093" max="4093" width="11.109375" style="10" customWidth="1"/>
    <col min="4094" max="4102" width="8" style="10"/>
    <col min="4103" max="4103" width="23.5546875" style="10" customWidth="1"/>
    <col min="4104" max="4104" width="20" style="10" customWidth="1"/>
    <col min="4105" max="4105" width="5.6640625" style="10" customWidth="1"/>
    <col min="4106" max="4106" width="8.44140625" style="10" customWidth="1"/>
    <col min="4107" max="4107" width="14.5546875" style="10" customWidth="1"/>
    <col min="4108" max="4108" width="21.77734375" style="10" customWidth="1"/>
    <col min="4109" max="4109" width="20.88671875" style="10" customWidth="1"/>
    <col min="4110" max="4110" width="11.21875" style="10" customWidth="1"/>
    <col min="4111" max="4343" width="8.88671875" style="10" customWidth="1"/>
    <col min="4344" max="4344" width="16.5546875" style="10" bestFit="1" customWidth="1"/>
    <col min="4345" max="4345" width="12.6640625" style="10" bestFit="1" customWidth="1"/>
    <col min="4346" max="4346" width="4.33203125" style="10" customWidth="1"/>
    <col min="4347" max="4347" width="6.33203125" style="10" customWidth="1"/>
    <col min="4348" max="4348" width="8.21875" style="10" customWidth="1"/>
    <col min="4349" max="4349" width="11.109375" style="10" customWidth="1"/>
    <col min="4350" max="4358" width="8" style="10"/>
    <col min="4359" max="4359" width="23.5546875" style="10" customWidth="1"/>
    <col min="4360" max="4360" width="20" style="10" customWidth="1"/>
    <col min="4361" max="4361" width="5.6640625" style="10" customWidth="1"/>
    <col min="4362" max="4362" width="8.44140625" style="10" customWidth="1"/>
    <col min="4363" max="4363" width="14.5546875" style="10" customWidth="1"/>
    <col min="4364" max="4364" width="21.77734375" style="10" customWidth="1"/>
    <col min="4365" max="4365" width="20.88671875" style="10" customWidth="1"/>
    <col min="4366" max="4366" width="11.21875" style="10" customWidth="1"/>
    <col min="4367" max="4599" width="8.88671875" style="10" customWidth="1"/>
    <col min="4600" max="4600" width="16.5546875" style="10" bestFit="1" customWidth="1"/>
    <col min="4601" max="4601" width="12.6640625" style="10" bestFit="1" customWidth="1"/>
    <col min="4602" max="4602" width="4.33203125" style="10" customWidth="1"/>
    <col min="4603" max="4603" width="6.33203125" style="10" customWidth="1"/>
    <col min="4604" max="4604" width="8.21875" style="10" customWidth="1"/>
    <col min="4605" max="4605" width="11.109375" style="10" customWidth="1"/>
    <col min="4606" max="4614" width="8" style="10"/>
    <col min="4615" max="4615" width="23.5546875" style="10" customWidth="1"/>
    <col min="4616" max="4616" width="20" style="10" customWidth="1"/>
    <col min="4617" max="4617" width="5.6640625" style="10" customWidth="1"/>
    <col min="4618" max="4618" width="8.44140625" style="10" customWidth="1"/>
    <col min="4619" max="4619" width="14.5546875" style="10" customWidth="1"/>
    <col min="4620" max="4620" width="21.77734375" style="10" customWidth="1"/>
    <col min="4621" max="4621" width="20.88671875" style="10" customWidth="1"/>
    <col min="4622" max="4622" width="11.21875" style="10" customWidth="1"/>
    <col min="4623" max="4855" width="8.88671875" style="10" customWidth="1"/>
    <col min="4856" max="4856" width="16.5546875" style="10" bestFit="1" customWidth="1"/>
    <col min="4857" max="4857" width="12.6640625" style="10" bestFit="1" customWidth="1"/>
    <col min="4858" max="4858" width="4.33203125" style="10" customWidth="1"/>
    <col min="4859" max="4859" width="6.33203125" style="10" customWidth="1"/>
    <col min="4860" max="4860" width="8.21875" style="10" customWidth="1"/>
    <col min="4861" max="4861" width="11.109375" style="10" customWidth="1"/>
    <col min="4862" max="4870" width="8" style="10"/>
    <col min="4871" max="4871" width="23.5546875" style="10" customWidth="1"/>
    <col min="4872" max="4872" width="20" style="10" customWidth="1"/>
    <col min="4873" max="4873" width="5.6640625" style="10" customWidth="1"/>
    <col min="4874" max="4874" width="8.44140625" style="10" customWidth="1"/>
    <col min="4875" max="4875" width="14.5546875" style="10" customWidth="1"/>
    <col min="4876" max="4876" width="21.77734375" style="10" customWidth="1"/>
    <col min="4877" max="4877" width="20.88671875" style="10" customWidth="1"/>
    <col min="4878" max="4878" width="11.21875" style="10" customWidth="1"/>
    <col min="4879" max="5111" width="8.88671875" style="10" customWidth="1"/>
    <col min="5112" max="5112" width="16.5546875" style="10" bestFit="1" customWidth="1"/>
    <col min="5113" max="5113" width="12.6640625" style="10" bestFit="1" customWidth="1"/>
    <col min="5114" max="5114" width="4.33203125" style="10" customWidth="1"/>
    <col min="5115" max="5115" width="6.33203125" style="10" customWidth="1"/>
    <col min="5116" max="5116" width="8.21875" style="10" customWidth="1"/>
    <col min="5117" max="5117" width="11.109375" style="10" customWidth="1"/>
    <col min="5118" max="5126" width="8" style="10"/>
    <col min="5127" max="5127" width="23.5546875" style="10" customWidth="1"/>
    <col min="5128" max="5128" width="20" style="10" customWidth="1"/>
    <col min="5129" max="5129" width="5.6640625" style="10" customWidth="1"/>
    <col min="5130" max="5130" width="8.44140625" style="10" customWidth="1"/>
    <col min="5131" max="5131" width="14.5546875" style="10" customWidth="1"/>
    <col min="5132" max="5132" width="21.77734375" style="10" customWidth="1"/>
    <col min="5133" max="5133" width="20.88671875" style="10" customWidth="1"/>
    <col min="5134" max="5134" width="11.21875" style="10" customWidth="1"/>
    <col min="5135" max="5367" width="8.88671875" style="10" customWidth="1"/>
    <col min="5368" max="5368" width="16.5546875" style="10" bestFit="1" customWidth="1"/>
    <col min="5369" max="5369" width="12.6640625" style="10" bestFit="1" customWidth="1"/>
    <col min="5370" max="5370" width="4.33203125" style="10" customWidth="1"/>
    <col min="5371" max="5371" width="6.33203125" style="10" customWidth="1"/>
    <col min="5372" max="5372" width="8.21875" style="10" customWidth="1"/>
    <col min="5373" max="5373" width="11.109375" style="10" customWidth="1"/>
    <col min="5374" max="5382" width="8" style="10"/>
    <col min="5383" max="5383" width="23.5546875" style="10" customWidth="1"/>
    <col min="5384" max="5384" width="20" style="10" customWidth="1"/>
    <col min="5385" max="5385" width="5.6640625" style="10" customWidth="1"/>
    <col min="5386" max="5386" width="8.44140625" style="10" customWidth="1"/>
    <col min="5387" max="5387" width="14.5546875" style="10" customWidth="1"/>
    <col min="5388" max="5388" width="21.77734375" style="10" customWidth="1"/>
    <col min="5389" max="5389" width="20.88671875" style="10" customWidth="1"/>
    <col min="5390" max="5390" width="11.21875" style="10" customWidth="1"/>
    <col min="5391" max="5623" width="8.88671875" style="10" customWidth="1"/>
    <col min="5624" max="5624" width="16.5546875" style="10" bestFit="1" customWidth="1"/>
    <col min="5625" max="5625" width="12.6640625" style="10" bestFit="1" customWidth="1"/>
    <col min="5626" max="5626" width="4.33203125" style="10" customWidth="1"/>
    <col min="5627" max="5627" width="6.33203125" style="10" customWidth="1"/>
    <col min="5628" max="5628" width="8.21875" style="10" customWidth="1"/>
    <col min="5629" max="5629" width="11.109375" style="10" customWidth="1"/>
    <col min="5630" max="5638" width="8" style="10"/>
    <col min="5639" max="5639" width="23.5546875" style="10" customWidth="1"/>
    <col min="5640" max="5640" width="20" style="10" customWidth="1"/>
    <col min="5641" max="5641" width="5.6640625" style="10" customWidth="1"/>
    <col min="5642" max="5642" width="8.44140625" style="10" customWidth="1"/>
    <col min="5643" max="5643" width="14.5546875" style="10" customWidth="1"/>
    <col min="5644" max="5644" width="21.77734375" style="10" customWidth="1"/>
    <col min="5645" max="5645" width="20.88671875" style="10" customWidth="1"/>
    <col min="5646" max="5646" width="11.21875" style="10" customWidth="1"/>
    <col min="5647" max="5879" width="8.88671875" style="10" customWidth="1"/>
    <col min="5880" max="5880" width="16.5546875" style="10" bestFit="1" customWidth="1"/>
    <col min="5881" max="5881" width="12.6640625" style="10" bestFit="1" customWidth="1"/>
    <col min="5882" max="5882" width="4.33203125" style="10" customWidth="1"/>
    <col min="5883" max="5883" width="6.33203125" style="10" customWidth="1"/>
    <col min="5884" max="5884" width="8.21875" style="10" customWidth="1"/>
    <col min="5885" max="5885" width="11.109375" style="10" customWidth="1"/>
    <col min="5886" max="5894" width="8" style="10"/>
    <col min="5895" max="5895" width="23.5546875" style="10" customWidth="1"/>
    <col min="5896" max="5896" width="20" style="10" customWidth="1"/>
    <col min="5897" max="5897" width="5.6640625" style="10" customWidth="1"/>
    <col min="5898" max="5898" width="8.44140625" style="10" customWidth="1"/>
    <col min="5899" max="5899" width="14.5546875" style="10" customWidth="1"/>
    <col min="5900" max="5900" width="21.77734375" style="10" customWidth="1"/>
    <col min="5901" max="5901" width="20.88671875" style="10" customWidth="1"/>
    <col min="5902" max="5902" width="11.21875" style="10" customWidth="1"/>
    <col min="5903" max="6135" width="8.88671875" style="10" customWidth="1"/>
    <col min="6136" max="6136" width="16.5546875" style="10" bestFit="1" customWidth="1"/>
    <col min="6137" max="6137" width="12.6640625" style="10" bestFit="1" customWidth="1"/>
    <col min="6138" max="6138" width="4.33203125" style="10" customWidth="1"/>
    <col min="6139" max="6139" width="6.33203125" style="10" customWidth="1"/>
    <col min="6140" max="6140" width="8.21875" style="10" customWidth="1"/>
    <col min="6141" max="6141" width="11.109375" style="10" customWidth="1"/>
    <col min="6142" max="6150" width="8" style="10"/>
    <col min="6151" max="6151" width="23.5546875" style="10" customWidth="1"/>
    <col min="6152" max="6152" width="20" style="10" customWidth="1"/>
    <col min="6153" max="6153" width="5.6640625" style="10" customWidth="1"/>
    <col min="6154" max="6154" width="8.44140625" style="10" customWidth="1"/>
    <col min="6155" max="6155" width="14.5546875" style="10" customWidth="1"/>
    <col min="6156" max="6156" width="21.77734375" style="10" customWidth="1"/>
    <col min="6157" max="6157" width="20.88671875" style="10" customWidth="1"/>
    <col min="6158" max="6158" width="11.21875" style="10" customWidth="1"/>
    <col min="6159" max="6391" width="8.88671875" style="10" customWidth="1"/>
    <col min="6392" max="6392" width="16.5546875" style="10" bestFit="1" customWidth="1"/>
    <col min="6393" max="6393" width="12.6640625" style="10" bestFit="1" customWidth="1"/>
    <col min="6394" max="6394" width="4.33203125" style="10" customWidth="1"/>
    <col min="6395" max="6395" width="6.33203125" style="10" customWidth="1"/>
    <col min="6396" max="6396" width="8.21875" style="10" customWidth="1"/>
    <col min="6397" max="6397" width="11.109375" style="10" customWidth="1"/>
    <col min="6398" max="6406" width="8" style="10"/>
    <col min="6407" max="6407" width="23.5546875" style="10" customWidth="1"/>
    <col min="6408" max="6408" width="20" style="10" customWidth="1"/>
    <col min="6409" max="6409" width="5.6640625" style="10" customWidth="1"/>
    <col min="6410" max="6410" width="8.44140625" style="10" customWidth="1"/>
    <col min="6411" max="6411" width="14.5546875" style="10" customWidth="1"/>
    <col min="6412" max="6412" width="21.77734375" style="10" customWidth="1"/>
    <col min="6413" max="6413" width="20.88671875" style="10" customWidth="1"/>
    <col min="6414" max="6414" width="11.21875" style="10" customWidth="1"/>
    <col min="6415" max="6647" width="8.88671875" style="10" customWidth="1"/>
    <col min="6648" max="6648" width="16.5546875" style="10" bestFit="1" customWidth="1"/>
    <col min="6649" max="6649" width="12.6640625" style="10" bestFit="1" customWidth="1"/>
    <col min="6650" max="6650" width="4.33203125" style="10" customWidth="1"/>
    <col min="6651" max="6651" width="6.33203125" style="10" customWidth="1"/>
    <col min="6652" max="6652" width="8.21875" style="10" customWidth="1"/>
    <col min="6653" max="6653" width="11.109375" style="10" customWidth="1"/>
    <col min="6654" max="6662" width="8" style="10"/>
    <col min="6663" max="6663" width="23.5546875" style="10" customWidth="1"/>
    <col min="6664" max="6664" width="20" style="10" customWidth="1"/>
    <col min="6665" max="6665" width="5.6640625" style="10" customWidth="1"/>
    <col min="6666" max="6666" width="8.44140625" style="10" customWidth="1"/>
    <col min="6667" max="6667" width="14.5546875" style="10" customWidth="1"/>
    <col min="6668" max="6668" width="21.77734375" style="10" customWidth="1"/>
    <col min="6669" max="6669" width="20.88671875" style="10" customWidth="1"/>
    <col min="6670" max="6670" width="11.21875" style="10" customWidth="1"/>
    <col min="6671" max="6903" width="8.88671875" style="10" customWidth="1"/>
    <col min="6904" max="6904" width="16.5546875" style="10" bestFit="1" customWidth="1"/>
    <col min="6905" max="6905" width="12.6640625" style="10" bestFit="1" customWidth="1"/>
    <col min="6906" max="6906" width="4.33203125" style="10" customWidth="1"/>
    <col min="6907" max="6907" width="6.33203125" style="10" customWidth="1"/>
    <col min="6908" max="6908" width="8.21875" style="10" customWidth="1"/>
    <col min="6909" max="6909" width="11.109375" style="10" customWidth="1"/>
    <col min="6910" max="6918" width="8" style="10"/>
    <col min="6919" max="6919" width="23.5546875" style="10" customWidth="1"/>
    <col min="6920" max="6920" width="20" style="10" customWidth="1"/>
    <col min="6921" max="6921" width="5.6640625" style="10" customWidth="1"/>
    <col min="6922" max="6922" width="8.44140625" style="10" customWidth="1"/>
    <col min="6923" max="6923" width="14.5546875" style="10" customWidth="1"/>
    <col min="6924" max="6924" width="21.77734375" style="10" customWidth="1"/>
    <col min="6925" max="6925" width="20.88671875" style="10" customWidth="1"/>
    <col min="6926" max="6926" width="11.21875" style="10" customWidth="1"/>
    <col min="6927" max="7159" width="8.88671875" style="10" customWidth="1"/>
    <col min="7160" max="7160" width="16.5546875" style="10" bestFit="1" customWidth="1"/>
    <col min="7161" max="7161" width="12.6640625" style="10" bestFit="1" customWidth="1"/>
    <col min="7162" max="7162" width="4.33203125" style="10" customWidth="1"/>
    <col min="7163" max="7163" width="6.33203125" style="10" customWidth="1"/>
    <col min="7164" max="7164" width="8.21875" style="10" customWidth="1"/>
    <col min="7165" max="7165" width="11.109375" style="10" customWidth="1"/>
    <col min="7166" max="7174" width="8" style="10"/>
    <col min="7175" max="7175" width="23.5546875" style="10" customWidth="1"/>
    <col min="7176" max="7176" width="20" style="10" customWidth="1"/>
    <col min="7177" max="7177" width="5.6640625" style="10" customWidth="1"/>
    <col min="7178" max="7178" width="8.44140625" style="10" customWidth="1"/>
    <col min="7179" max="7179" width="14.5546875" style="10" customWidth="1"/>
    <col min="7180" max="7180" width="21.77734375" style="10" customWidth="1"/>
    <col min="7181" max="7181" width="20.88671875" style="10" customWidth="1"/>
    <col min="7182" max="7182" width="11.21875" style="10" customWidth="1"/>
    <col min="7183" max="7415" width="8.88671875" style="10" customWidth="1"/>
    <col min="7416" max="7416" width="16.5546875" style="10" bestFit="1" customWidth="1"/>
    <col min="7417" max="7417" width="12.6640625" style="10" bestFit="1" customWidth="1"/>
    <col min="7418" max="7418" width="4.33203125" style="10" customWidth="1"/>
    <col min="7419" max="7419" width="6.33203125" style="10" customWidth="1"/>
    <col min="7420" max="7420" width="8.21875" style="10" customWidth="1"/>
    <col min="7421" max="7421" width="11.109375" style="10" customWidth="1"/>
    <col min="7422" max="7430" width="8" style="10"/>
    <col min="7431" max="7431" width="23.5546875" style="10" customWidth="1"/>
    <col min="7432" max="7432" width="20" style="10" customWidth="1"/>
    <col min="7433" max="7433" width="5.6640625" style="10" customWidth="1"/>
    <col min="7434" max="7434" width="8.44140625" style="10" customWidth="1"/>
    <col min="7435" max="7435" width="14.5546875" style="10" customWidth="1"/>
    <col min="7436" max="7436" width="21.77734375" style="10" customWidth="1"/>
    <col min="7437" max="7437" width="20.88671875" style="10" customWidth="1"/>
    <col min="7438" max="7438" width="11.21875" style="10" customWidth="1"/>
    <col min="7439" max="7671" width="8.88671875" style="10" customWidth="1"/>
    <col min="7672" max="7672" width="16.5546875" style="10" bestFit="1" customWidth="1"/>
    <col min="7673" max="7673" width="12.6640625" style="10" bestFit="1" customWidth="1"/>
    <col min="7674" max="7674" width="4.33203125" style="10" customWidth="1"/>
    <col min="7675" max="7675" width="6.33203125" style="10" customWidth="1"/>
    <col min="7676" max="7676" width="8.21875" style="10" customWidth="1"/>
    <col min="7677" max="7677" width="11.109375" style="10" customWidth="1"/>
    <col min="7678" max="7686" width="8" style="10"/>
    <col min="7687" max="7687" width="23.5546875" style="10" customWidth="1"/>
    <col min="7688" max="7688" width="20" style="10" customWidth="1"/>
    <col min="7689" max="7689" width="5.6640625" style="10" customWidth="1"/>
    <col min="7690" max="7690" width="8.44140625" style="10" customWidth="1"/>
    <col min="7691" max="7691" width="14.5546875" style="10" customWidth="1"/>
    <col min="7692" max="7692" width="21.77734375" style="10" customWidth="1"/>
    <col min="7693" max="7693" width="20.88671875" style="10" customWidth="1"/>
    <col min="7694" max="7694" width="11.21875" style="10" customWidth="1"/>
    <col min="7695" max="7927" width="8.88671875" style="10" customWidth="1"/>
    <col min="7928" max="7928" width="16.5546875" style="10" bestFit="1" customWidth="1"/>
    <col min="7929" max="7929" width="12.6640625" style="10" bestFit="1" customWidth="1"/>
    <col min="7930" max="7930" width="4.33203125" style="10" customWidth="1"/>
    <col min="7931" max="7931" width="6.33203125" style="10" customWidth="1"/>
    <col min="7932" max="7932" width="8.21875" style="10" customWidth="1"/>
    <col min="7933" max="7933" width="11.109375" style="10" customWidth="1"/>
    <col min="7934" max="7942" width="8" style="10"/>
    <col min="7943" max="7943" width="23.5546875" style="10" customWidth="1"/>
    <col min="7944" max="7944" width="20" style="10" customWidth="1"/>
    <col min="7945" max="7945" width="5.6640625" style="10" customWidth="1"/>
    <col min="7946" max="7946" width="8.44140625" style="10" customWidth="1"/>
    <col min="7947" max="7947" width="14.5546875" style="10" customWidth="1"/>
    <col min="7948" max="7948" width="21.77734375" style="10" customWidth="1"/>
    <col min="7949" max="7949" width="20.88671875" style="10" customWidth="1"/>
    <col min="7950" max="7950" width="11.21875" style="10" customWidth="1"/>
    <col min="7951" max="8183" width="8.88671875" style="10" customWidth="1"/>
    <col min="8184" max="8184" width="16.5546875" style="10" bestFit="1" customWidth="1"/>
    <col min="8185" max="8185" width="12.6640625" style="10" bestFit="1" customWidth="1"/>
    <col min="8186" max="8186" width="4.33203125" style="10" customWidth="1"/>
    <col min="8187" max="8187" width="6.33203125" style="10" customWidth="1"/>
    <col min="8188" max="8188" width="8.21875" style="10" customWidth="1"/>
    <col min="8189" max="8189" width="11.109375" style="10" customWidth="1"/>
    <col min="8190" max="8198" width="8" style="10"/>
    <col min="8199" max="8199" width="23.5546875" style="10" customWidth="1"/>
    <col min="8200" max="8200" width="20" style="10" customWidth="1"/>
    <col min="8201" max="8201" width="5.6640625" style="10" customWidth="1"/>
    <col min="8202" max="8202" width="8.44140625" style="10" customWidth="1"/>
    <col min="8203" max="8203" width="14.5546875" style="10" customWidth="1"/>
    <col min="8204" max="8204" width="21.77734375" style="10" customWidth="1"/>
    <col min="8205" max="8205" width="20.88671875" style="10" customWidth="1"/>
    <col min="8206" max="8206" width="11.21875" style="10" customWidth="1"/>
    <col min="8207" max="8439" width="8.88671875" style="10" customWidth="1"/>
    <col min="8440" max="8440" width="16.5546875" style="10" bestFit="1" customWidth="1"/>
    <col min="8441" max="8441" width="12.6640625" style="10" bestFit="1" customWidth="1"/>
    <col min="8442" max="8442" width="4.33203125" style="10" customWidth="1"/>
    <col min="8443" max="8443" width="6.33203125" style="10" customWidth="1"/>
    <col min="8444" max="8444" width="8.21875" style="10" customWidth="1"/>
    <col min="8445" max="8445" width="11.109375" style="10" customWidth="1"/>
    <col min="8446" max="8454" width="8" style="10"/>
    <col min="8455" max="8455" width="23.5546875" style="10" customWidth="1"/>
    <col min="8456" max="8456" width="20" style="10" customWidth="1"/>
    <col min="8457" max="8457" width="5.6640625" style="10" customWidth="1"/>
    <col min="8458" max="8458" width="8.44140625" style="10" customWidth="1"/>
    <col min="8459" max="8459" width="14.5546875" style="10" customWidth="1"/>
    <col min="8460" max="8460" width="21.77734375" style="10" customWidth="1"/>
    <col min="8461" max="8461" width="20.88671875" style="10" customWidth="1"/>
    <col min="8462" max="8462" width="11.21875" style="10" customWidth="1"/>
    <col min="8463" max="8695" width="8.88671875" style="10" customWidth="1"/>
    <col min="8696" max="8696" width="16.5546875" style="10" bestFit="1" customWidth="1"/>
    <col min="8697" max="8697" width="12.6640625" style="10" bestFit="1" customWidth="1"/>
    <col min="8698" max="8698" width="4.33203125" style="10" customWidth="1"/>
    <col min="8699" max="8699" width="6.33203125" style="10" customWidth="1"/>
    <col min="8700" max="8700" width="8.21875" style="10" customWidth="1"/>
    <col min="8701" max="8701" width="11.109375" style="10" customWidth="1"/>
    <col min="8702" max="8710" width="8" style="10"/>
    <col min="8711" max="8711" width="23.5546875" style="10" customWidth="1"/>
    <col min="8712" max="8712" width="20" style="10" customWidth="1"/>
    <col min="8713" max="8713" width="5.6640625" style="10" customWidth="1"/>
    <col min="8714" max="8714" width="8.44140625" style="10" customWidth="1"/>
    <col min="8715" max="8715" width="14.5546875" style="10" customWidth="1"/>
    <col min="8716" max="8716" width="21.77734375" style="10" customWidth="1"/>
    <col min="8717" max="8717" width="20.88671875" style="10" customWidth="1"/>
    <col min="8718" max="8718" width="11.21875" style="10" customWidth="1"/>
    <col min="8719" max="8951" width="8.88671875" style="10" customWidth="1"/>
    <col min="8952" max="8952" width="16.5546875" style="10" bestFit="1" customWidth="1"/>
    <col min="8953" max="8953" width="12.6640625" style="10" bestFit="1" customWidth="1"/>
    <col min="8954" max="8954" width="4.33203125" style="10" customWidth="1"/>
    <col min="8955" max="8955" width="6.33203125" style="10" customWidth="1"/>
    <col min="8956" max="8956" width="8.21875" style="10" customWidth="1"/>
    <col min="8957" max="8957" width="11.109375" style="10" customWidth="1"/>
    <col min="8958" max="8966" width="8" style="10"/>
    <col min="8967" max="8967" width="23.5546875" style="10" customWidth="1"/>
    <col min="8968" max="8968" width="20" style="10" customWidth="1"/>
    <col min="8969" max="8969" width="5.6640625" style="10" customWidth="1"/>
    <col min="8970" max="8970" width="8.44140625" style="10" customWidth="1"/>
    <col min="8971" max="8971" width="14.5546875" style="10" customWidth="1"/>
    <col min="8972" max="8972" width="21.77734375" style="10" customWidth="1"/>
    <col min="8973" max="8973" width="20.88671875" style="10" customWidth="1"/>
    <col min="8974" max="8974" width="11.21875" style="10" customWidth="1"/>
    <col min="8975" max="9207" width="8.88671875" style="10" customWidth="1"/>
    <col min="9208" max="9208" width="16.5546875" style="10" bestFit="1" customWidth="1"/>
    <col min="9209" max="9209" width="12.6640625" style="10" bestFit="1" customWidth="1"/>
    <col min="9210" max="9210" width="4.33203125" style="10" customWidth="1"/>
    <col min="9211" max="9211" width="6.33203125" style="10" customWidth="1"/>
    <col min="9212" max="9212" width="8.21875" style="10" customWidth="1"/>
    <col min="9213" max="9213" width="11.109375" style="10" customWidth="1"/>
    <col min="9214" max="9222" width="8" style="10"/>
    <col min="9223" max="9223" width="23.5546875" style="10" customWidth="1"/>
    <col min="9224" max="9224" width="20" style="10" customWidth="1"/>
    <col min="9225" max="9225" width="5.6640625" style="10" customWidth="1"/>
    <col min="9226" max="9226" width="8.44140625" style="10" customWidth="1"/>
    <col min="9227" max="9227" width="14.5546875" style="10" customWidth="1"/>
    <col min="9228" max="9228" width="21.77734375" style="10" customWidth="1"/>
    <col min="9229" max="9229" width="20.88671875" style="10" customWidth="1"/>
    <col min="9230" max="9230" width="11.21875" style="10" customWidth="1"/>
    <col min="9231" max="9463" width="8.88671875" style="10" customWidth="1"/>
    <col min="9464" max="9464" width="16.5546875" style="10" bestFit="1" customWidth="1"/>
    <col min="9465" max="9465" width="12.6640625" style="10" bestFit="1" customWidth="1"/>
    <col min="9466" max="9466" width="4.33203125" style="10" customWidth="1"/>
    <col min="9467" max="9467" width="6.33203125" style="10" customWidth="1"/>
    <col min="9468" max="9468" width="8.21875" style="10" customWidth="1"/>
    <col min="9469" max="9469" width="11.109375" style="10" customWidth="1"/>
    <col min="9470" max="9478" width="8" style="10"/>
    <col min="9479" max="9479" width="23.5546875" style="10" customWidth="1"/>
    <col min="9480" max="9480" width="20" style="10" customWidth="1"/>
    <col min="9481" max="9481" width="5.6640625" style="10" customWidth="1"/>
    <col min="9482" max="9482" width="8.44140625" style="10" customWidth="1"/>
    <col min="9483" max="9483" width="14.5546875" style="10" customWidth="1"/>
    <col min="9484" max="9484" width="21.77734375" style="10" customWidth="1"/>
    <col min="9485" max="9485" width="20.88671875" style="10" customWidth="1"/>
    <col min="9486" max="9486" width="11.21875" style="10" customWidth="1"/>
    <col min="9487" max="9719" width="8.88671875" style="10" customWidth="1"/>
    <col min="9720" max="9720" width="16.5546875" style="10" bestFit="1" customWidth="1"/>
    <col min="9721" max="9721" width="12.6640625" style="10" bestFit="1" customWidth="1"/>
    <col min="9722" max="9722" width="4.33203125" style="10" customWidth="1"/>
    <col min="9723" max="9723" width="6.33203125" style="10" customWidth="1"/>
    <col min="9724" max="9724" width="8.21875" style="10" customWidth="1"/>
    <col min="9725" max="9725" width="11.109375" style="10" customWidth="1"/>
    <col min="9726" max="9734" width="8" style="10"/>
    <col min="9735" max="9735" width="23.5546875" style="10" customWidth="1"/>
    <col min="9736" max="9736" width="20" style="10" customWidth="1"/>
    <col min="9737" max="9737" width="5.6640625" style="10" customWidth="1"/>
    <col min="9738" max="9738" width="8.44140625" style="10" customWidth="1"/>
    <col min="9739" max="9739" width="14.5546875" style="10" customWidth="1"/>
    <col min="9740" max="9740" width="21.77734375" style="10" customWidth="1"/>
    <col min="9741" max="9741" width="20.88671875" style="10" customWidth="1"/>
    <col min="9742" max="9742" width="11.21875" style="10" customWidth="1"/>
    <col min="9743" max="9975" width="8.88671875" style="10" customWidth="1"/>
    <col min="9976" max="9976" width="16.5546875" style="10" bestFit="1" customWidth="1"/>
    <col min="9977" max="9977" width="12.6640625" style="10" bestFit="1" customWidth="1"/>
    <col min="9978" max="9978" width="4.33203125" style="10" customWidth="1"/>
    <col min="9979" max="9979" width="6.33203125" style="10" customWidth="1"/>
    <col min="9980" max="9980" width="8.21875" style="10" customWidth="1"/>
    <col min="9981" max="9981" width="11.109375" style="10" customWidth="1"/>
    <col min="9982" max="9990" width="8" style="10"/>
    <col min="9991" max="9991" width="23.5546875" style="10" customWidth="1"/>
    <col min="9992" max="9992" width="20" style="10" customWidth="1"/>
    <col min="9993" max="9993" width="5.6640625" style="10" customWidth="1"/>
    <col min="9994" max="9994" width="8.44140625" style="10" customWidth="1"/>
    <col min="9995" max="9995" width="14.5546875" style="10" customWidth="1"/>
    <col min="9996" max="9996" width="21.77734375" style="10" customWidth="1"/>
    <col min="9997" max="9997" width="20.88671875" style="10" customWidth="1"/>
    <col min="9998" max="9998" width="11.21875" style="10" customWidth="1"/>
    <col min="9999" max="10231" width="8.88671875" style="10" customWidth="1"/>
    <col min="10232" max="10232" width="16.5546875" style="10" bestFit="1" customWidth="1"/>
    <col min="10233" max="10233" width="12.6640625" style="10" bestFit="1" customWidth="1"/>
    <col min="10234" max="10234" width="4.33203125" style="10" customWidth="1"/>
    <col min="10235" max="10235" width="6.33203125" style="10" customWidth="1"/>
    <col min="10236" max="10236" width="8.21875" style="10" customWidth="1"/>
    <col min="10237" max="10237" width="11.109375" style="10" customWidth="1"/>
    <col min="10238" max="10246" width="8" style="10"/>
    <col min="10247" max="10247" width="23.5546875" style="10" customWidth="1"/>
    <col min="10248" max="10248" width="20" style="10" customWidth="1"/>
    <col min="10249" max="10249" width="5.6640625" style="10" customWidth="1"/>
    <col min="10250" max="10250" width="8.44140625" style="10" customWidth="1"/>
    <col min="10251" max="10251" width="14.5546875" style="10" customWidth="1"/>
    <col min="10252" max="10252" width="21.77734375" style="10" customWidth="1"/>
    <col min="10253" max="10253" width="20.88671875" style="10" customWidth="1"/>
    <col min="10254" max="10254" width="11.21875" style="10" customWidth="1"/>
    <col min="10255" max="10487" width="8.88671875" style="10" customWidth="1"/>
    <col min="10488" max="10488" width="16.5546875" style="10" bestFit="1" customWidth="1"/>
    <col min="10489" max="10489" width="12.6640625" style="10" bestFit="1" customWidth="1"/>
    <col min="10490" max="10490" width="4.33203125" style="10" customWidth="1"/>
    <col min="10491" max="10491" width="6.33203125" style="10" customWidth="1"/>
    <col min="10492" max="10492" width="8.21875" style="10" customWidth="1"/>
    <col min="10493" max="10493" width="11.109375" style="10" customWidth="1"/>
    <col min="10494" max="10502" width="8" style="10"/>
    <col min="10503" max="10503" width="23.5546875" style="10" customWidth="1"/>
    <col min="10504" max="10504" width="20" style="10" customWidth="1"/>
    <col min="10505" max="10505" width="5.6640625" style="10" customWidth="1"/>
    <col min="10506" max="10506" width="8.44140625" style="10" customWidth="1"/>
    <col min="10507" max="10507" width="14.5546875" style="10" customWidth="1"/>
    <col min="10508" max="10508" width="21.77734375" style="10" customWidth="1"/>
    <col min="10509" max="10509" width="20.88671875" style="10" customWidth="1"/>
    <col min="10510" max="10510" width="11.21875" style="10" customWidth="1"/>
    <col min="10511" max="10743" width="8.88671875" style="10" customWidth="1"/>
    <col min="10744" max="10744" width="16.5546875" style="10" bestFit="1" customWidth="1"/>
    <col min="10745" max="10745" width="12.6640625" style="10" bestFit="1" customWidth="1"/>
    <col min="10746" max="10746" width="4.33203125" style="10" customWidth="1"/>
    <col min="10747" max="10747" width="6.33203125" style="10" customWidth="1"/>
    <col min="10748" max="10748" width="8.21875" style="10" customWidth="1"/>
    <col min="10749" max="10749" width="11.109375" style="10" customWidth="1"/>
    <col min="10750" max="10758" width="8" style="10"/>
    <col min="10759" max="10759" width="23.5546875" style="10" customWidth="1"/>
    <col min="10760" max="10760" width="20" style="10" customWidth="1"/>
    <col min="10761" max="10761" width="5.6640625" style="10" customWidth="1"/>
    <col min="10762" max="10762" width="8.44140625" style="10" customWidth="1"/>
    <col min="10763" max="10763" width="14.5546875" style="10" customWidth="1"/>
    <col min="10764" max="10764" width="21.77734375" style="10" customWidth="1"/>
    <col min="10765" max="10765" width="20.88671875" style="10" customWidth="1"/>
    <col min="10766" max="10766" width="11.21875" style="10" customWidth="1"/>
    <col min="10767" max="10999" width="8.88671875" style="10" customWidth="1"/>
    <col min="11000" max="11000" width="16.5546875" style="10" bestFit="1" customWidth="1"/>
    <col min="11001" max="11001" width="12.6640625" style="10" bestFit="1" customWidth="1"/>
    <col min="11002" max="11002" width="4.33203125" style="10" customWidth="1"/>
    <col min="11003" max="11003" width="6.33203125" style="10" customWidth="1"/>
    <col min="11004" max="11004" width="8.21875" style="10" customWidth="1"/>
    <col min="11005" max="11005" width="11.109375" style="10" customWidth="1"/>
    <col min="11006" max="11014" width="8" style="10"/>
    <col min="11015" max="11015" width="23.5546875" style="10" customWidth="1"/>
    <col min="11016" max="11016" width="20" style="10" customWidth="1"/>
    <col min="11017" max="11017" width="5.6640625" style="10" customWidth="1"/>
    <col min="11018" max="11018" width="8.44140625" style="10" customWidth="1"/>
    <col min="11019" max="11019" width="14.5546875" style="10" customWidth="1"/>
    <col min="11020" max="11020" width="21.77734375" style="10" customWidth="1"/>
    <col min="11021" max="11021" width="20.88671875" style="10" customWidth="1"/>
    <col min="11022" max="11022" width="11.21875" style="10" customWidth="1"/>
    <col min="11023" max="11255" width="8.88671875" style="10" customWidth="1"/>
    <col min="11256" max="11256" width="16.5546875" style="10" bestFit="1" customWidth="1"/>
    <col min="11257" max="11257" width="12.6640625" style="10" bestFit="1" customWidth="1"/>
    <col min="11258" max="11258" width="4.33203125" style="10" customWidth="1"/>
    <col min="11259" max="11259" width="6.33203125" style="10" customWidth="1"/>
    <col min="11260" max="11260" width="8.21875" style="10" customWidth="1"/>
    <col min="11261" max="11261" width="11.109375" style="10" customWidth="1"/>
    <col min="11262" max="11270" width="8" style="10"/>
    <col min="11271" max="11271" width="23.5546875" style="10" customWidth="1"/>
    <col min="11272" max="11272" width="20" style="10" customWidth="1"/>
    <col min="11273" max="11273" width="5.6640625" style="10" customWidth="1"/>
    <col min="11274" max="11274" width="8.44140625" style="10" customWidth="1"/>
    <col min="11275" max="11275" width="14.5546875" style="10" customWidth="1"/>
    <col min="11276" max="11276" width="21.77734375" style="10" customWidth="1"/>
    <col min="11277" max="11277" width="20.88671875" style="10" customWidth="1"/>
    <col min="11278" max="11278" width="11.21875" style="10" customWidth="1"/>
    <col min="11279" max="11511" width="8.88671875" style="10" customWidth="1"/>
    <col min="11512" max="11512" width="16.5546875" style="10" bestFit="1" customWidth="1"/>
    <col min="11513" max="11513" width="12.6640625" style="10" bestFit="1" customWidth="1"/>
    <col min="11514" max="11514" width="4.33203125" style="10" customWidth="1"/>
    <col min="11515" max="11515" width="6.33203125" style="10" customWidth="1"/>
    <col min="11516" max="11516" width="8.21875" style="10" customWidth="1"/>
    <col min="11517" max="11517" width="11.109375" style="10" customWidth="1"/>
    <col min="11518" max="11526" width="8" style="10"/>
    <col min="11527" max="11527" width="23.5546875" style="10" customWidth="1"/>
    <col min="11528" max="11528" width="20" style="10" customWidth="1"/>
    <col min="11529" max="11529" width="5.6640625" style="10" customWidth="1"/>
    <col min="11530" max="11530" width="8.44140625" style="10" customWidth="1"/>
    <col min="11531" max="11531" width="14.5546875" style="10" customWidth="1"/>
    <col min="11532" max="11532" width="21.77734375" style="10" customWidth="1"/>
    <col min="11533" max="11533" width="20.88671875" style="10" customWidth="1"/>
    <col min="11534" max="11534" width="11.21875" style="10" customWidth="1"/>
    <col min="11535" max="11767" width="8.88671875" style="10" customWidth="1"/>
    <col min="11768" max="11768" width="16.5546875" style="10" bestFit="1" customWidth="1"/>
    <col min="11769" max="11769" width="12.6640625" style="10" bestFit="1" customWidth="1"/>
    <col min="11770" max="11770" width="4.33203125" style="10" customWidth="1"/>
    <col min="11771" max="11771" width="6.33203125" style="10" customWidth="1"/>
    <col min="11772" max="11772" width="8.21875" style="10" customWidth="1"/>
    <col min="11773" max="11773" width="11.109375" style="10" customWidth="1"/>
    <col min="11774" max="11782" width="8" style="10"/>
    <col min="11783" max="11783" width="23.5546875" style="10" customWidth="1"/>
    <col min="11784" max="11784" width="20" style="10" customWidth="1"/>
    <col min="11785" max="11785" width="5.6640625" style="10" customWidth="1"/>
    <col min="11786" max="11786" width="8.44140625" style="10" customWidth="1"/>
    <col min="11787" max="11787" width="14.5546875" style="10" customWidth="1"/>
    <col min="11788" max="11788" width="21.77734375" style="10" customWidth="1"/>
    <col min="11789" max="11789" width="20.88671875" style="10" customWidth="1"/>
    <col min="11790" max="11790" width="11.21875" style="10" customWidth="1"/>
    <col min="11791" max="12023" width="8.88671875" style="10" customWidth="1"/>
    <col min="12024" max="12024" width="16.5546875" style="10" bestFit="1" customWidth="1"/>
    <col min="12025" max="12025" width="12.6640625" style="10" bestFit="1" customWidth="1"/>
    <col min="12026" max="12026" width="4.33203125" style="10" customWidth="1"/>
    <col min="12027" max="12027" width="6.33203125" style="10" customWidth="1"/>
    <col min="12028" max="12028" width="8.21875" style="10" customWidth="1"/>
    <col min="12029" max="12029" width="11.109375" style="10" customWidth="1"/>
    <col min="12030" max="12038" width="8" style="10"/>
    <col min="12039" max="12039" width="23.5546875" style="10" customWidth="1"/>
    <col min="12040" max="12040" width="20" style="10" customWidth="1"/>
    <col min="12041" max="12041" width="5.6640625" style="10" customWidth="1"/>
    <col min="12042" max="12042" width="8.44140625" style="10" customWidth="1"/>
    <col min="12043" max="12043" width="14.5546875" style="10" customWidth="1"/>
    <col min="12044" max="12044" width="21.77734375" style="10" customWidth="1"/>
    <col min="12045" max="12045" width="20.88671875" style="10" customWidth="1"/>
    <col min="12046" max="12046" width="11.21875" style="10" customWidth="1"/>
    <col min="12047" max="12279" width="8.88671875" style="10" customWidth="1"/>
    <col min="12280" max="12280" width="16.5546875" style="10" bestFit="1" customWidth="1"/>
    <col min="12281" max="12281" width="12.6640625" style="10" bestFit="1" customWidth="1"/>
    <col min="12282" max="12282" width="4.33203125" style="10" customWidth="1"/>
    <col min="12283" max="12283" width="6.33203125" style="10" customWidth="1"/>
    <col min="12284" max="12284" width="8.21875" style="10" customWidth="1"/>
    <col min="12285" max="12285" width="11.109375" style="10" customWidth="1"/>
    <col min="12286" max="12294" width="8" style="10"/>
    <col min="12295" max="12295" width="23.5546875" style="10" customWidth="1"/>
    <col min="12296" max="12296" width="20" style="10" customWidth="1"/>
    <col min="12297" max="12297" width="5.6640625" style="10" customWidth="1"/>
    <col min="12298" max="12298" width="8.44140625" style="10" customWidth="1"/>
    <col min="12299" max="12299" width="14.5546875" style="10" customWidth="1"/>
    <col min="12300" max="12300" width="21.77734375" style="10" customWidth="1"/>
    <col min="12301" max="12301" width="20.88671875" style="10" customWidth="1"/>
    <col min="12302" max="12302" width="11.21875" style="10" customWidth="1"/>
    <col min="12303" max="12535" width="8.88671875" style="10" customWidth="1"/>
    <col min="12536" max="12536" width="16.5546875" style="10" bestFit="1" customWidth="1"/>
    <col min="12537" max="12537" width="12.6640625" style="10" bestFit="1" customWidth="1"/>
    <col min="12538" max="12538" width="4.33203125" style="10" customWidth="1"/>
    <col min="12539" max="12539" width="6.33203125" style="10" customWidth="1"/>
    <col min="12540" max="12540" width="8.21875" style="10" customWidth="1"/>
    <col min="12541" max="12541" width="11.109375" style="10" customWidth="1"/>
    <col min="12542" max="12550" width="8" style="10"/>
    <col min="12551" max="12551" width="23.5546875" style="10" customWidth="1"/>
    <col min="12552" max="12552" width="20" style="10" customWidth="1"/>
    <col min="12553" max="12553" width="5.6640625" style="10" customWidth="1"/>
    <col min="12554" max="12554" width="8.44140625" style="10" customWidth="1"/>
    <col min="12555" max="12555" width="14.5546875" style="10" customWidth="1"/>
    <col min="12556" max="12556" width="21.77734375" style="10" customWidth="1"/>
    <col min="12557" max="12557" width="20.88671875" style="10" customWidth="1"/>
    <col min="12558" max="12558" width="11.21875" style="10" customWidth="1"/>
    <col min="12559" max="12791" width="8.88671875" style="10" customWidth="1"/>
    <col min="12792" max="12792" width="16.5546875" style="10" bestFit="1" customWidth="1"/>
    <col min="12793" max="12793" width="12.6640625" style="10" bestFit="1" customWidth="1"/>
    <col min="12794" max="12794" width="4.33203125" style="10" customWidth="1"/>
    <col min="12795" max="12795" width="6.33203125" style="10" customWidth="1"/>
    <col min="12796" max="12796" width="8.21875" style="10" customWidth="1"/>
    <col min="12797" max="12797" width="11.109375" style="10" customWidth="1"/>
    <col min="12798" max="12806" width="8" style="10"/>
    <col min="12807" max="12807" width="23.5546875" style="10" customWidth="1"/>
    <col min="12808" max="12808" width="20" style="10" customWidth="1"/>
    <col min="12809" max="12809" width="5.6640625" style="10" customWidth="1"/>
    <col min="12810" max="12810" width="8.44140625" style="10" customWidth="1"/>
    <col min="12811" max="12811" width="14.5546875" style="10" customWidth="1"/>
    <col min="12812" max="12812" width="21.77734375" style="10" customWidth="1"/>
    <col min="12813" max="12813" width="20.88671875" style="10" customWidth="1"/>
    <col min="12814" max="12814" width="11.21875" style="10" customWidth="1"/>
    <col min="12815" max="13047" width="8.88671875" style="10" customWidth="1"/>
    <col min="13048" max="13048" width="16.5546875" style="10" bestFit="1" customWidth="1"/>
    <col min="13049" max="13049" width="12.6640625" style="10" bestFit="1" customWidth="1"/>
    <col min="13050" max="13050" width="4.33203125" style="10" customWidth="1"/>
    <col min="13051" max="13051" width="6.33203125" style="10" customWidth="1"/>
    <col min="13052" max="13052" width="8.21875" style="10" customWidth="1"/>
    <col min="13053" max="13053" width="11.109375" style="10" customWidth="1"/>
    <col min="13054" max="13062" width="8" style="10"/>
    <col min="13063" max="13063" width="23.5546875" style="10" customWidth="1"/>
    <col min="13064" max="13064" width="20" style="10" customWidth="1"/>
    <col min="13065" max="13065" width="5.6640625" style="10" customWidth="1"/>
    <col min="13066" max="13066" width="8.44140625" style="10" customWidth="1"/>
    <col min="13067" max="13067" width="14.5546875" style="10" customWidth="1"/>
    <col min="13068" max="13068" width="21.77734375" style="10" customWidth="1"/>
    <col min="13069" max="13069" width="20.88671875" style="10" customWidth="1"/>
    <col min="13070" max="13070" width="11.21875" style="10" customWidth="1"/>
    <col min="13071" max="13303" width="8.88671875" style="10" customWidth="1"/>
    <col min="13304" max="13304" width="16.5546875" style="10" bestFit="1" customWidth="1"/>
    <col min="13305" max="13305" width="12.6640625" style="10" bestFit="1" customWidth="1"/>
    <col min="13306" max="13306" width="4.33203125" style="10" customWidth="1"/>
    <col min="13307" max="13307" width="6.33203125" style="10" customWidth="1"/>
    <col min="13308" max="13308" width="8.21875" style="10" customWidth="1"/>
    <col min="13309" max="13309" width="11.109375" style="10" customWidth="1"/>
    <col min="13310" max="13318" width="8" style="10"/>
    <col min="13319" max="13319" width="23.5546875" style="10" customWidth="1"/>
    <col min="13320" max="13320" width="20" style="10" customWidth="1"/>
    <col min="13321" max="13321" width="5.6640625" style="10" customWidth="1"/>
    <col min="13322" max="13322" width="8.44140625" style="10" customWidth="1"/>
    <col min="13323" max="13323" width="14.5546875" style="10" customWidth="1"/>
    <col min="13324" max="13324" width="21.77734375" style="10" customWidth="1"/>
    <col min="13325" max="13325" width="20.88671875" style="10" customWidth="1"/>
    <col min="13326" max="13326" width="11.21875" style="10" customWidth="1"/>
    <col min="13327" max="13559" width="8.88671875" style="10" customWidth="1"/>
    <col min="13560" max="13560" width="16.5546875" style="10" bestFit="1" customWidth="1"/>
    <col min="13561" max="13561" width="12.6640625" style="10" bestFit="1" customWidth="1"/>
    <col min="13562" max="13562" width="4.33203125" style="10" customWidth="1"/>
    <col min="13563" max="13563" width="6.33203125" style="10" customWidth="1"/>
    <col min="13564" max="13564" width="8.21875" style="10" customWidth="1"/>
    <col min="13565" max="13565" width="11.109375" style="10" customWidth="1"/>
    <col min="13566" max="13574" width="8" style="10"/>
    <col min="13575" max="13575" width="23.5546875" style="10" customWidth="1"/>
    <col min="13576" max="13576" width="20" style="10" customWidth="1"/>
    <col min="13577" max="13577" width="5.6640625" style="10" customWidth="1"/>
    <col min="13578" max="13578" width="8.44140625" style="10" customWidth="1"/>
    <col min="13579" max="13579" width="14.5546875" style="10" customWidth="1"/>
    <col min="13580" max="13580" width="21.77734375" style="10" customWidth="1"/>
    <col min="13581" max="13581" width="20.88671875" style="10" customWidth="1"/>
    <col min="13582" max="13582" width="11.21875" style="10" customWidth="1"/>
    <col min="13583" max="13815" width="8.88671875" style="10" customWidth="1"/>
    <col min="13816" max="13816" width="16.5546875" style="10" bestFit="1" customWidth="1"/>
    <col min="13817" max="13817" width="12.6640625" style="10" bestFit="1" customWidth="1"/>
    <col min="13818" max="13818" width="4.33203125" style="10" customWidth="1"/>
    <col min="13819" max="13819" width="6.33203125" style="10" customWidth="1"/>
    <col min="13820" max="13820" width="8.21875" style="10" customWidth="1"/>
    <col min="13821" max="13821" width="11.109375" style="10" customWidth="1"/>
    <col min="13822" max="13830" width="8" style="10"/>
    <col min="13831" max="13831" width="23.5546875" style="10" customWidth="1"/>
    <col min="13832" max="13832" width="20" style="10" customWidth="1"/>
    <col min="13833" max="13833" width="5.6640625" style="10" customWidth="1"/>
    <col min="13834" max="13834" width="8.44140625" style="10" customWidth="1"/>
    <col min="13835" max="13835" width="14.5546875" style="10" customWidth="1"/>
    <col min="13836" max="13836" width="21.77734375" style="10" customWidth="1"/>
    <col min="13837" max="13837" width="20.88671875" style="10" customWidth="1"/>
    <col min="13838" max="13838" width="11.21875" style="10" customWidth="1"/>
    <col min="13839" max="14071" width="8.88671875" style="10" customWidth="1"/>
    <col min="14072" max="14072" width="16.5546875" style="10" bestFit="1" customWidth="1"/>
    <col min="14073" max="14073" width="12.6640625" style="10" bestFit="1" customWidth="1"/>
    <col min="14074" max="14074" width="4.33203125" style="10" customWidth="1"/>
    <col min="14075" max="14075" width="6.33203125" style="10" customWidth="1"/>
    <col min="14076" max="14076" width="8.21875" style="10" customWidth="1"/>
    <col min="14077" max="14077" width="11.109375" style="10" customWidth="1"/>
    <col min="14078" max="14086" width="8" style="10"/>
    <col min="14087" max="14087" width="23.5546875" style="10" customWidth="1"/>
    <col min="14088" max="14088" width="20" style="10" customWidth="1"/>
    <col min="14089" max="14089" width="5.6640625" style="10" customWidth="1"/>
    <col min="14090" max="14090" width="8.44140625" style="10" customWidth="1"/>
    <col min="14091" max="14091" width="14.5546875" style="10" customWidth="1"/>
    <col min="14092" max="14092" width="21.77734375" style="10" customWidth="1"/>
    <col min="14093" max="14093" width="20.88671875" style="10" customWidth="1"/>
    <col min="14094" max="14094" width="11.21875" style="10" customWidth="1"/>
    <col min="14095" max="14327" width="8.88671875" style="10" customWidth="1"/>
    <col min="14328" max="14328" width="16.5546875" style="10" bestFit="1" customWidth="1"/>
    <col min="14329" max="14329" width="12.6640625" style="10" bestFit="1" customWidth="1"/>
    <col min="14330" max="14330" width="4.33203125" style="10" customWidth="1"/>
    <col min="14331" max="14331" width="6.33203125" style="10" customWidth="1"/>
    <col min="14332" max="14332" width="8.21875" style="10" customWidth="1"/>
    <col min="14333" max="14333" width="11.109375" style="10" customWidth="1"/>
    <col min="14334" max="14342" width="8" style="10"/>
    <col min="14343" max="14343" width="23.5546875" style="10" customWidth="1"/>
    <col min="14344" max="14344" width="20" style="10" customWidth="1"/>
    <col min="14345" max="14345" width="5.6640625" style="10" customWidth="1"/>
    <col min="14346" max="14346" width="8.44140625" style="10" customWidth="1"/>
    <col min="14347" max="14347" width="14.5546875" style="10" customWidth="1"/>
    <col min="14348" max="14348" width="21.77734375" style="10" customWidth="1"/>
    <col min="14349" max="14349" width="20.88671875" style="10" customWidth="1"/>
    <col min="14350" max="14350" width="11.21875" style="10" customWidth="1"/>
    <col min="14351" max="14583" width="8.88671875" style="10" customWidth="1"/>
    <col min="14584" max="14584" width="16.5546875" style="10" bestFit="1" customWidth="1"/>
    <col min="14585" max="14585" width="12.6640625" style="10" bestFit="1" customWidth="1"/>
    <col min="14586" max="14586" width="4.33203125" style="10" customWidth="1"/>
    <col min="14587" max="14587" width="6.33203125" style="10" customWidth="1"/>
    <col min="14588" max="14588" width="8.21875" style="10" customWidth="1"/>
    <col min="14589" max="14589" width="11.109375" style="10" customWidth="1"/>
    <col min="14590" max="14598" width="8" style="10"/>
    <col min="14599" max="14599" width="23.5546875" style="10" customWidth="1"/>
    <col min="14600" max="14600" width="20" style="10" customWidth="1"/>
    <col min="14601" max="14601" width="5.6640625" style="10" customWidth="1"/>
    <col min="14602" max="14602" width="8.44140625" style="10" customWidth="1"/>
    <col min="14603" max="14603" width="14.5546875" style="10" customWidth="1"/>
    <col min="14604" max="14604" width="21.77734375" style="10" customWidth="1"/>
    <col min="14605" max="14605" width="20.88671875" style="10" customWidth="1"/>
    <col min="14606" max="14606" width="11.21875" style="10" customWidth="1"/>
    <col min="14607" max="14839" width="8.88671875" style="10" customWidth="1"/>
    <col min="14840" max="14840" width="16.5546875" style="10" bestFit="1" customWidth="1"/>
    <col min="14841" max="14841" width="12.6640625" style="10" bestFit="1" customWidth="1"/>
    <col min="14842" max="14842" width="4.33203125" style="10" customWidth="1"/>
    <col min="14843" max="14843" width="6.33203125" style="10" customWidth="1"/>
    <col min="14844" max="14844" width="8.21875" style="10" customWidth="1"/>
    <col min="14845" max="14845" width="11.109375" style="10" customWidth="1"/>
    <col min="14846" max="14854" width="8" style="10"/>
    <col min="14855" max="14855" width="23.5546875" style="10" customWidth="1"/>
    <col min="14856" max="14856" width="20" style="10" customWidth="1"/>
    <col min="14857" max="14857" width="5.6640625" style="10" customWidth="1"/>
    <col min="14858" max="14858" width="8.44140625" style="10" customWidth="1"/>
    <col min="14859" max="14859" width="14.5546875" style="10" customWidth="1"/>
    <col min="14860" max="14860" width="21.77734375" style="10" customWidth="1"/>
    <col min="14861" max="14861" width="20.88671875" style="10" customWidth="1"/>
    <col min="14862" max="14862" width="11.21875" style="10" customWidth="1"/>
    <col min="14863" max="15095" width="8.88671875" style="10" customWidth="1"/>
    <col min="15096" max="15096" width="16.5546875" style="10" bestFit="1" customWidth="1"/>
    <col min="15097" max="15097" width="12.6640625" style="10" bestFit="1" customWidth="1"/>
    <col min="15098" max="15098" width="4.33203125" style="10" customWidth="1"/>
    <col min="15099" max="15099" width="6.33203125" style="10" customWidth="1"/>
    <col min="15100" max="15100" width="8.21875" style="10" customWidth="1"/>
    <col min="15101" max="15101" width="11.109375" style="10" customWidth="1"/>
    <col min="15102" max="15110" width="8" style="10"/>
    <col min="15111" max="15111" width="23.5546875" style="10" customWidth="1"/>
    <col min="15112" max="15112" width="20" style="10" customWidth="1"/>
    <col min="15113" max="15113" width="5.6640625" style="10" customWidth="1"/>
    <col min="15114" max="15114" width="8.44140625" style="10" customWidth="1"/>
    <col min="15115" max="15115" width="14.5546875" style="10" customWidth="1"/>
    <col min="15116" max="15116" width="21.77734375" style="10" customWidth="1"/>
    <col min="15117" max="15117" width="20.88671875" style="10" customWidth="1"/>
    <col min="15118" max="15118" width="11.21875" style="10" customWidth="1"/>
    <col min="15119" max="15351" width="8.88671875" style="10" customWidth="1"/>
    <col min="15352" max="15352" width="16.5546875" style="10" bestFit="1" customWidth="1"/>
    <col min="15353" max="15353" width="12.6640625" style="10" bestFit="1" customWidth="1"/>
    <col min="15354" max="15354" width="4.33203125" style="10" customWidth="1"/>
    <col min="15355" max="15355" width="6.33203125" style="10" customWidth="1"/>
    <col min="15356" max="15356" width="8.21875" style="10" customWidth="1"/>
    <col min="15357" max="15357" width="11.109375" style="10" customWidth="1"/>
    <col min="15358" max="15366" width="8" style="10"/>
    <col min="15367" max="15367" width="23.5546875" style="10" customWidth="1"/>
    <col min="15368" max="15368" width="20" style="10" customWidth="1"/>
    <col min="15369" max="15369" width="5.6640625" style="10" customWidth="1"/>
    <col min="15370" max="15370" width="8.44140625" style="10" customWidth="1"/>
    <col min="15371" max="15371" width="14.5546875" style="10" customWidth="1"/>
    <col min="15372" max="15372" width="21.77734375" style="10" customWidth="1"/>
    <col min="15373" max="15373" width="20.88671875" style="10" customWidth="1"/>
    <col min="15374" max="15374" width="11.21875" style="10" customWidth="1"/>
    <col min="15375" max="15607" width="8.88671875" style="10" customWidth="1"/>
    <col min="15608" max="15608" width="16.5546875" style="10" bestFit="1" customWidth="1"/>
    <col min="15609" max="15609" width="12.6640625" style="10" bestFit="1" customWidth="1"/>
    <col min="15610" max="15610" width="4.33203125" style="10" customWidth="1"/>
    <col min="15611" max="15611" width="6.33203125" style="10" customWidth="1"/>
    <col min="15612" max="15612" width="8.21875" style="10" customWidth="1"/>
    <col min="15613" max="15613" width="11.109375" style="10" customWidth="1"/>
    <col min="15614" max="15622" width="8" style="10"/>
    <col min="15623" max="15623" width="23.5546875" style="10" customWidth="1"/>
    <col min="15624" max="15624" width="20" style="10" customWidth="1"/>
    <col min="15625" max="15625" width="5.6640625" style="10" customWidth="1"/>
    <col min="15626" max="15626" width="8.44140625" style="10" customWidth="1"/>
    <col min="15627" max="15627" width="14.5546875" style="10" customWidth="1"/>
    <col min="15628" max="15628" width="21.77734375" style="10" customWidth="1"/>
    <col min="15629" max="15629" width="20.88671875" style="10" customWidth="1"/>
    <col min="15630" max="15630" width="11.21875" style="10" customWidth="1"/>
    <col min="15631" max="15863" width="8.88671875" style="10" customWidth="1"/>
    <col min="15864" max="15864" width="16.5546875" style="10" bestFit="1" customWidth="1"/>
    <col min="15865" max="15865" width="12.6640625" style="10" bestFit="1" customWidth="1"/>
    <col min="15866" max="15866" width="4.33203125" style="10" customWidth="1"/>
    <col min="15867" max="15867" width="6.33203125" style="10" customWidth="1"/>
    <col min="15868" max="15868" width="8.21875" style="10" customWidth="1"/>
    <col min="15869" max="15869" width="11.109375" style="10" customWidth="1"/>
    <col min="15870" max="15878" width="8" style="10"/>
    <col min="15879" max="15879" width="23.5546875" style="10" customWidth="1"/>
    <col min="15880" max="15880" width="20" style="10" customWidth="1"/>
    <col min="15881" max="15881" width="5.6640625" style="10" customWidth="1"/>
    <col min="15882" max="15882" width="8.44140625" style="10" customWidth="1"/>
    <col min="15883" max="15883" width="14.5546875" style="10" customWidth="1"/>
    <col min="15884" max="15884" width="21.77734375" style="10" customWidth="1"/>
    <col min="15885" max="15885" width="20.88671875" style="10" customWidth="1"/>
    <col min="15886" max="15886" width="11.21875" style="10" customWidth="1"/>
    <col min="15887" max="16119" width="8.88671875" style="10" customWidth="1"/>
    <col min="16120" max="16120" width="16.5546875" style="10" bestFit="1" customWidth="1"/>
    <col min="16121" max="16121" width="12.6640625" style="10" bestFit="1" customWidth="1"/>
    <col min="16122" max="16122" width="4.33203125" style="10" customWidth="1"/>
    <col min="16123" max="16123" width="6.33203125" style="10" customWidth="1"/>
    <col min="16124" max="16124" width="8.21875" style="10" customWidth="1"/>
    <col min="16125" max="16125" width="11.109375" style="10" customWidth="1"/>
    <col min="16126" max="16134" width="8" style="10"/>
    <col min="16135" max="16135" width="23.5546875" style="10" customWidth="1"/>
    <col min="16136" max="16136" width="20" style="10" customWidth="1"/>
    <col min="16137" max="16137" width="5.6640625" style="10" customWidth="1"/>
    <col min="16138" max="16138" width="8.44140625" style="10" customWidth="1"/>
    <col min="16139" max="16139" width="14.5546875" style="10" customWidth="1"/>
    <col min="16140" max="16140" width="21.77734375" style="10" customWidth="1"/>
    <col min="16141" max="16141" width="20.88671875" style="10" customWidth="1"/>
    <col min="16142" max="16142" width="11.21875" style="10" customWidth="1"/>
    <col min="16143" max="16375" width="8.88671875" style="10" customWidth="1"/>
    <col min="16376" max="16376" width="16.5546875" style="10" bestFit="1" customWidth="1"/>
    <col min="16377" max="16377" width="12.6640625" style="10" bestFit="1" customWidth="1"/>
    <col min="16378" max="16378" width="4.33203125" style="10" customWidth="1"/>
    <col min="16379" max="16379" width="6.33203125" style="10" customWidth="1"/>
    <col min="16380" max="16380" width="8.21875" style="10" customWidth="1"/>
    <col min="16381" max="16381" width="11.109375" style="10" customWidth="1"/>
    <col min="16382" max="16384" width="8" style="10"/>
  </cols>
  <sheetData>
    <row r="1" spans="1:14" ht="27" customHeight="1">
      <c r="A1" s="258" t="s">
        <v>195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4" ht="21.95" customHeight="1">
      <c r="A2" s="32" t="s">
        <v>211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1:14" ht="21.95" customHeight="1">
      <c r="A3" s="259" t="s">
        <v>101</v>
      </c>
      <c r="B3" s="259" t="s">
        <v>41</v>
      </c>
      <c r="C3" s="259" t="s">
        <v>224</v>
      </c>
      <c r="D3" s="259" t="s">
        <v>102</v>
      </c>
      <c r="E3" s="257" t="s">
        <v>103</v>
      </c>
      <c r="F3" s="257"/>
      <c r="G3" s="257" t="s">
        <v>104</v>
      </c>
      <c r="H3" s="257"/>
      <c r="I3" s="257" t="s">
        <v>229</v>
      </c>
      <c r="J3" s="257"/>
      <c r="K3" s="257" t="s">
        <v>230</v>
      </c>
      <c r="L3" s="257"/>
      <c r="M3" s="260" t="s">
        <v>231</v>
      </c>
      <c r="N3" s="10" t="s">
        <v>113</v>
      </c>
    </row>
    <row r="4" spans="1:14" ht="21.95" customHeight="1">
      <c r="A4" s="259"/>
      <c r="B4" s="259"/>
      <c r="C4" s="259"/>
      <c r="D4" s="259"/>
      <c r="E4" s="75" t="s">
        <v>105</v>
      </c>
      <c r="F4" s="75" t="s">
        <v>227</v>
      </c>
      <c r="G4" s="75" t="s">
        <v>105</v>
      </c>
      <c r="H4" s="75" t="s">
        <v>227</v>
      </c>
      <c r="I4" s="75" t="s">
        <v>225</v>
      </c>
      <c r="J4" s="75" t="s">
        <v>226</v>
      </c>
      <c r="K4" s="75" t="s">
        <v>105</v>
      </c>
      <c r="L4" s="75" t="s">
        <v>42</v>
      </c>
      <c r="M4" s="260"/>
    </row>
    <row r="5" spans="1:14" s="33" customFormat="1" ht="21.95" customHeight="1">
      <c r="A5" s="40" t="s">
        <v>212</v>
      </c>
      <c r="B5" s="41"/>
      <c r="C5" s="42"/>
      <c r="D5" s="43"/>
      <c r="E5" s="44"/>
      <c r="F5" s="67"/>
      <c r="G5" s="44"/>
      <c r="H5" s="44"/>
      <c r="I5" s="44"/>
      <c r="J5" s="44"/>
      <c r="K5" s="44"/>
      <c r="L5" s="44"/>
      <c r="M5" s="45"/>
    </row>
    <row r="6" spans="1:14" ht="21.95" customHeight="1">
      <c r="A6" s="77" t="s">
        <v>194</v>
      </c>
      <c r="B6" s="46"/>
      <c r="C6" s="47"/>
      <c r="D6" s="47"/>
      <c r="E6" s="60"/>
      <c r="F6" s="60"/>
      <c r="G6" s="60"/>
      <c r="H6" s="60"/>
      <c r="I6" s="60"/>
      <c r="J6" s="60"/>
      <c r="K6" s="60"/>
      <c r="L6" s="60"/>
      <c r="M6" s="48"/>
    </row>
    <row r="7" spans="1:14" ht="21.95" customHeight="1">
      <c r="A7" s="76" t="s">
        <v>187</v>
      </c>
      <c r="B7" s="49"/>
      <c r="C7" s="50"/>
      <c r="D7" s="50"/>
      <c r="E7" s="59"/>
      <c r="F7" s="59"/>
      <c r="G7" s="59"/>
      <c r="H7" s="59"/>
      <c r="I7" s="59"/>
      <c r="J7" s="59"/>
      <c r="K7" s="51">
        <f>E7+G7+I7</f>
        <v>0</v>
      </c>
      <c r="L7" s="51">
        <f>K7*D7</f>
        <v>0</v>
      </c>
      <c r="M7" s="50"/>
      <c r="N7" s="29" t="s">
        <v>114</v>
      </c>
    </row>
    <row r="8" spans="1:14" ht="21.95" customHeight="1">
      <c r="A8" s="73" t="s">
        <v>188</v>
      </c>
      <c r="B8" s="49" t="s">
        <v>196</v>
      </c>
      <c r="C8" s="66" t="s">
        <v>35</v>
      </c>
      <c r="D8" s="68">
        <f>'(건설용리프트)임대기간산출'!M20</f>
        <v>98</v>
      </c>
      <c r="E8" s="69"/>
      <c r="F8" s="70">
        <f t="shared" ref="F8:J21" si="0">TRUNC($D8*E8)</f>
        <v>0</v>
      </c>
      <c r="G8" s="69"/>
      <c r="H8" s="70">
        <f t="shared" si="0"/>
        <v>0</v>
      </c>
      <c r="I8" s="69"/>
      <c r="J8" s="70">
        <f t="shared" si="0"/>
        <v>0</v>
      </c>
      <c r="K8" s="71">
        <f t="shared" ref="K8:K21" si="1">E8+G8+I8</f>
        <v>0</v>
      </c>
      <c r="L8" s="71">
        <f t="shared" ref="L8:L21" si="2">K8*D8</f>
        <v>0</v>
      </c>
      <c r="M8" s="68"/>
      <c r="N8" s="29"/>
    </row>
    <row r="9" spans="1:14" ht="21.95" customHeight="1">
      <c r="A9" s="73" t="s">
        <v>36</v>
      </c>
      <c r="B9" s="49" t="s">
        <v>43</v>
      </c>
      <c r="C9" s="66" t="s">
        <v>35</v>
      </c>
      <c r="D9" s="68">
        <f>'(건설용리프트)임대기간산출'!I34</f>
        <v>98</v>
      </c>
      <c r="E9" s="69"/>
      <c r="F9" s="70">
        <f t="shared" si="0"/>
        <v>0</v>
      </c>
      <c r="G9" s="69"/>
      <c r="H9" s="70">
        <f t="shared" si="0"/>
        <v>0</v>
      </c>
      <c r="I9" s="69"/>
      <c r="J9" s="70">
        <f t="shared" si="0"/>
        <v>0</v>
      </c>
      <c r="K9" s="71">
        <f>E9+G9+I9</f>
        <v>0</v>
      </c>
      <c r="L9" s="71">
        <f>K9*D9</f>
        <v>0</v>
      </c>
      <c r="M9" s="68"/>
      <c r="N9" s="29"/>
    </row>
    <row r="10" spans="1:14" ht="21.95" customHeight="1">
      <c r="A10" s="73" t="s">
        <v>44</v>
      </c>
      <c r="B10" s="49" t="s">
        <v>45</v>
      </c>
      <c r="C10" s="66" t="s">
        <v>38</v>
      </c>
      <c r="D10" s="68">
        <f>'(건설용리프트)임대기간산출'!J34</f>
        <v>190</v>
      </c>
      <c r="E10" s="69"/>
      <c r="F10" s="70">
        <f t="shared" si="0"/>
        <v>0</v>
      </c>
      <c r="G10" s="69"/>
      <c r="H10" s="70">
        <f t="shared" si="0"/>
        <v>0</v>
      </c>
      <c r="I10" s="69"/>
      <c r="J10" s="70">
        <f t="shared" si="0"/>
        <v>0</v>
      </c>
      <c r="K10" s="71">
        <f>E10+G10+I10</f>
        <v>0</v>
      </c>
      <c r="L10" s="71">
        <f>K10*D10</f>
        <v>0</v>
      </c>
      <c r="M10" s="68"/>
      <c r="N10" s="29"/>
    </row>
    <row r="11" spans="1:14" ht="21.95" customHeight="1">
      <c r="A11" s="73" t="s">
        <v>219</v>
      </c>
      <c r="B11" s="49" t="s">
        <v>222</v>
      </c>
      <c r="C11" s="66" t="s">
        <v>38</v>
      </c>
      <c r="D11" s="68">
        <f>'(건설용리프트)임대기간산출'!K34</f>
        <v>190</v>
      </c>
      <c r="E11" s="69"/>
      <c r="F11" s="70">
        <f t="shared" si="0"/>
        <v>0</v>
      </c>
      <c r="G11" s="69"/>
      <c r="H11" s="70">
        <f t="shared" si="0"/>
        <v>0</v>
      </c>
      <c r="I11" s="69"/>
      <c r="J11" s="70">
        <f t="shared" si="0"/>
        <v>0</v>
      </c>
      <c r="K11" s="71">
        <f t="shared" si="1"/>
        <v>0</v>
      </c>
      <c r="L11" s="71">
        <f t="shared" si="2"/>
        <v>0</v>
      </c>
      <c r="M11" s="68"/>
      <c r="N11" s="29"/>
    </row>
    <row r="12" spans="1:14" ht="21.95" customHeight="1">
      <c r="A12" s="73" t="s">
        <v>37</v>
      </c>
      <c r="B12" s="49" t="s">
        <v>115</v>
      </c>
      <c r="C12" s="66" t="s">
        <v>38</v>
      </c>
      <c r="D12" s="68">
        <f>'(건설용리프트)임대기간산출'!L34</f>
        <v>190</v>
      </c>
      <c r="E12" s="69"/>
      <c r="F12" s="70">
        <f t="shared" si="0"/>
        <v>0</v>
      </c>
      <c r="G12" s="69"/>
      <c r="H12" s="70">
        <f t="shared" si="0"/>
        <v>0</v>
      </c>
      <c r="I12" s="69"/>
      <c r="J12" s="70">
        <f t="shared" si="0"/>
        <v>0</v>
      </c>
      <c r="K12" s="71">
        <f t="shared" si="1"/>
        <v>0</v>
      </c>
      <c r="L12" s="71">
        <f t="shared" si="2"/>
        <v>0</v>
      </c>
      <c r="M12" s="68"/>
      <c r="N12" s="29"/>
    </row>
    <row r="13" spans="1:14" ht="21.95" customHeight="1">
      <c r="A13" s="73" t="s">
        <v>141</v>
      </c>
      <c r="B13" s="49" t="s">
        <v>220</v>
      </c>
      <c r="C13" s="66" t="s">
        <v>38</v>
      </c>
      <c r="D13" s="68">
        <f>D12</f>
        <v>190</v>
      </c>
      <c r="E13" s="69"/>
      <c r="F13" s="70">
        <f t="shared" si="0"/>
        <v>0</v>
      </c>
      <c r="G13" s="69"/>
      <c r="H13" s="70">
        <f t="shared" si="0"/>
        <v>0</v>
      </c>
      <c r="I13" s="69"/>
      <c r="J13" s="70">
        <f t="shared" si="0"/>
        <v>0</v>
      </c>
      <c r="K13" s="71">
        <f t="shared" si="1"/>
        <v>0</v>
      </c>
      <c r="L13" s="71">
        <f t="shared" si="2"/>
        <v>0</v>
      </c>
      <c r="M13" s="68"/>
      <c r="N13" s="29"/>
    </row>
    <row r="14" spans="1:14" ht="21.95" customHeight="1">
      <c r="A14" s="74" t="s">
        <v>221</v>
      </c>
      <c r="B14" s="49"/>
      <c r="C14" s="50" t="s">
        <v>198</v>
      </c>
      <c r="D14" s="68">
        <f>'(건설용리프트)임대기간산출'!P34</f>
        <v>8</v>
      </c>
      <c r="E14" s="69"/>
      <c r="F14" s="70">
        <f t="shared" si="0"/>
        <v>0</v>
      </c>
      <c r="G14" s="69"/>
      <c r="H14" s="70">
        <f t="shared" si="0"/>
        <v>0</v>
      </c>
      <c r="I14" s="69"/>
      <c r="J14" s="70">
        <f t="shared" si="0"/>
        <v>0</v>
      </c>
      <c r="K14" s="71">
        <f t="shared" si="1"/>
        <v>0</v>
      </c>
      <c r="L14" s="71">
        <f t="shared" si="2"/>
        <v>0</v>
      </c>
      <c r="M14" s="68"/>
      <c r="N14" s="29"/>
    </row>
    <row r="15" spans="1:14" ht="21.95" customHeight="1">
      <c r="A15" s="76" t="s">
        <v>189</v>
      </c>
      <c r="B15" s="49"/>
      <c r="C15" s="66"/>
      <c r="D15" s="68"/>
      <c r="E15" s="69"/>
      <c r="F15" s="70"/>
      <c r="G15" s="69"/>
      <c r="H15" s="70"/>
      <c r="I15" s="69"/>
      <c r="J15" s="70"/>
      <c r="K15" s="71">
        <f t="shared" si="1"/>
        <v>0</v>
      </c>
      <c r="L15" s="71">
        <f t="shared" si="2"/>
        <v>0</v>
      </c>
      <c r="M15" s="68"/>
      <c r="N15" s="29"/>
    </row>
    <row r="16" spans="1:14" ht="21.95" customHeight="1">
      <c r="A16" s="73" t="s">
        <v>223</v>
      </c>
      <c r="B16" s="49"/>
      <c r="C16" s="66" t="s">
        <v>39</v>
      </c>
      <c r="D16" s="68">
        <f>'(건설용리프트)임대기간산출'!M34</f>
        <v>615</v>
      </c>
      <c r="E16" s="69"/>
      <c r="F16" s="70">
        <f t="shared" si="0"/>
        <v>0</v>
      </c>
      <c r="G16" s="69"/>
      <c r="H16" s="70">
        <f t="shared" si="0"/>
        <v>0</v>
      </c>
      <c r="I16" s="69"/>
      <c r="J16" s="70">
        <f t="shared" si="0"/>
        <v>0</v>
      </c>
      <c r="K16" s="71">
        <f t="shared" si="1"/>
        <v>0</v>
      </c>
      <c r="L16" s="71">
        <f t="shared" si="2"/>
        <v>0</v>
      </c>
      <c r="M16" s="68"/>
      <c r="N16" s="29"/>
    </row>
    <row r="17" spans="1:14" ht="21.95" customHeight="1">
      <c r="A17" s="73" t="s">
        <v>190</v>
      </c>
      <c r="B17" s="49"/>
      <c r="C17" s="66" t="s">
        <v>39</v>
      </c>
      <c r="D17" s="68">
        <f>'(건설용리프트)임대기간산출'!M34</f>
        <v>615</v>
      </c>
      <c r="E17" s="69"/>
      <c r="F17" s="70">
        <f t="shared" si="0"/>
        <v>0</v>
      </c>
      <c r="G17" s="69"/>
      <c r="H17" s="70">
        <f t="shared" si="0"/>
        <v>0</v>
      </c>
      <c r="I17" s="69"/>
      <c r="J17" s="70">
        <f t="shared" si="0"/>
        <v>0</v>
      </c>
      <c r="K17" s="71">
        <f t="shared" si="1"/>
        <v>0</v>
      </c>
      <c r="L17" s="71">
        <f t="shared" si="2"/>
        <v>0</v>
      </c>
      <c r="M17" s="68"/>
      <c r="N17" s="29"/>
    </row>
    <row r="18" spans="1:14" ht="21.95" customHeight="1">
      <c r="A18" s="73" t="s">
        <v>191</v>
      </c>
      <c r="B18" s="49" t="s">
        <v>142</v>
      </c>
      <c r="C18" s="66" t="s">
        <v>40</v>
      </c>
      <c r="D18" s="68">
        <f>'(건설용리프트)임대기간산출'!N34</f>
        <v>8</v>
      </c>
      <c r="E18" s="69"/>
      <c r="F18" s="70">
        <f t="shared" si="0"/>
        <v>0</v>
      </c>
      <c r="G18" s="69"/>
      <c r="H18" s="70">
        <f t="shared" si="0"/>
        <v>0</v>
      </c>
      <c r="I18" s="69"/>
      <c r="J18" s="70">
        <f t="shared" si="0"/>
        <v>0</v>
      </c>
      <c r="K18" s="71">
        <f t="shared" si="1"/>
        <v>0</v>
      </c>
      <c r="L18" s="71">
        <f t="shared" si="2"/>
        <v>0</v>
      </c>
      <c r="M18" s="68"/>
      <c r="N18" s="29"/>
    </row>
    <row r="19" spans="1:14" ht="21.95" customHeight="1">
      <c r="A19" s="73" t="s">
        <v>192</v>
      </c>
      <c r="B19" s="49" t="s">
        <v>43</v>
      </c>
      <c r="C19" s="66" t="s">
        <v>40</v>
      </c>
      <c r="D19" s="68">
        <f>'(건설용리프트)임대기간산출'!O34</f>
        <v>8</v>
      </c>
      <c r="E19" s="69"/>
      <c r="F19" s="70">
        <f t="shared" si="0"/>
        <v>0</v>
      </c>
      <c r="G19" s="69"/>
      <c r="H19" s="70">
        <f t="shared" si="0"/>
        <v>0</v>
      </c>
      <c r="I19" s="69"/>
      <c r="J19" s="70">
        <f t="shared" si="0"/>
        <v>0</v>
      </c>
      <c r="K19" s="71">
        <f>E19+G19+I19</f>
        <v>0</v>
      </c>
      <c r="L19" s="71">
        <f>K19*D19</f>
        <v>0</v>
      </c>
      <c r="M19" s="68"/>
      <c r="N19" s="29"/>
    </row>
    <row r="20" spans="1:14" ht="21.95" customHeight="1">
      <c r="A20" s="74" t="s">
        <v>202</v>
      </c>
      <c r="B20" s="65" t="s">
        <v>197</v>
      </c>
      <c r="C20" s="50" t="s">
        <v>40</v>
      </c>
      <c r="D20" s="68">
        <f>'(건설용리프트)임대기간산출'!P34</f>
        <v>8</v>
      </c>
      <c r="E20" s="69"/>
      <c r="F20" s="70">
        <f t="shared" si="0"/>
        <v>0</v>
      </c>
      <c r="G20" s="69"/>
      <c r="H20" s="70">
        <f t="shared" si="0"/>
        <v>0</v>
      </c>
      <c r="I20" s="69"/>
      <c r="J20" s="70">
        <f t="shared" si="0"/>
        <v>0</v>
      </c>
      <c r="K20" s="71">
        <f t="shared" si="1"/>
        <v>0</v>
      </c>
      <c r="L20" s="71">
        <f t="shared" si="2"/>
        <v>0</v>
      </c>
      <c r="M20" s="68"/>
      <c r="N20" s="29"/>
    </row>
    <row r="21" spans="1:14" ht="21.95" customHeight="1">
      <c r="A21" s="74" t="s">
        <v>193</v>
      </c>
      <c r="B21" s="64"/>
      <c r="C21" s="50" t="s">
        <v>40</v>
      </c>
      <c r="D21" s="68">
        <f>D20</f>
        <v>8</v>
      </c>
      <c r="E21" s="69"/>
      <c r="F21" s="70">
        <f t="shared" si="0"/>
        <v>0</v>
      </c>
      <c r="G21" s="69"/>
      <c r="H21" s="70">
        <f t="shared" si="0"/>
        <v>0</v>
      </c>
      <c r="I21" s="69"/>
      <c r="J21" s="70">
        <f t="shared" si="0"/>
        <v>0</v>
      </c>
      <c r="K21" s="71">
        <f t="shared" si="1"/>
        <v>0</v>
      </c>
      <c r="L21" s="71">
        <f t="shared" si="2"/>
        <v>0</v>
      </c>
      <c r="M21" s="68"/>
      <c r="N21" s="29"/>
    </row>
    <row r="22" spans="1:14" ht="21.95" customHeight="1">
      <c r="A22" s="52" t="s">
        <v>106</v>
      </c>
      <c r="B22" s="53"/>
      <c r="C22" s="54"/>
      <c r="D22" s="55"/>
      <c r="E22" s="61"/>
      <c r="F22" s="72">
        <f>SUM(F6:F21)</f>
        <v>0</v>
      </c>
      <c r="G22" s="61"/>
      <c r="H22" s="72">
        <f>SUM(H6:H21)</f>
        <v>0</v>
      </c>
      <c r="I22" s="61"/>
      <c r="J22" s="72">
        <f>SUM(J6:J21)</f>
        <v>0</v>
      </c>
      <c r="K22" s="61"/>
      <c r="L22" s="72">
        <f>SUM(L6:L21)</f>
        <v>0</v>
      </c>
      <c r="M22" s="56"/>
      <c r="N22" s="29"/>
    </row>
    <row r="23" spans="1:14" s="33" customFormat="1" ht="21.95" customHeight="1">
      <c r="A23" s="38" t="s">
        <v>107</v>
      </c>
      <c r="B23" s="34"/>
      <c r="C23" s="35"/>
      <c r="D23" s="35"/>
      <c r="E23" s="36"/>
      <c r="F23" s="36">
        <f>F22</f>
        <v>0</v>
      </c>
      <c r="G23" s="36"/>
      <c r="H23" s="36">
        <f>H22</f>
        <v>0</v>
      </c>
      <c r="I23" s="36"/>
      <c r="J23" s="36">
        <f>J22</f>
        <v>0</v>
      </c>
      <c r="K23" s="36"/>
      <c r="L23" s="36">
        <f>L22</f>
        <v>0</v>
      </c>
      <c r="M23" s="37"/>
    </row>
  </sheetData>
  <mergeCells count="10">
    <mergeCell ref="E3:F3"/>
    <mergeCell ref="G3:H3"/>
    <mergeCell ref="I3:J3"/>
    <mergeCell ref="A1:M1"/>
    <mergeCell ref="A3:A4"/>
    <mergeCell ref="B3:B4"/>
    <mergeCell ref="C3:C4"/>
    <mergeCell ref="D3:D4"/>
    <mergeCell ref="K3:L3"/>
    <mergeCell ref="M3:M4"/>
  </mergeCells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3"/>
  <sheetViews>
    <sheetView view="pageBreakPreview" zoomScaleNormal="100" zoomScaleSheetLayoutView="100" workbookViewId="0">
      <selection activeCell="L5" sqref="L5"/>
    </sheetView>
  </sheetViews>
  <sheetFormatPr defaultColWidth="8.88671875" defaultRowHeight="13.5"/>
  <cols>
    <col min="1" max="2" width="8.77734375" style="31" customWidth="1"/>
    <col min="3" max="3" width="5.77734375" style="31" customWidth="1"/>
    <col min="4" max="24" width="4.21875" style="31" customWidth="1"/>
    <col min="25" max="26" width="8.77734375" style="31" customWidth="1"/>
    <col min="27" max="16384" width="8.88671875" style="31"/>
  </cols>
  <sheetData>
    <row r="1" spans="1:26" ht="27" customHeight="1">
      <c r="A1" s="278" t="s">
        <v>213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</row>
    <row r="2" spans="1:26" ht="20.100000000000001" customHeight="1">
      <c r="A2" s="89" t="str">
        <f>건설용리프트설치위치도!A2</f>
        <v>■ 현장명 : 부산장안</v>
      </c>
    </row>
    <row r="3" spans="1:26" ht="27" customHeight="1">
      <c r="A3" s="277" t="s">
        <v>73</v>
      </c>
      <c r="B3" s="277" t="s">
        <v>78</v>
      </c>
      <c r="C3" s="277" t="s">
        <v>74</v>
      </c>
      <c r="D3" s="277" t="s">
        <v>203</v>
      </c>
      <c r="E3" s="277"/>
      <c r="F3" s="277"/>
      <c r="G3" s="277" t="s">
        <v>119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 t="s">
        <v>157</v>
      </c>
      <c r="T3" s="277"/>
      <c r="U3" s="277"/>
      <c r="V3" s="277"/>
      <c r="W3" s="277"/>
      <c r="X3" s="277"/>
      <c r="Y3" s="277" t="s">
        <v>77</v>
      </c>
      <c r="Z3" s="277" t="s">
        <v>76</v>
      </c>
    </row>
    <row r="4" spans="1:26" ht="27" customHeight="1">
      <c r="A4" s="277"/>
      <c r="B4" s="277"/>
      <c r="C4" s="277"/>
      <c r="D4" s="79">
        <v>10</v>
      </c>
      <c r="E4" s="79">
        <v>11</v>
      </c>
      <c r="F4" s="79">
        <v>12</v>
      </c>
      <c r="G4" s="79">
        <v>1</v>
      </c>
      <c r="H4" s="79">
        <v>2</v>
      </c>
      <c r="I4" s="79">
        <v>3</v>
      </c>
      <c r="J4" s="79">
        <v>4</v>
      </c>
      <c r="K4" s="79">
        <v>5</v>
      </c>
      <c r="L4" s="79">
        <v>6</v>
      </c>
      <c r="M4" s="79">
        <v>7</v>
      </c>
      <c r="N4" s="79">
        <v>8</v>
      </c>
      <c r="O4" s="79">
        <v>9</v>
      </c>
      <c r="P4" s="79">
        <v>10</v>
      </c>
      <c r="Q4" s="79">
        <v>11</v>
      </c>
      <c r="R4" s="79">
        <v>12</v>
      </c>
      <c r="S4" s="79">
        <v>1</v>
      </c>
      <c r="T4" s="79">
        <v>2</v>
      </c>
      <c r="U4" s="79">
        <v>3</v>
      </c>
      <c r="V4" s="79">
        <v>4</v>
      </c>
      <c r="W4" s="79">
        <v>5</v>
      </c>
      <c r="X4" s="79">
        <v>6</v>
      </c>
      <c r="Y4" s="277"/>
      <c r="Z4" s="277"/>
    </row>
    <row r="5" spans="1:26" ht="27" customHeight="1">
      <c r="A5" s="279" t="s">
        <v>144</v>
      </c>
      <c r="B5" s="81" t="str">
        <f>'(건설용리프트)임대기간산출'!B11</f>
        <v>1~3호</v>
      </c>
      <c r="C5" s="80">
        <f>'(건설용리프트)임대기간산출'!C11</f>
        <v>24</v>
      </c>
      <c r="D5" s="82"/>
      <c r="E5" s="82"/>
      <c r="F5" s="82"/>
      <c r="G5" s="82"/>
      <c r="H5" s="82"/>
      <c r="I5" s="82">
        <v>1</v>
      </c>
      <c r="J5" s="82">
        <v>1</v>
      </c>
      <c r="K5" s="82">
        <v>1</v>
      </c>
      <c r="L5" s="82">
        <v>1</v>
      </c>
      <c r="M5" s="82">
        <v>1</v>
      </c>
      <c r="N5" s="82">
        <v>1</v>
      </c>
      <c r="O5" s="82">
        <v>1</v>
      </c>
      <c r="P5" s="82">
        <v>1</v>
      </c>
      <c r="Q5" s="82">
        <v>1</v>
      </c>
      <c r="R5" s="82">
        <v>1</v>
      </c>
      <c r="S5" s="82">
        <v>1</v>
      </c>
      <c r="T5" s="83">
        <v>1</v>
      </c>
      <c r="U5" s="83"/>
      <c r="V5" s="83"/>
      <c r="W5" s="84"/>
      <c r="X5" s="84"/>
      <c r="Y5" s="85">
        <f t="shared" ref="Y5:Y12" si="0">SUM(D5:X5)</f>
        <v>12</v>
      </c>
      <c r="Z5" s="84"/>
    </row>
    <row r="6" spans="1:26" ht="27" customHeight="1">
      <c r="A6" s="279"/>
      <c r="B6" s="81" t="str">
        <f>'(건설용리프트)임대기간산출'!B12</f>
        <v>4~5호</v>
      </c>
      <c r="C6" s="80">
        <f>'(건설용리프트)임대기간산출'!C12</f>
        <v>24</v>
      </c>
      <c r="D6" s="82"/>
      <c r="E6" s="82"/>
      <c r="F6" s="82"/>
      <c r="G6" s="82"/>
      <c r="H6" s="82"/>
      <c r="I6" s="82">
        <v>1</v>
      </c>
      <c r="J6" s="82">
        <v>1</v>
      </c>
      <c r="K6" s="82">
        <v>1</v>
      </c>
      <c r="L6" s="82">
        <v>1</v>
      </c>
      <c r="M6" s="82">
        <v>1</v>
      </c>
      <c r="N6" s="82">
        <v>1</v>
      </c>
      <c r="O6" s="82">
        <v>1</v>
      </c>
      <c r="P6" s="82">
        <v>1</v>
      </c>
      <c r="Q6" s="82">
        <v>1</v>
      </c>
      <c r="R6" s="82">
        <v>1</v>
      </c>
      <c r="S6" s="82">
        <v>1</v>
      </c>
      <c r="T6" s="83">
        <v>1</v>
      </c>
      <c r="U6" s="83"/>
      <c r="V6" s="83"/>
      <c r="W6" s="84"/>
      <c r="X6" s="84"/>
      <c r="Y6" s="85">
        <f t="shared" si="0"/>
        <v>12</v>
      </c>
      <c r="Z6" s="84"/>
    </row>
    <row r="7" spans="1:26" ht="27" customHeight="1">
      <c r="A7" s="279" t="s">
        <v>145</v>
      </c>
      <c r="B7" s="81" t="str">
        <f>'(건설용리프트)임대기간산출'!B13</f>
        <v>1~3호</v>
      </c>
      <c r="C7" s="80">
        <f>'(건설용리프트)임대기간산출'!C13</f>
        <v>24</v>
      </c>
      <c r="D7" s="82"/>
      <c r="E7" s="82"/>
      <c r="F7" s="82"/>
      <c r="G7" s="82"/>
      <c r="H7" s="82"/>
      <c r="I7" s="82">
        <v>1</v>
      </c>
      <c r="J7" s="82">
        <v>1</v>
      </c>
      <c r="K7" s="82">
        <v>1</v>
      </c>
      <c r="L7" s="82">
        <v>1</v>
      </c>
      <c r="M7" s="82">
        <v>1</v>
      </c>
      <c r="N7" s="82">
        <v>1</v>
      </c>
      <c r="O7" s="82">
        <v>1</v>
      </c>
      <c r="P7" s="82">
        <v>1</v>
      </c>
      <c r="Q7" s="82">
        <v>1</v>
      </c>
      <c r="R7" s="82">
        <v>1</v>
      </c>
      <c r="S7" s="82">
        <v>1</v>
      </c>
      <c r="T7" s="83">
        <v>1</v>
      </c>
      <c r="U7" s="83"/>
      <c r="V7" s="83"/>
      <c r="W7" s="84"/>
      <c r="X7" s="84"/>
      <c r="Y7" s="85">
        <f t="shared" si="0"/>
        <v>12</v>
      </c>
      <c r="Z7" s="84"/>
    </row>
    <row r="8" spans="1:26" ht="27" customHeight="1">
      <c r="A8" s="279"/>
      <c r="B8" s="81" t="str">
        <f>'(건설용리프트)임대기간산출'!B14</f>
        <v>4~5호</v>
      </c>
      <c r="C8" s="80">
        <f>'(건설용리프트)임대기간산출'!C14</f>
        <v>22</v>
      </c>
      <c r="D8" s="82"/>
      <c r="E8" s="82"/>
      <c r="F8" s="82"/>
      <c r="G8" s="82"/>
      <c r="H8" s="82"/>
      <c r="I8" s="82">
        <v>1</v>
      </c>
      <c r="J8" s="82">
        <v>1</v>
      </c>
      <c r="K8" s="82">
        <v>1</v>
      </c>
      <c r="L8" s="82">
        <v>1</v>
      </c>
      <c r="M8" s="82">
        <v>1</v>
      </c>
      <c r="N8" s="82">
        <v>1</v>
      </c>
      <c r="O8" s="82">
        <v>1</v>
      </c>
      <c r="P8" s="82">
        <v>1</v>
      </c>
      <c r="Q8" s="82">
        <v>1</v>
      </c>
      <c r="R8" s="82">
        <v>1</v>
      </c>
      <c r="S8" s="82">
        <v>1</v>
      </c>
      <c r="T8" s="83">
        <v>1</v>
      </c>
      <c r="U8" s="83"/>
      <c r="V8" s="83"/>
      <c r="W8" s="84"/>
      <c r="X8" s="84"/>
      <c r="Y8" s="85">
        <f t="shared" si="0"/>
        <v>12</v>
      </c>
      <c r="Z8" s="84"/>
    </row>
    <row r="9" spans="1:26" ht="27" customHeight="1">
      <c r="A9" s="279" t="s">
        <v>146</v>
      </c>
      <c r="B9" s="81" t="str">
        <f>'(건설용리프트)임대기간산출'!B15</f>
        <v>1~2호</v>
      </c>
      <c r="C9" s="80">
        <f>'(건설용리프트)임대기간산출'!C15</f>
        <v>25</v>
      </c>
      <c r="D9" s="82"/>
      <c r="E9" s="82"/>
      <c r="F9" s="82"/>
      <c r="G9" s="82">
        <v>1</v>
      </c>
      <c r="H9" s="82">
        <v>1</v>
      </c>
      <c r="I9" s="82">
        <v>1</v>
      </c>
      <c r="J9" s="82">
        <v>1</v>
      </c>
      <c r="K9" s="82">
        <v>1</v>
      </c>
      <c r="L9" s="82">
        <v>1</v>
      </c>
      <c r="M9" s="82">
        <v>1</v>
      </c>
      <c r="N9" s="82">
        <v>1</v>
      </c>
      <c r="O9" s="82">
        <v>1</v>
      </c>
      <c r="P9" s="82">
        <v>1</v>
      </c>
      <c r="Q9" s="82">
        <v>1</v>
      </c>
      <c r="R9" s="82">
        <v>1</v>
      </c>
      <c r="S9" s="82">
        <v>1</v>
      </c>
      <c r="T9" s="83"/>
      <c r="U9" s="83"/>
      <c r="V9" s="84"/>
      <c r="W9" s="84"/>
      <c r="X9" s="84"/>
      <c r="Y9" s="85">
        <f t="shared" si="0"/>
        <v>13</v>
      </c>
      <c r="Z9" s="84"/>
    </row>
    <row r="10" spans="1:26" ht="27" customHeight="1">
      <c r="A10" s="279"/>
      <c r="B10" s="81" t="str">
        <f>'(건설용리프트)임대기간산출'!B16</f>
        <v>3~4호</v>
      </c>
      <c r="C10" s="80">
        <f>'(건설용리프트)임대기간산출'!C16</f>
        <v>25</v>
      </c>
      <c r="D10" s="82"/>
      <c r="E10" s="82"/>
      <c r="F10" s="82"/>
      <c r="G10" s="82">
        <v>1</v>
      </c>
      <c r="H10" s="82">
        <v>1</v>
      </c>
      <c r="I10" s="82">
        <v>1</v>
      </c>
      <c r="J10" s="82">
        <v>1</v>
      </c>
      <c r="K10" s="82">
        <v>1</v>
      </c>
      <c r="L10" s="82">
        <v>1</v>
      </c>
      <c r="M10" s="82">
        <v>1</v>
      </c>
      <c r="N10" s="82">
        <v>1</v>
      </c>
      <c r="O10" s="82">
        <v>1</v>
      </c>
      <c r="P10" s="82">
        <v>1</v>
      </c>
      <c r="Q10" s="82">
        <v>1</v>
      </c>
      <c r="R10" s="82">
        <v>1</v>
      </c>
      <c r="S10" s="82">
        <v>1</v>
      </c>
      <c r="T10" s="83"/>
      <c r="U10" s="83"/>
      <c r="V10" s="84"/>
      <c r="W10" s="84"/>
      <c r="X10" s="84"/>
      <c r="Y10" s="85">
        <f t="shared" si="0"/>
        <v>13</v>
      </c>
      <c r="Z10" s="84"/>
    </row>
    <row r="11" spans="1:26" ht="27" customHeight="1">
      <c r="A11" s="279" t="s">
        <v>147</v>
      </c>
      <c r="B11" s="81" t="str">
        <f>'(건설용리프트)임대기간산출'!B17</f>
        <v>1~2호</v>
      </c>
      <c r="C11" s="80">
        <f>'(건설용리프트)임대기간산출'!C17</f>
        <v>23</v>
      </c>
      <c r="D11" s="82"/>
      <c r="E11" s="82"/>
      <c r="F11" s="82"/>
      <c r="G11" s="82">
        <v>1</v>
      </c>
      <c r="H11" s="82">
        <v>1</v>
      </c>
      <c r="I11" s="82">
        <v>1</v>
      </c>
      <c r="J11" s="82">
        <v>1</v>
      </c>
      <c r="K11" s="82">
        <v>1</v>
      </c>
      <c r="L11" s="82">
        <v>1</v>
      </c>
      <c r="M11" s="82">
        <v>1</v>
      </c>
      <c r="N11" s="82">
        <v>1</v>
      </c>
      <c r="O11" s="82">
        <v>1</v>
      </c>
      <c r="P11" s="82">
        <v>1</v>
      </c>
      <c r="Q11" s="82">
        <v>1</v>
      </c>
      <c r="R11" s="82">
        <v>1</v>
      </c>
      <c r="S11" s="83"/>
      <c r="T11" s="83"/>
      <c r="U11" s="83"/>
      <c r="V11" s="84"/>
      <c r="W11" s="84"/>
      <c r="X11" s="84"/>
      <c r="Y11" s="85">
        <f t="shared" si="0"/>
        <v>12</v>
      </c>
      <c r="Z11" s="84"/>
    </row>
    <row r="12" spans="1:26" ht="27" customHeight="1">
      <c r="A12" s="279"/>
      <c r="B12" s="81" t="str">
        <f>'(건설용리프트)임대기간산출'!B18</f>
        <v>3~4호</v>
      </c>
      <c r="C12" s="80">
        <f>'(건설용리프트)임대기간산출'!C18</f>
        <v>23</v>
      </c>
      <c r="D12" s="82"/>
      <c r="E12" s="82"/>
      <c r="F12" s="82"/>
      <c r="G12" s="82">
        <v>1</v>
      </c>
      <c r="H12" s="82">
        <v>1</v>
      </c>
      <c r="I12" s="82">
        <v>1</v>
      </c>
      <c r="J12" s="82">
        <v>1</v>
      </c>
      <c r="K12" s="82">
        <v>1</v>
      </c>
      <c r="L12" s="82">
        <v>1</v>
      </c>
      <c r="M12" s="82">
        <v>1</v>
      </c>
      <c r="N12" s="82">
        <v>1</v>
      </c>
      <c r="O12" s="82">
        <v>1</v>
      </c>
      <c r="P12" s="82">
        <v>1</v>
      </c>
      <c r="Q12" s="82">
        <v>1</v>
      </c>
      <c r="R12" s="82">
        <v>1</v>
      </c>
      <c r="S12" s="83"/>
      <c r="T12" s="83"/>
      <c r="U12" s="83"/>
      <c r="V12" s="84"/>
      <c r="W12" s="84"/>
      <c r="X12" s="84"/>
      <c r="Y12" s="85">
        <f t="shared" si="0"/>
        <v>12</v>
      </c>
      <c r="Z12" s="84"/>
    </row>
    <row r="13" spans="1:26" ht="27" customHeight="1">
      <c r="A13" s="86" t="s">
        <v>77</v>
      </c>
      <c r="B13" s="86"/>
      <c r="C13" s="86"/>
      <c r="D13" s="275"/>
      <c r="E13" s="275"/>
      <c r="F13" s="275"/>
      <c r="G13" s="275"/>
      <c r="H13" s="275"/>
      <c r="I13" s="275"/>
      <c r="J13" s="275"/>
      <c r="K13" s="275"/>
      <c r="L13" s="275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87">
        <f>SUM(Y5:Y12)</f>
        <v>98</v>
      </c>
      <c r="Z13" s="88"/>
    </row>
  </sheetData>
  <mergeCells count="15">
    <mergeCell ref="A1:Z1"/>
    <mergeCell ref="A7:A8"/>
    <mergeCell ref="A11:A12"/>
    <mergeCell ref="A5:A6"/>
    <mergeCell ref="B3:B4"/>
    <mergeCell ref="C3:C4"/>
    <mergeCell ref="Z3:Z4"/>
    <mergeCell ref="A3:A4"/>
    <mergeCell ref="Y3:Y4"/>
    <mergeCell ref="A9:A10"/>
    <mergeCell ref="D13:L13"/>
    <mergeCell ref="M13:X13"/>
    <mergeCell ref="D3:F3"/>
    <mergeCell ref="G3:R3"/>
    <mergeCell ref="S3:X3"/>
  </mergeCells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scale="9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AD35"/>
  <sheetViews>
    <sheetView showGridLines="0" tabSelected="1" view="pageBreakPreview" zoomScaleNormal="100" zoomScaleSheetLayoutView="100" workbookViewId="0">
      <selection activeCell="M17" sqref="M17"/>
    </sheetView>
  </sheetViews>
  <sheetFormatPr defaultColWidth="7.109375" defaultRowHeight="12"/>
  <cols>
    <col min="1" max="1" width="8.109375" style="94" customWidth="1"/>
    <col min="2" max="2" width="9.44140625" style="94" customWidth="1"/>
    <col min="3" max="3" width="9.109375" style="93" customWidth="1"/>
    <col min="4" max="4" width="10.88671875" style="93" customWidth="1"/>
    <col min="5" max="5" width="9.109375" style="93" customWidth="1"/>
    <col min="6" max="7" width="9.44140625" style="93" customWidth="1"/>
    <col min="8" max="8" width="10.88671875" style="93" customWidth="1"/>
    <col min="9" max="9" width="11.6640625" style="93" customWidth="1"/>
    <col min="10" max="10" width="8.44140625" style="93" customWidth="1"/>
    <col min="11" max="11" width="8.109375" style="94" customWidth="1"/>
    <col min="12" max="12" width="9.44140625" style="94" customWidth="1"/>
    <col min="13" max="13" width="8.88671875" style="94" customWidth="1"/>
    <col min="14" max="14" width="8.21875" style="94" customWidth="1"/>
    <col min="15" max="16" width="10.109375" style="94" customWidth="1"/>
    <col min="17" max="19" width="8.44140625" style="94" customWidth="1"/>
    <col min="20" max="22" width="7.109375" style="94"/>
    <col min="23" max="30" width="10.109375" style="94" customWidth="1"/>
    <col min="31" max="16384" width="7.109375" style="94"/>
  </cols>
  <sheetData>
    <row r="1" spans="1:30" s="90" customFormat="1" ht="30.75" customHeight="1">
      <c r="A1" s="317" t="s">
        <v>214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30" s="90" customFormat="1" ht="14.25" customHeight="1">
      <c r="A2" s="318" t="s">
        <v>232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</row>
    <row r="3" spans="1:30" s="29" customFormat="1" ht="20.100000000000001" customHeight="1">
      <c r="A3" s="91" t="str">
        <f>건설용리프트설치위치도!A2</f>
        <v>■ 현장명 : 부산장안</v>
      </c>
      <c r="B3" s="200"/>
      <c r="C3" s="91"/>
      <c r="D3" s="201"/>
      <c r="E3" s="201"/>
      <c r="F3" s="201"/>
      <c r="G3" s="201"/>
      <c r="H3" s="202"/>
      <c r="I3" s="202"/>
      <c r="J3" s="202"/>
    </row>
    <row r="4" spans="1:30" ht="20.100000000000001" customHeight="1">
      <c r="A4" s="91" t="s">
        <v>233</v>
      </c>
      <c r="B4" s="2"/>
      <c r="C4" s="92"/>
      <c r="D4" s="92"/>
      <c r="E4" s="92"/>
      <c r="F4" s="92"/>
    </row>
    <row r="5" spans="1:30" ht="20.100000000000001" customHeight="1">
      <c r="A5" s="10" t="s">
        <v>10</v>
      </c>
      <c r="B5" s="95" t="s">
        <v>83</v>
      </c>
      <c r="C5" s="96">
        <v>30</v>
      </c>
      <c r="D5" s="97" t="s">
        <v>84</v>
      </c>
      <c r="E5" s="98">
        <v>35</v>
      </c>
      <c r="F5" s="99"/>
      <c r="G5" s="99"/>
      <c r="H5" s="99"/>
      <c r="I5" s="100"/>
    </row>
    <row r="6" spans="1:30" ht="20.100000000000001" customHeight="1">
      <c r="A6" s="10" t="s">
        <v>11</v>
      </c>
      <c r="B6" s="95" t="s">
        <v>85</v>
      </c>
      <c r="C6" s="96">
        <v>25</v>
      </c>
      <c r="D6" s="97" t="s">
        <v>86</v>
      </c>
      <c r="E6" s="96">
        <v>10</v>
      </c>
      <c r="F6" s="97" t="s">
        <v>87</v>
      </c>
      <c r="G6" s="96">
        <v>15</v>
      </c>
      <c r="H6" s="97" t="s">
        <v>88</v>
      </c>
      <c r="I6" s="98">
        <v>15</v>
      </c>
      <c r="K6" s="101" t="s">
        <v>143</v>
      </c>
      <c r="N6" s="102"/>
      <c r="O6" s="103"/>
      <c r="P6" s="103"/>
      <c r="Q6" s="103"/>
      <c r="R6" s="103"/>
      <c r="S6" s="103"/>
    </row>
    <row r="7" spans="1:30" ht="20.100000000000001" customHeight="1">
      <c r="A7" s="10" t="s">
        <v>12</v>
      </c>
      <c r="B7" s="95" t="s">
        <v>89</v>
      </c>
      <c r="C7" s="104">
        <v>2880</v>
      </c>
      <c r="D7" s="95" t="s">
        <v>161</v>
      </c>
      <c r="E7" s="105">
        <v>3080</v>
      </c>
      <c r="F7" s="106" t="s">
        <v>90</v>
      </c>
      <c r="G7" s="105">
        <v>3080</v>
      </c>
      <c r="H7" s="320" t="s">
        <v>241</v>
      </c>
      <c r="I7" s="320"/>
      <c r="J7" s="320"/>
      <c r="K7" s="320"/>
      <c r="L7" s="107"/>
      <c r="N7" s="102"/>
      <c r="O7" s="103"/>
      <c r="P7" s="103"/>
      <c r="Q7" s="103"/>
      <c r="R7" s="103"/>
      <c r="S7" s="103"/>
    </row>
    <row r="8" spans="1:30" ht="20.100000000000001" customHeight="1" thickBot="1">
      <c r="A8" s="91" t="s">
        <v>215</v>
      </c>
      <c r="B8" s="2"/>
      <c r="C8" s="92"/>
      <c r="D8" s="92"/>
      <c r="E8" s="92"/>
      <c r="F8" s="92"/>
    </row>
    <row r="9" spans="1:30" s="108" customFormat="1" ht="20.100000000000001" customHeight="1" thickBot="1">
      <c r="A9" s="292" t="s">
        <v>13</v>
      </c>
      <c r="B9" s="293"/>
      <c r="C9" s="294" t="s">
        <v>91</v>
      </c>
      <c r="D9" s="295"/>
      <c r="E9" s="295"/>
      <c r="F9" s="296"/>
      <c r="G9" s="297" t="s">
        <v>14</v>
      </c>
      <c r="H9" s="321" t="s">
        <v>15</v>
      </c>
      <c r="I9" s="322"/>
      <c r="J9" s="323" t="s">
        <v>16</v>
      </c>
      <c r="K9" s="325" t="s">
        <v>17</v>
      </c>
      <c r="L9" s="327" t="s">
        <v>131</v>
      </c>
      <c r="M9" s="328"/>
      <c r="N9" s="329"/>
      <c r="O9" s="310" t="s">
        <v>18</v>
      </c>
      <c r="P9" s="311"/>
      <c r="W9" s="314" t="s">
        <v>92</v>
      </c>
      <c r="X9" s="314"/>
      <c r="Y9" s="314"/>
      <c r="Z9" s="314"/>
      <c r="AA9" s="314"/>
      <c r="AB9" s="314"/>
      <c r="AC9" s="314"/>
      <c r="AD9" s="314"/>
    </row>
    <row r="10" spans="1:30" s="108" customFormat="1" ht="27.75" thickTop="1">
      <c r="A10" s="109" t="s">
        <v>19</v>
      </c>
      <c r="B10" s="110" t="s">
        <v>99</v>
      </c>
      <c r="C10" s="111" t="s">
        <v>20</v>
      </c>
      <c r="D10" s="112" t="s">
        <v>240</v>
      </c>
      <c r="E10" s="113" t="s">
        <v>93</v>
      </c>
      <c r="F10" s="114" t="s">
        <v>94</v>
      </c>
      <c r="G10" s="298"/>
      <c r="H10" s="115" t="s">
        <v>21</v>
      </c>
      <c r="I10" s="116" t="s">
        <v>164</v>
      </c>
      <c r="J10" s="324"/>
      <c r="K10" s="326"/>
      <c r="L10" s="117" t="s">
        <v>22</v>
      </c>
      <c r="M10" s="118" t="s">
        <v>23</v>
      </c>
      <c r="N10" s="119" t="s">
        <v>24</v>
      </c>
      <c r="O10" s="312"/>
      <c r="P10" s="313"/>
      <c r="W10" s="314"/>
      <c r="X10" s="314"/>
      <c r="Y10" s="314"/>
      <c r="Z10" s="314"/>
      <c r="AA10" s="314"/>
      <c r="AB10" s="314"/>
      <c r="AC10" s="314"/>
      <c r="AD10" s="314"/>
    </row>
    <row r="11" spans="1:30" s="133" customFormat="1" ht="20.100000000000001" customHeight="1">
      <c r="A11" s="305" t="s">
        <v>144</v>
      </c>
      <c r="B11" s="120" t="s">
        <v>116</v>
      </c>
      <c r="C11" s="121">
        <v>24</v>
      </c>
      <c r="D11" s="122">
        <f>+C11-5</f>
        <v>19</v>
      </c>
      <c r="E11" s="123">
        <v>1</v>
      </c>
      <c r="F11" s="124">
        <v>2</v>
      </c>
      <c r="G11" s="125">
        <f>+D11*$E$6+E11*$G$6+$I$6*F11</f>
        <v>235</v>
      </c>
      <c r="H11" s="126">
        <f t="shared" ref="H11:H15" si="0">G11/365*12</f>
        <v>7.7260273972602747</v>
      </c>
      <c r="I11" s="127">
        <f t="shared" ref="I11:I18" si="1">+MAX($H11:$H11)+4</f>
        <v>11.726027397260275</v>
      </c>
      <c r="J11" s="128" t="s">
        <v>128</v>
      </c>
      <c r="K11" s="129">
        <v>1</v>
      </c>
      <c r="L11" s="130">
        <f t="shared" ref="L11:L15" si="2">+ROUNDUP(I11*K11,0)</f>
        <v>12</v>
      </c>
      <c r="M11" s="131">
        <f>임대기간!Y5</f>
        <v>12</v>
      </c>
      <c r="N11" s="180">
        <f t="shared" ref="N11:N15" si="3">M11-L11</f>
        <v>0</v>
      </c>
      <c r="O11" s="315"/>
      <c r="P11" s="316"/>
      <c r="R11" s="133">
        <f>C11-2</f>
        <v>22</v>
      </c>
      <c r="V11" s="133" t="s">
        <v>95</v>
      </c>
      <c r="W11" s="134">
        <v>1</v>
      </c>
      <c r="X11" s="134"/>
      <c r="Y11" s="134"/>
      <c r="Z11" s="134"/>
      <c r="AA11" s="134"/>
      <c r="AB11" s="134"/>
      <c r="AC11" s="134"/>
      <c r="AD11" s="134"/>
    </row>
    <row r="12" spans="1:30" s="133" customFormat="1" ht="20.100000000000001" customHeight="1">
      <c r="A12" s="306"/>
      <c r="B12" s="135" t="s">
        <v>148</v>
      </c>
      <c r="C12" s="136">
        <v>24</v>
      </c>
      <c r="D12" s="137">
        <f t="shared" ref="D12:D18" si="4">+C12-5</f>
        <v>19</v>
      </c>
      <c r="E12" s="138">
        <v>1</v>
      </c>
      <c r="F12" s="139">
        <v>2</v>
      </c>
      <c r="G12" s="140">
        <f>+D12*$E$6+E12*$G$6+$I$6*F12</f>
        <v>235</v>
      </c>
      <c r="H12" s="141">
        <f t="shared" si="0"/>
        <v>7.7260273972602747</v>
      </c>
      <c r="I12" s="142">
        <f t="shared" si="1"/>
        <v>11.726027397260275</v>
      </c>
      <c r="J12" s="143" t="s">
        <v>128</v>
      </c>
      <c r="K12" s="144">
        <v>1</v>
      </c>
      <c r="L12" s="145">
        <f t="shared" si="2"/>
        <v>12</v>
      </c>
      <c r="M12" s="146">
        <f>임대기간!Y6</f>
        <v>12</v>
      </c>
      <c r="N12" s="181">
        <f t="shared" si="3"/>
        <v>0</v>
      </c>
      <c r="O12" s="308"/>
      <c r="P12" s="309"/>
      <c r="R12" s="133">
        <f>C12-2</f>
        <v>22</v>
      </c>
      <c r="V12" s="133" t="s">
        <v>129</v>
      </c>
      <c r="W12" s="133">
        <v>1</v>
      </c>
      <c r="X12" s="134"/>
      <c r="Y12" s="134"/>
      <c r="Z12" s="134"/>
      <c r="AA12" s="134"/>
      <c r="AB12" s="134"/>
      <c r="AC12" s="134"/>
      <c r="AD12" s="134"/>
    </row>
    <row r="13" spans="1:30" s="133" customFormat="1" ht="20.100000000000001" customHeight="1">
      <c r="A13" s="307" t="s">
        <v>145</v>
      </c>
      <c r="B13" s="135" t="s">
        <v>149</v>
      </c>
      <c r="C13" s="136">
        <v>24</v>
      </c>
      <c r="D13" s="137">
        <f t="shared" si="4"/>
        <v>19</v>
      </c>
      <c r="E13" s="138">
        <v>1</v>
      </c>
      <c r="F13" s="139">
        <v>2</v>
      </c>
      <c r="G13" s="140">
        <f t="shared" ref="G13:G18" si="5">+D13*$E$6+E13*$G$6+$I$6*F13</f>
        <v>235</v>
      </c>
      <c r="H13" s="141">
        <f t="shared" si="0"/>
        <v>7.7260273972602747</v>
      </c>
      <c r="I13" s="142">
        <f t="shared" si="1"/>
        <v>11.726027397260275</v>
      </c>
      <c r="J13" s="143" t="s">
        <v>128</v>
      </c>
      <c r="K13" s="144">
        <v>1</v>
      </c>
      <c r="L13" s="145">
        <f t="shared" si="2"/>
        <v>12</v>
      </c>
      <c r="M13" s="146">
        <f>임대기간!Y7</f>
        <v>12</v>
      </c>
      <c r="N13" s="181">
        <f t="shared" si="3"/>
        <v>0</v>
      </c>
      <c r="O13" s="308"/>
      <c r="P13" s="309"/>
      <c r="R13" s="133">
        <f t="shared" ref="R13:R18" si="6">C13-2</f>
        <v>22</v>
      </c>
      <c r="V13" s="133" t="s">
        <v>118</v>
      </c>
      <c r="W13" s="134">
        <v>1</v>
      </c>
      <c r="X13" s="134"/>
      <c r="Y13" s="134"/>
      <c r="Z13" s="134"/>
      <c r="AA13" s="134"/>
      <c r="AB13" s="134"/>
      <c r="AC13" s="134"/>
      <c r="AD13" s="134"/>
    </row>
    <row r="14" spans="1:30" s="133" customFormat="1" ht="20.100000000000001" customHeight="1">
      <c r="A14" s="306"/>
      <c r="B14" s="135" t="s">
        <v>150</v>
      </c>
      <c r="C14" s="136">
        <v>22</v>
      </c>
      <c r="D14" s="137">
        <f t="shared" si="4"/>
        <v>17</v>
      </c>
      <c r="E14" s="138">
        <v>1</v>
      </c>
      <c r="F14" s="139">
        <v>2</v>
      </c>
      <c r="G14" s="140">
        <f t="shared" si="5"/>
        <v>215</v>
      </c>
      <c r="H14" s="141">
        <f t="shared" si="0"/>
        <v>7.0684931506849313</v>
      </c>
      <c r="I14" s="142">
        <f t="shared" si="1"/>
        <v>11.068493150684931</v>
      </c>
      <c r="J14" s="143" t="s">
        <v>128</v>
      </c>
      <c r="K14" s="144">
        <v>1</v>
      </c>
      <c r="L14" s="145">
        <f t="shared" si="2"/>
        <v>12</v>
      </c>
      <c r="M14" s="146">
        <f>임대기간!Y8</f>
        <v>12</v>
      </c>
      <c r="N14" s="181">
        <f t="shared" si="3"/>
        <v>0</v>
      </c>
      <c r="O14" s="308"/>
      <c r="P14" s="309"/>
      <c r="R14" s="133">
        <f t="shared" si="6"/>
        <v>20</v>
      </c>
      <c r="V14" s="133" t="s">
        <v>96</v>
      </c>
      <c r="W14" s="134">
        <v>2</v>
      </c>
      <c r="X14" s="134"/>
      <c r="Y14" s="134"/>
      <c r="Z14" s="134"/>
      <c r="AA14" s="134"/>
      <c r="AB14" s="134"/>
      <c r="AC14" s="134"/>
      <c r="AD14" s="134"/>
    </row>
    <row r="15" spans="1:30" s="133" customFormat="1" ht="20.100000000000001" customHeight="1">
      <c r="A15" s="307" t="s">
        <v>146</v>
      </c>
      <c r="B15" s="135" t="s">
        <v>66</v>
      </c>
      <c r="C15" s="136">
        <v>25</v>
      </c>
      <c r="D15" s="137">
        <f t="shared" si="4"/>
        <v>20</v>
      </c>
      <c r="E15" s="138">
        <v>1</v>
      </c>
      <c r="F15" s="139">
        <v>2</v>
      </c>
      <c r="G15" s="140">
        <f t="shared" si="5"/>
        <v>245</v>
      </c>
      <c r="H15" s="141">
        <f t="shared" si="0"/>
        <v>8.0547945205479454</v>
      </c>
      <c r="I15" s="142">
        <f t="shared" si="1"/>
        <v>12.054794520547945</v>
      </c>
      <c r="J15" s="143" t="s">
        <v>128</v>
      </c>
      <c r="K15" s="144">
        <v>1</v>
      </c>
      <c r="L15" s="145">
        <f t="shared" si="2"/>
        <v>13</v>
      </c>
      <c r="M15" s="146">
        <f>임대기간!Y9</f>
        <v>13</v>
      </c>
      <c r="N15" s="181">
        <f t="shared" si="3"/>
        <v>0</v>
      </c>
      <c r="O15" s="308"/>
      <c r="P15" s="309"/>
      <c r="R15" s="133">
        <f t="shared" si="6"/>
        <v>23</v>
      </c>
    </row>
    <row r="16" spans="1:30" s="133" customFormat="1" ht="20.100000000000001" customHeight="1">
      <c r="A16" s="306"/>
      <c r="B16" s="135" t="s">
        <v>154</v>
      </c>
      <c r="C16" s="136">
        <v>25</v>
      </c>
      <c r="D16" s="137">
        <f t="shared" si="4"/>
        <v>20</v>
      </c>
      <c r="E16" s="138">
        <v>1</v>
      </c>
      <c r="F16" s="139">
        <v>2</v>
      </c>
      <c r="G16" s="140">
        <f t="shared" si="5"/>
        <v>245</v>
      </c>
      <c r="H16" s="141">
        <f t="shared" ref="H16:H18" si="7">G16/365*12</f>
        <v>8.0547945205479454</v>
      </c>
      <c r="I16" s="142">
        <f t="shared" si="1"/>
        <v>12.054794520547945</v>
      </c>
      <c r="J16" s="143" t="s">
        <v>128</v>
      </c>
      <c r="K16" s="144">
        <v>1</v>
      </c>
      <c r="L16" s="145">
        <f t="shared" ref="L16:L18" si="8">+ROUNDUP(I16*K16,0)</f>
        <v>13</v>
      </c>
      <c r="M16" s="146">
        <f>임대기간!Y10</f>
        <v>13</v>
      </c>
      <c r="N16" s="181">
        <f t="shared" ref="N16:N18" si="9">M16-L16</f>
        <v>0</v>
      </c>
      <c r="O16" s="147"/>
      <c r="P16" s="148"/>
      <c r="R16" s="133">
        <f t="shared" si="6"/>
        <v>23</v>
      </c>
    </row>
    <row r="17" spans="1:30" s="133" customFormat="1" ht="20.100000000000001" customHeight="1">
      <c r="A17" s="307" t="s">
        <v>147</v>
      </c>
      <c r="B17" s="135" t="s">
        <v>66</v>
      </c>
      <c r="C17" s="136">
        <v>23</v>
      </c>
      <c r="D17" s="137">
        <f t="shared" si="4"/>
        <v>18</v>
      </c>
      <c r="E17" s="138">
        <v>1</v>
      </c>
      <c r="F17" s="139">
        <v>2</v>
      </c>
      <c r="G17" s="140">
        <f t="shared" si="5"/>
        <v>225</v>
      </c>
      <c r="H17" s="141">
        <f t="shared" si="7"/>
        <v>7.397260273972603</v>
      </c>
      <c r="I17" s="142">
        <f t="shared" si="1"/>
        <v>11.397260273972602</v>
      </c>
      <c r="J17" s="143" t="s">
        <v>128</v>
      </c>
      <c r="K17" s="144">
        <v>1</v>
      </c>
      <c r="L17" s="145">
        <f t="shared" si="8"/>
        <v>12</v>
      </c>
      <c r="M17" s="146">
        <f>임대기간!Y11</f>
        <v>12</v>
      </c>
      <c r="N17" s="181">
        <f t="shared" si="9"/>
        <v>0</v>
      </c>
      <c r="O17" s="308"/>
      <c r="P17" s="309"/>
      <c r="R17" s="133">
        <f t="shared" si="6"/>
        <v>21</v>
      </c>
      <c r="AC17" s="149"/>
    </row>
    <row r="18" spans="1:30" s="133" customFormat="1" ht="20.100000000000001" customHeight="1">
      <c r="A18" s="306"/>
      <c r="B18" s="135" t="s">
        <v>154</v>
      </c>
      <c r="C18" s="136">
        <v>23</v>
      </c>
      <c r="D18" s="137">
        <f t="shared" si="4"/>
        <v>18</v>
      </c>
      <c r="E18" s="138">
        <v>1</v>
      </c>
      <c r="F18" s="139">
        <v>2</v>
      </c>
      <c r="G18" s="140">
        <f t="shared" si="5"/>
        <v>225</v>
      </c>
      <c r="H18" s="141">
        <f t="shared" si="7"/>
        <v>7.397260273972603</v>
      </c>
      <c r="I18" s="142">
        <f t="shared" si="1"/>
        <v>11.397260273972602</v>
      </c>
      <c r="J18" s="143" t="s">
        <v>128</v>
      </c>
      <c r="K18" s="144">
        <v>1</v>
      </c>
      <c r="L18" s="145">
        <f t="shared" si="8"/>
        <v>12</v>
      </c>
      <c r="M18" s="146">
        <f>임대기간!Y12</f>
        <v>12</v>
      </c>
      <c r="N18" s="181">
        <f t="shared" si="9"/>
        <v>0</v>
      </c>
      <c r="O18" s="147"/>
      <c r="P18" s="148"/>
      <c r="R18" s="133">
        <f t="shared" si="6"/>
        <v>21</v>
      </c>
      <c r="AC18" s="149"/>
    </row>
    <row r="19" spans="1:30" s="160" customFormat="1" ht="20.100000000000001" customHeight="1">
      <c r="A19" s="283" t="s">
        <v>156</v>
      </c>
      <c r="B19" s="284"/>
      <c r="C19" s="330" t="s">
        <v>117</v>
      </c>
      <c r="D19" s="331"/>
      <c r="E19" s="331"/>
      <c r="F19" s="332"/>
      <c r="G19" s="150">
        <f>SUMIF($J$11:$J$18,C19,$G$11:$G$18)</f>
        <v>1860</v>
      </c>
      <c r="H19" s="151"/>
      <c r="I19" s="152">
        <f>SUMIF($J$11:$J$18,C19,$I$11:$I$18)</f>
        <v>93.150684931506859</v>
      </c>
      <c r="J19" s="153"/>
      <c r="K19" s="154">
        <f>SUMIF($J$11:$J$18,$C19,$K$11:$K$18)</f>
        <v>8</v>
      </c>
      <c r="L19" s="155">
        <f>SUMIF($J$11:$J$18,$C19,$L$11:$L$18)</f>
        <v>98</v>
      </c>
      <c r="M19" s="156">
        <f>SUMIF($J$11:$J$18,$C19,$M$11:$M$18)</f>
        <v>98</v>
      </c>
      <c r="N19" s="157">
        <f>SUMIF($J$11:$J$18,$C19,$N$11:$N$18)</f>
        <v>0</v>
      </c>
      <c r="O19" s="158"/>
      <c r="P19" s="159"/>
      <c r="V19" s="133"/>
    </row>
    <row r="20" spans="1:30" s="160" customFormat="1" ht="20.100000000000001" customHeight="1" thickBot="1">
      <c r="A20" s="285"/>
      <c r="B20" s="286"/>
      <c r="C20" s="287" t="s">
        <v>97</v>
      </c>
      <c r="D20" s="288"/>
      <c r="E20" s="288"/>
      <c r="F20" s="289"/>
      <c r="G20" s="161">
        <f>SUM(G11:G18)</f>
        <v>1860</v>
      </c>
      <c r="H20" s="162"/>
      <c r="I20" s="163">
        <f>SUM(I11:I18)</f>
        <v>93.150684931506859</v>
      </c>
      <c r="J20" s="164"/>
      <c r="K20" s="165">
        <f>SUM(K11:K18)</f>
        <v>8</v>
      </c>
      <c r="L20" s="166">
        <f>SUM(L11:L18)</f>
        <v>98</v>
      </c>
      <c r="M20" s="167">
        <f>SUM(M11:M18)</f>
        <v>98</v>
      </c>
      <c r="N20" s="168">
        <f>SUM(N11:N18)</f>
        <v>0</v>
      </c>
      <c r="O20" s="290"/>
      <c r="P20" s="291"/>
      <c r="V20" s="133"/>
    </row>
    <row r="21" spans="1:30" ht="20.100000000000001" customHeight="1">
      <c r="A21" s="2"/>
      <c r="B21" s="2"/>
      <c r="C21" s="92"/>
      <c r="D21" s="92"/>
      <c r="E21" s="92"/>
      <c r="F21" s="92"/>
      <c r="L21" s="169"/>
      <c r="M21" s="169"/>
      <c r="R21" s="169"/>
    </row>
    <row r="22" spans="1:30" ht="20.100000000000001" customHeight="1" thickBot="1">
      <c r="A22" s="91" t="s">
        <v>98</v>
      </c>
      <c r="B22" s="2"/>
      <c r="C22" s="92"/>
      <c r="D22" s="92"/>
      <c r="E22" s="92"/>
      <c r="F22" s="92"/>
    </row>
    <row r="23" spans="1:30" ht="20.100000000000001" customHeight="1">
      <c r="A23" s="292" t="s">
        <v>13</v>
      </c>
      <c r="B23" s="293"/>
      <c r="C23" s="294" t="s">
        <v>91</v>
      </c>
      <c r="D23" s="295"/>
      <c r="E23" s="295"/>
      <c r="F23" s="296"/>
      <c r="G23" s="297" t="s">
        <v>16</v>
      </c>
      <c r="H23" s="299" t="s">
        <v>234</v>
      </c>
      <c r="I23" s="301" t="s">
        <v>25</v>
      </c>
      <c r="J23" s="302"/>
      <c r="K23" s="302"/>
      <c r="L23" s="303"/>
      <c r="M23" s="301" t="s">
        <v>26</v>
      </c>
      <c r="N23" s="302"/>
      <c r="O23" s="302"/>
      <c r="P23" s="304"/>
    </row>
    <row r="24" spans="1:30" ht="36">
      <c r="A24" s="109" t="s">
        <v>19</v>
      </c>
      <c r="B24" s="170" t="s">
        <v>100</v>
      </c>
      <c r="C24" s="111" t="s">
        <v>20</v>
      </c>
      <c r="D24" s="112" t="s">
        <v>240</v>
      </c>
      <c r="E24" s="113" t="s">
        <v>93</v>
      </c>
      <c r="F24" s="114" t="s">
        <v>94</v>
      </c>
      <c r="G24" s="298"/>
      <c r="H24" s="300"/>
      <c r="I24" s="171" t="s">
        <v>27</v>
      </c>
      <c r="J24" s="171" t="s">
        <v>28</v>
      </c>
      <c r="K24" s="171" t="s">
        <v>29</v>
      </c>
      <c r="L24" s="171" t="s">
        <v>30</v>
      </c>
      <c r="M24" s="172" t="s">
        <v>31</v>
      </c>
      <c r="N24" s="173" t="s">
        <v>32</v>
      </c>
      <c r="O24" s="173" t="s">
        <v>33</v>
      </c>
      <c r="P24" s="174" t="s">
        <v>34</v>
      </c>
    </row>
    <row r="25" spans="1:30" s="133" customFormat="1" ht="20.100000000000001" customHeight="1">
      <c r="A25" s="305" t="s">
        <v>144</v>
      </c>
      <c r="B25" s="120" t="s">
        <v>116</v>
      </c>
      <c r="C25" s="121">
        <v>24</v>
      </c>
      <c r="D25" s="122">
        <f t="shared" ref="D25:D32" si="10">+C25-5</f>
        <v>19</v>
      </c>
      <c r="E25" s="123">
        <v>1</v>
      </c>
      <c r="F25" s="124">
        <v>2</v>
      </c>
      <c r="G25" s="128" t="s">
        <v>128</v>
      </c>
      <c r="H25" s="126">
        <f>M11</f>
        <v>12</v>
      </c>
      <c r="I25" s="182">
        <f>VLOOKUP($G25,$V$11:$W$14,2,0)*H25</f>
        <v>12</v>
      </c>
      <c r="J25" s="183">
        <f>VLOOKUP($G25,$V$11:$W$14,2,0)*(C25)</f>
        <v>24</v>
      </c>
      <c r="K25" s="129">
        <f t="shared" ref="K25:K32" si="11">J25</f>
        <v>24</v>
      </c>
      <c r="L25" s="184">
        <f t="shared" ref="L25:L32" si="12">J25</f>
        <v>24</v>
      </c>
      <c r="M25" s="185">
        <f>'설치높이 산정'!G4</f>
        <v>82</v>
      </c>
      <c r="N25" s="186">
        <f t="shared" ref="N25:N32" si="13">K11</f>
        <v>1</v>
      </c>
      <c r="O25" s="187">
        <f>I25/H25</f>
        <v>1</v>
      </c>
      <c r="P25" s="132">
        <f t="shared" ref="P25:P32" si="14">K11</f>
        <v>1</v>
      </c>
      <c r="V25" s="133" t="s">
        <v>95</v>
      </c>
      <c r="W25" s="134">
        <v>1</v>
      </c>
      <c r="X25" s="134"/>
      <c r="Y25" s="134"/>
      <c r="Z25" s="134"/>
      <c r="AA25" s="134"/>
      <c r="AB25" s="134"/>
      <c r="AC25" s="134"/>
      <c r="AD25" s="134"/>
    </row>
    <row r="26" spans="1:30" s="133" customFormat="1" ht="20.100000000000001" customHeight="1">
      <c r="A26" s="306"/>
      <c r="B26" s="135" t="s">
        <v>148</v>
      </c>
      <c r="C26" s="136">
        <v>24</v>
      </c>
      <c r="D26" s="137">
        <f t="shared" si="10"/>
        <v>19</v>
      </c>
      <c r="E26" s="138">
        <v>1</v>
      </c>
      <c r="F26" s="139">
        <v>2</v>
      </c>
      <c r="G26" s="143" t="s">
        <v>128</v>
      </c>
      <c r="H26" s="141">
        <f t="shared" ref="H26:H32" si="15">M12</f>
        <v>12</v>
      </c>
      <c r="I26" s="142">
        <f t="shared" ref="I26:I32" si="16">VLOOKUP($G26,$V$11:$W$14,2,0)*H26</f>
        <v>12</v>
      </c>
      <c r="J26" s="144">
        <f>VLOOKUP($G26,$V$11:$W$14,2,0)*(C26)</f>
        <v>24</v>
      </c>
      <c r="K26" s="144">
        <f t="shared" si="11"/>
        <v>24</v>
      </c>
      <c r="L26" s="145">
        <f t="shared" si="12"/>
        <v>24</v>
      </c>
      <c r="M26" s="188">
        <f>'설치높이 산정'!G5</f>
        <v>82</v>
      </c>
      <c r="N26" s="189">
        <f t="shared" si="13"/>
        <v>1</v>
      </c>
      <c r="O26" s="190">
        <f>I26/H26</f>
        <v>1</v>
      </c>
      <c r="P26" s="148">
        <f t="shared" si="14"/>
        <v>1</v>
      </c>
      <c r="V26" s="133" t="s">
        <v>129</v>
      </c>
      <c r="W26" s="133">
        <v>1</v>
      </c>
      <c r="X26" s="134"/>
      <c r="Y26" s="134"/>
      <c r="Z26" s="134"/>
      <c r="AA26" s="134"/>
      <c r="AB26" s="134"/>
      <c r="AC26" s="134"/>
      <c r="AD26" s="134"/>
    </row>
    <row r="27" spans="1:30" s="133" customFormat="1" ht="20.100000000000001" customHeight="1">
      <c r="A27" s="307" t="s">
        <v>145</v>
      </c>
      <c r="B27" s="135" t="s">
        <v>149</v>
      </c>
      <c r="C27" s="136">
        <v>24</v>
      </c>
      <c r="D27" s="137">
        <f t="shared" si="10"/>
        <v>19</v>
      </c>
      <c r="E27" s="138">
        <v>1</v>
      </c>
      <c r="F27" s="139">
        <v>2</v>
      </c>
      <c r="G27" s="143" t="s">
        <v>128</v>
      </c>
      <c r="H27" s="141">
        <f t="shared" si="15"/>
        <v>12</v>
      </c>
      <c r="I27" s="142">
        <f t="shared" si="16"/>
        <v>12</v>
      </c>
      <c r="J27" s="144">
        <f t="shared" ref="J27:J32" si="17">VLOOKUP($G27,$V$11:$W$14,2,0)*(C27)</f>
        <v>24</v>
      </c>
      <c r="K27" s="144">
        <f t="shared" si="11"/>
        <v>24</v>
      </c>
      <c r="L27" s="145">
        <f t="shared" si="12"/>
        <v>24</v>
      </c>
      <c r="M27" s="188">
        <f>'설치높이 산정'!G6</f>
        <v>75</v>
      </c>
      <c r="N27" s="189">
        <f t="shared" si="13"/>
        <v>1</v>
      </c>
      <c r="O27" s="190">
        <f t="shared" ref="O27:O32" si="18">I27/H27</f>
        <v>1</v>
      </c>
      <c r="P27" s="148">
        <f t="shared" si="14"/>
        <v>1</v>
      </c>
      <c r="V27" s="133" t="s">
        <v>117</v>
      </c>
      <c r="W27" s="134">
        <v>1</v>
      </c>
      <c r="X27" s="134"/>
      <c r="Y27" s="134"/>
      <c r="Z27" s="134"/>
      <c r="AA27" s="134"/>
      <c r="AB27" s="134"/>
      <c r="AC27" s="134"/>
      <c r="AD27" s="134"/>
    </row>
    <row r="28" spans="1:30" s="133" customFormat="1" ht="20.100000000000001" customHeight="1">
      <c r="A28" s="306"/>
      <c r="B28" s="135" t="s">
        <v>150</v>
      </c>
      <c r="C28" s="136">
        <v>22</v>
      </c>
      <c r="D28" s="137">
        <f t="shared" si="10"/>
        <v>17</v>
      </c>
      <c r="E28" s="138">
        <v>1</v>
      </c>
      <c r="F28" s="139">
        <v>2</v>
      </c>
      <c r="G28" s="143" t="s">
        <v>128</v>
      </c>
      <c r="H28" s="141">
        <f t="shared" si="15"/>
        <v>12</v>
      </c>
      <c r="I28" s="142">
        <f t="shared" si="16"/>
        <v>12</v>
      </c>
      <c r="J28" s="144">
        <f t="shared" si="17"/>
        <v>22</v>
      </c>
      <c r="K28" s="144">
        <f t="shared" si="11"/>
        <v>22</v>
      </c>
      <c r="L28" s="145">
        <f t="shared" si="12"/>
        <v>22</v>
      </c>
      <c r="M28" s="188">
        <f>'설치높이 산정'!G7</f>
        <v>69</v>
      </c>
      <c r="N28" s="189">
        <f t="shared" si="13"/>
        <v>1</v>
      </c>
      <c r="O28" s="190">
        <f t="shared" si="18"/>
        <v>1</v>
      </c>
      <c r="P28" s="148">
        <f t="shared" si="14"/>
        <v>1</v>
      </c>
      <c r="V28" s="133" t="s">
        <v>96</v>
      </c>
      <c r="W28" s="134">
        <v>2</v>
      </c>
      <c r="X28" s="134"/>
      <c r="Y28" s="134"/>
      <c r="Z28" s="134"/>
      <c r="AA28" s="134"/>
      <c r="AB28" s="134"/>
      <c r="AC28" s="134"/>
      <c r="AD28" s="134"/>
    </row>
    <row r="29" spans="1:30" s="133" customFormat="1" ht="20.100000000000001" customHeight="1">
      <c r="A29" s="307" t="s">
        <v>146</v>
      </c>
      <c r="B29" s="135" t="s">
        <v>66</v>
      </c>
      <c r="C29" s="136">
        <v>25</v>
      </c>
      <c r="D29" s="137">
        <f t="shared" si="10"/>
        <v>20</v>
      </c>
      <c r="E29" s="138">
        <v>1</v>
      </c>
      <c r="F29" s="139">
        <v>2</v>
      </c>
      <c r="G29" s="143" t="s">
        <v>128</v>
      </c>
      <c r="H29" s="141">
        <f t="shared" si="15"/>
        <v>13</v>
      </c>
      <c r="I29" s="142">
        <f t="shared" si="16"/>
        <v>13</v>
      </c>
      <c r="J29" s="144">
        <f t="shared" si="17"/>
        <v>25</v>
      </c>
      <c r="K29" s="144">
        <f t="shared" si="11"/>
        <v>25</v>
      </c>
      <c r="L29" s="145">
        <f t="shared" si="12"/>
        <v>25</v>
      </c>
      <c r="M29" s="188">
        <f>'설치높이 산정'!G8</f>
        <v>77</v>
      </c>
      <c r="N29" s="189">
        <f t="shared" si="13"/>
        <v>1</v>
      </c>
      <c r="O29" s="190">
        <f t="shared" si="18"/>
        <v>1</v>
      </c>
      <c r="P29" s="148">
        <f t="shared" si="14"/>
        <v>1</v>
      </c>
    </row>
    <row r="30" spans="1:30" s="133" customFormat="1" ht="20.100000000000001" customHeight="1">
      <c r="A30" s="306"/>
      <c r="B30" s="135" t="s">
        <v>154</v>
      </c>
      <c r="C30" s="136">
        <v>25</v>
      </c>
      <c r="D30" s="137">
        <f t="shared" si="10"/>
        <v>20</v>
      </c>
      <c r="E30" s="138">
        <v>1</v>
      </c>
      <c r="F30" s="139">
        <v>2</v>
      </c>
      <c r="G30" s="143" t="s">
        <v>128</v>
      </c>
      <c r="H30" s="141">
        <f t="shared" si="15"/>
        <v>13</v>
      </c>
      <c r="I30" s="142">
        <f t="shared" si="16"/>
        <v>13</v>
      </c>
      <c r="J30" s="144">
        <f t="shared" si="17"/>
        <v>25</v>
      </c>
      <c r="K30" s="144">
        <f t="shared" si="11"/>
        <v>25</v>
      </c>
      <c r="L30" s="145">
        <f t="shared" si="12"/>
        <v>25</v>
      </c>
      <c r="M30" s="188">
        <f>'설치높이 산정'!G9</f>
        <v>77</v>
      </c>
      <c r="N30" s="189">
        <f t="shared" si="13"/>
        <v>1</v>
      </c>
      <c r="O30" s="190">
        <f t="shared" si="18"/>
        <v>1</v>
      </c>
      <c r="P30" s="148">
        <f t="shared" si="14"/>
        <v>1</v>
      </c>
    </row>
    <row r="31" spans="1:30" s="133" customFormat="1" ht="20.100000000000001" customHeight="1">
      <c r="A31" s="307" t="s">
        <v>147</v>
      </c>
      <c r="B31" s="135" t="s">
        <v>66</v>
      </c>
      <c r="C31" s="136">
        <v>23</v>
      </c>
      <c r="D31" s="137">
        <f t="shared" si="10"/>
        <v>18</v>
      </c>
      <c r="E31" s="138">
        <v>1</v>
      </c>
      <c r="F31" s="139">
        <v>2</v>
      </c>
      <c r="G31" s="143" t="s">
        <v>128</v>
      </c>
      <c r="H31" s="141">
        <f t="shared" si="15"/>
        <v>12</v>
      </c>
      <c r="I31" s="142">
        <f t="shared" si="16"/>
        <v>12</v>
      </c>
      <c r="J31" s="144">
        <f t="shared" si="17"/>
        <v>23</v>
      </c>
      <c r="K31" s="144">
        <f t="shared" si="11"/>
        <v>23</v>
      </c>
      <c r="L31" s="145">
        <f t="shared" si="12"/>
        <v>23</v>
      </c>
      <c r="M31" s="188">
        <f>'설치높이 산정'!G10</f>
        <v>78</v>
      </c>
      <c r="N31" s="189">
        <f t="shared" si="13"/>
        <v>1</v>
      </c>
      <c r="O31" s="190">
        <f t="shared" si="18"/>
        <v>1</v>
      </c>
      <c r="P31" s="148">
        <f t="shared" si="14"/>
        <v>1</v>
      </c>
      <c r="AC31" s="149"/>
    </row>
    <row r="32" spans="1:30" s="133" customFormat="1" ht="20.100000000000001" customHeight="1">
      <c r="A32" s="306"/>
      <c r="B32" s="135" t="s">
        <v>154</v>
      </c>
      <c r="C32" s="136">
        <v>23</v>
      </c>
      <c r="D32" s="137">
        <f t="shared" si="10"/>
        <v>18</v>
      </c>
      <c r="E32" s="138">
        <v>1</v>
      </c>
      <c r="F32" s="139">
        <v>2</v>
      </c>
      <c r="G32" s="143" t="s">
        <v>128</v>
      </c>
      <c r="H32" s="141">
        <f t="shared" si="15"/>
        <v>12</v>
      </c>
      <c r="I32" s="191">
        <f t="shared" si="16"/>
        <v>12</v>
      </c>
      <c r="J32" s="144">
        <f t="shared" si="17"/>
        <v>23</v>
      </c>
      <c r="K32" s="144">
        <f t="shared" si="11"/>
        <v>23</v>
      </c>
      <c r="L32" s="145">
        <f t="shared" si="12"/>
        <v>23</v>
      </c>
      <c r="M32" s="192">
        <f>'설치높이 산정'!G11</f>
        <v>75</v>
      </c>
      <c r="N32" s="193">
        <f t="shared" si="13"/>
        <v>1</v>
      </c>
      <c r="O32" s="190">
        <f t="shared" si="18"/>
        <v>1</v>
      </c>
      <c r="P32" s="148">
        <f t="shared" si="14"/>
        <v>1</v>
      </c>
      <c r="AC32" s="149"/>
    </row>
    <row r="33" spans="1:16" ht="20.100000000000001" customHeight="1">
      <c r="A33" s="283" t="s">
        <v>156</v>
      </c>
      <c r="B33" s="284"/>
      <c r="C33" s="280" t="s">
        <v>117</v>
      </c>
      <c r="D33" s="281"/>
      <c r="E33" s="281"/>
      <c r="F33" s="282"/>
      <c r="G33" s="150"/>
      <c r="H33" s="150">
        <f>SUMIF($G$25:$G$32,C33,$H$25:$H$32)</f>
        <v>98</v>
      </c>
      <c r="I33" s="150">
        <f>SUMIF($G$25:$G$32,$C$33,$I$25:$I$32)</f>
        <v>98</v>
      </c>
      <c r="J33" s="150">
        <f>SUMIF($G$25:$G$32,$C$33,$J$25:$J$32)</f>
        <v>190</v>
      </c>
      <c r="K33" s="150">
        <f>SUMIF($G$25:$G$32,$C$33,K$25:K$32)</f>
        <v>190</v>
      </c>
      <c r="L33" s="150">
        <f t="shared" ref="L33:P33" si="19">SUMIF($G$25:$G$32,$C$33,L$25:L$32)</f>
        <v>190</v>
      </c>
      <c r="M33" s="150">
        <f t="shared" si="19"/>
        <v>615</v>
      </c>
      <c r="N33" s="150">
        <f t="shared" si="19"/>
        <v>8</v>
      </c>
      <c r="O33" s="150">
        <f t="shared" si="19"/>
        <v>8</v>
      </c>
      <c r="P33" s="150">
        <f t="shared" si="19"/>
        <v>8</v>
      </c>
    </row>
    <row r="34" spans="1:16" ht="20.100000000000001" customHeight="1" thickBot="1">
      <c r="A34" s="285"/>
      <c r="B34" s="286"/>
      <c r="C34" s="287" t="s">
        <v>97</v>
      </c>
      <c r="D34" s="288"/>
      <c r="E34" s="288"/>
      <c r="F34" s="289"/>
      <c r="G34" s="175"/>
      <c r="H34" s="176">
        <f>H33</f>
        <v>98</v>
      </c>
      <c r="I34" s="176">
        <f t="shared" ref="I34:P34" si="20">SUM(I25:I32)</f>
        <v>98</v>
      </c>
      <c r="J34" s="176">
        <f>J33</f>
        <v>190</v>
      </c>
      <c r="K34" s="176">
        <f t="shared" si="20"/>
        <v>190</v>
      </c>
      <c r="L34" s="176">
        <f t="shared" si="20"/>
        <v>190</v>
      </c>
      <c r="M34" s="177">
        <f t="shared" si="20"/>
        <v>615</v>
      </c>
      <c r="N34" s="178">
        <f t="shared" si="20"/>
        <v>8</v>
      </c>
      <c r="O34" s="178">
        <f t="shared" si="20"/>
        <v>8</v>
      </c>
      <c r="P34" s="179">
        <f t="shared" si="20"/>
        <v>8</v>
      </c>
    </row>
    <row r="35" spans="1:16" ht="15" customHeight="1"/>
  </sheetData>
  <mergeCells count="46">
    <mergeCell ref="C19:F19"/>
    <mergeCell ref="A15:A16"/>
    <mergeCell ref="A17:A18"/>
    <mergeCell ref="O14:P14"/>
    <mergeCell ref="O15:P15"/>
    <mergeCell ref="O17:P17"/>
    <mergeCell ref="A1:P1"/>
    <mergeCell ref="A2:P2"/>
    <mergeCell ref="H7:K7"/>
    <mergeCell ref="A9:B9"/>
    <mergeCell ref="C9:F9"/>
    <mergeCell ref="G9:G10"/>
    <mergeCell ref="H9:I9"/>
    <mergeCell ref="J9:J10"/>
    <mergeCell ref="K9:K10"/>
    <mergeCell ref="L9:N9"/>
    <mergeCell ref="A11:A12"/>
    <mergeCell ref="A13:A14"/>
    <mergeCell ref="O13:P13"/>
    <mergeCell ref="O9:P10"/>
    <mergeCell ref="AD9:AD10"/>
    <mergeCell ref="O11:P11"/>
    <mergeCell ref="O12:P12"/>
    <mergeCell ref="Z9:Z10"/>
    <mergeCell ref="AA9:AA10"/>
    <mergeCell ref="W9:W10"/>
    <mergeCell ref="X9:X10"/>
    <mergeCell ref="Y9:Y10"/>
    <mergeCell ref="AB9:AB10"/>
    <mergeCell ref="AC9:AC10"/>
    <mergeCell ref="C33:F33"/>
    <mergeCell ref="A33:B34"/>
    <mergeCell ref="C34:F34"/>
    <mergeCell ref="O20:P20"/>
    <mergeCell ref="A23:B23"/>
    <mergeCell ref="C23:F23"/>
    <mergeCell ref="G23:G24"/>
    <mergeCell ref="H23:H24"/>
    <mergeCell ref="I23:L23"/>
    <mergeCell ref="M23:P23"/>
    <mergeCell ref="A25:A26"/>
    <mergeCell ref="A27:A28"/>
    <mergeCell ref="A29:A30"/>
    <mergeCell ref="A31:A32"/>
    <mergeCell ref="A19:B20"/>
    <mergeCell ref="C20:F20"/>
  </mergeCells>
  <phoneticPr fontId="2" type="noConversion"/>
  <dataValidations count="1">
    <dataValidation type="list" allowBlank="1" showInputMessage="1" showErrorMessage="1" sqref="J11:J18 G25:G32" xr:uid="{00000000-0002-0000-0300-000000000000}">
      <formula1>$V$11:$V$14</formula1>
    </dataValidation>
  </dataValidations>
  <printOptions horizontalCentered="1"/>
  <pageMargins left="0.31496062992125984" right="0.31496062992125984" top="0.59055118110236227" bottom="0.39370078740157483" header="0.39370078740157483" footer="0.19685039370078741"/>
  <pageSetup paperSize="9" scale="7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"/>
  <sheetViews>
    <sheetView view="pageBreakPreview" zoomScaleNormal="100" zoomScaleSheetLayoutView="100" workbookViewId="0">
      <selection activeCell="E7" sqref="E7"/>
    </sheetView>
  </sheetViews>
  <sheetFormatPr defaultColWidth="8.88671875" defaultRowHeight="13.5"/>
  <cols>
    <col min="1" max="2" width="8.77734375" style="31" customWidth="1"/>
    <col min="3" max="3" width="5.77734375" style="31" customWidth="1"/>
    <col min="4" max="4" width="11.5546875" style="31" customWidth="1"/>
    <col min="5" max="5" width="59.21875" style="31" bestFit="1" customWidth="1"/>
    <col min="6" max="8" width="10.77734375" style="31" customWidth="1"/>
    <col min="9" max="16384" width="8.88671875" style="31"/>
  </cols>
  <sheetData>
    <row r="1" spans="1:16" ht="27" customHeight="1">
      <c r="A1" s="278" t="s">
        <v>216</v>
      </c>
      <c r="B1" s="278"/>
      <c r="C1" s="278"/>
      <c r="D1" s="278"/>
      <c r="E1" s="278"/>
      <c r="F1" s="278"/>
      <c r="G1" s="278"/>
      <c r="H1" s="278"/>
    </row>
    <row r="2" spans="1:16" ht="27" customHeight="1">
      <c r="A2" s="31" t="str">
        <f>건설용리프트설치위치도!A2</f>
        <v>■ 현장명 : 부산장안</v>
      </c>
    </row>
    <row r="3" spans="1:16" ht="27" customHeight="1">
      <c r="A3" s="194" t="s">
        <v>73</v>
      </c>
      <c r="B3" s="194" t="s">
        <v>239</v>
      </c>
      <c r="C3" s="194" t="s">
        <v>238</v>
      </c>
      <c r="D3" s="194" t="s">
        <v>237</v>
      </c>
      <c r="E3" s="194" t="s">
        <v>236</v>
      </c>
      <c r="F3" s="194" t="s">
        <v>75</v>
      </c>
      <c r="G3" s="194" t="s">
        <v>133</v>
      </c>
      <c r="H3" s="194" t="s">
        <v>235</v>
      </c>
      <c r="I3" s="31" t="s">
        <v>134</v>
      </c>
      <c r="J3" s="31" t="s">
        <v>155</v>
      </c>
      <c r="K3" s="31" t="s">
        <v>135</v>
      </c>
      <c r="L3" s="31" t="s">
        <v>140</v>
      </c>
      <c r="M3" s="31" t="s">
        <v>136</v>
      </c>
      <c r="N3" s="31" t="s">
        <v>137</v>
      </c>
      <c r="O3" s="31" t="s">
        <v>138</v>
      </c>
      <c r="P3" s="31" t="s">
        <v>139</v>
      </c>
    </row>
    <row r="4" spans="1:16" ht="27" customHeight="1">
      <c r="A4" s="333" t="s">
        <v>144</v>
      </c>
      <c r="B4" s="195" t="str">
        <f>임대기간!B5</f>
        <v>1~3호</v>
      </c>
      <c r="C4" s="196">
        <f>임대기간!C5</f>
        <v>24</v>
      </c>
      <c r="D4" s="196" t="s">
        <v>109</v>
      </c>
      <c r="E4" s="197" t="s">
        <v>204</v>
      </c>
      <c r="F4" s="198">
        <f>8.75+3.08*1+2.88*22+3.08+3</f>
        <v>81.27</v>
      </c>
      <c r="G4" s="198">
        <f>ROUNDUP(F4,0)</f>
        <v>82</v>
      </c>
      <c r="H4" s="199"/>
      <c r="I4" s="62">
        <v>8.75</v>
      </c>
      <c r="J4" s="62">
        <v>3.08</v>
      </c>
      <c r="K4" s="62">
        <v>2.88</v>
      </c>
      <c r="L4" s="57">
        <v>22</v>
      </c>
      <c r="M4" s="62">
        <v>3.08</v>
      </c>
      <c r="N4" s="57">
        <v>3</v>
      </c>
      <c r="O4" s="57">
        <f t="shared" ref="O4:O11" si="0">I4+J4*1+K4*L4+M4+N4</f>
        <v>81.27</v>
      </c>
      <c r="P4" s="58">
        <f>ROUNDUP(O4,0)</f>
        <v>82</v>
      </c>
    </row>
    <row r="5" spans="1:16" ht="27" customHeight="1">
      <c r="A5" s="334"/>
      <c r="B5" s="195" t="str">
        <f>임대기간!B6</f>
        <v>4~5호</v>
      </c>
      <c r="C5" s="196">
        <f>임대기간!C6</f>
        <v>24</v>
      </c>
      <c r="D5" s="196" t="s">
        <v>108</v>
      </c>
      <c r="E5" s="197" t="s">
        <v>205</v>
      </c>
      <c r="F5" s="198">
        <f>8.75+3.08*1+2.88*22+3.08+3</f>
        <v>81.27</v>
      </c>
      <c r="G5" s="198">
        <f t="shared" ref="G5:G11" si="1">ROUNDUP(F5,0)</f>
        <v>82</v>
      </c>
      <c r="H5" s="197"/>
      <c r="I5" s="62">
        <v>8.75</v>
      </c>
      <c r="J5" s="62">
        <v>3.08</v>
      </c>
      <c r="K5" s="62">
        <v>2.88</v>
      </c>
      <c r="L5" s="57">
        <v>22</v>
      </c>
      <c r="M5" s="62">
        <v>3.08</v>
      </c>
      <c r="N5" s="57">
        <v>3</v>
      </c>
      <c r="O5" s="57">
        <f t="shared" si="0"/>
        <v>81.27</v>
      </c>
      <c r="P5" s="58">
        <f t="shared" ref="P5:P11" si="2">ROUNDUP(O5,0)</f>
        <v>82</v>
      </c>
    </row>
    <row r="6" spans="1:16" ht="27" customHeight="1">
      <c r="A6" s="333" t="s">
        <v>145</v>
      </c>
      <c r="B6" s="195" t="str">
        <f>임대기간!B7</f>
        <v>1~3호</v>
      </c>
      <c r="C6" s="196">
        <f>임대기간!C7</f>
        <v>24</v>
      </c>
      <c r="D6" s="196" t="s">
        <v>108</v>
      </c>
      <c r="E6" s="197" t="s">
        <v>182</v>
      </c>
      <c r="F6" s="198">
        <f>1.6+3.08*1+2.88*22+3.08+3</f>
        <v>74.11999999999999</v>
      </c>
      <c r="G6" s="198">
        <f t="shared" si="1"/>
        <v>75</v>
      </c>
      <c r="H6" s="197"/>
      <c r="I6" s="62">
        <v>1.6</v>
      </c>
      <c r="J6" s="62">
        <v>3.08</v>
      </c>
      <c r="K6" s="62">
        <v>2.88</v>
      </c>
      <c r="L6" s="57">
        <v>22</v>
      </c>
      <c r="M6" s="62">
        <v>3.08</v>
      </c>
      <c r="N6" s="57">
        <v>3</v>
      </c>
      <c r="O6" s="57">
        <f t="shared" si="0"/>
        <v>74.11999999999999</v>
      </c>
      <c r="P6" s="58">
        <f t="shared" si="2"/>
        <v>75</v>
      </c>
    </row>
    <row r="7" spans="1:16" ht="27" customHeight="1">
      <c r="A7" s="334"/>
      <c r="B7" s="195" t="str">
        <f>임대기간!B8</f>
        <v>4~5호</v>
      </c>
      <c r="C7" s="196">
        <f>임대기간!C8</f>
        <v>22</v>
      </c>
      <c r="D7" s="196" t="s">
        <v>108</v>
      </c>
      <c r="E7" s="197" t="s">
        <v>183</v>
      </c>
      <c r="F7" s="198">
        <f>1.6+3.08*1+2.88*20+3.08+3</f>
        <v>68.36</v>
      </c>
      <c r="G7" s="198">
        <f t="shared" si="1"/>
        <v>69</v>
      </c>
      <c r="H7" s="197"/>
      <c r="I7" s="62">
        <v>1.6</v>
      </c>
      <c r="J7" s="62">
        <v>3.08</v>
      </c>
      <c r="K7" s="62">
        <v>2.88</v>
      </c>
      <c r="L7" s="57">
        <v>20</v>
      </c>
      <c r="M7" s="62">
        <v>3.08</v>
      </c>
      <c r="N7" s="57">
        <v>3</v>
      </c>
      <c r="O7" s="57">
        <f t="shared" si="0"/>
        <v>68.36</v>
      </c>
      <c r="P7" s="58">
        <f t="shared" si="2"/>
        <v>69</v>
      </c>
    </row>
    <row r="8" spans="1:16" ht="27" customHeight="1">
      <c r="A8" s="333" t="s">
        <v>146</v>
      </c>
      <c r="B8" s="195" t="str">
        <f>임대기간!B9</f>
        <v>1~2호</v>
      </c>
      <c r="C8" s="196">
        <f>임대기간!C9</f>
        <v>25</v>
      </c>
      <c r="D8" s="196" t="s">
        <v>108</v>
      </c>
      <c r="E8" s="197" t="s">
        <v>184</v>
      </c>
      <c r="F8" s="198">
        <f>1.6+3.08*1+2.88*23+3.08+3</f>
        <v>76.999999999999986</v>
      </c>
      <c r="G8" s="198">
        <f t="shared" si="1"/>
        <v>77</v>
      </c>
      <c r="H8" s="197"/>
      <c r="I8" s="62">
        <v>1.6</v>
      </c>
      <c r="J8" s="62">
        <v>3.08</v>
      </c>
      <c r="K8" s="62">
        <v>2.88</v>
      </c>
      <c r="L8" s="57">
        <v>23</v>
      </c>
      <c r="M8" s="62">
        <v>3.08</v>
      </c>
      <c r="N8" s="57">
        <v>3</v>
      </c>
      <c r="O8" s="57">
        <f t="shared" si="0"/>
        <v>76.999999999999986</v>
      </c>
      <c r="P8" s="58">
        <f t="shared" si="2"/>
        <v>77</v>
      </c>
    </row>
    <row r="9" spans="1:16" ht="27" customHeight="1">
      <c r="A9" s="334"/>
      <c r="B9" s="195" t="str">
        <f>임대기간!B10</f>
        <v>3~4호</v>
      </c>
      <c r="C9" s="196">
        <f>임대기간!C10</f>
        <v>25</v>
      </c>
      <c r="D9" s="196" t="s">
        <v>108</v>
      </c>
      <c r="E9" s="197" t="s">
        <v>184</v>
      </c>
      <c r="F9" s="198">
        <f>1.6+3.08*1+2.88*23+3.08+3</f>
        <v>76.999999999999986</v>
      </c>
      <c r="G9" s="198">
        <f t="shared" si="1"/>
        <v>77</v>
      </c>
      <c r="H9" s="197"/>
      <c r="I9" s="62">
        <v>1.6</v>
      </c>
      <c r="J9" s="62">
        <v>3.08</v>
      </c>
      <c r="K9" s="62">
        <v>2.88</v>
      </c>
      <c r="L9" s="57">
        <v>23</v>
      </c>
      <c r="M9" s="62">
        <v>3.08</v>
      </c>
      <c r="N9" s="57">
        <v>3</v>
      </c>
      <c r="O9" s="57">
        <f t="shared" si="0"/>
        <v>76.999999999999986</v>
      </c>
      <c r="P9" s="58">
        <f t="shared" si="2"/>
        <v>77</v>
      </c>
    </row>
    <row r="10" spans="1:16" ht="27" customHeight="1">
      <c r="A10" s="333" t="s">
        <v>147</v>
      </c>
      <c r="B10" s="195" t="str">
        <f>임대기간!B11</f>
        <v>1~2호</v>
      </c>
      <c r="C10" s="196">
        <f>임대기간!C11</f>
        <v>23</v>
      </c>
      <c r="D10" s="196" t="s">
        <v>108</v>
      </c>
      <c r="E10" s="197" t="s">
        <v>209</v>
      </c>
      <c r="F10" s="198">
        <f>7.85+3+2.88*21+3.08+3</f>
        <v>77.41</v>
      </c>
      <c r="G10" s="198">
        <f t="shared" si="1"/>
        <v>78</v>
      </c>
      <c r="H10" s="197"/>
      <c r="I10" s="62">
        <v>7.85</v>
      </c>
      <c r="J10" s="57">
        <v>3</v>
      </c>
      <c r="K10" s="62">
        <v>2.88</v>
      </c>
      <c r="L10" s="57">
        <v>21</v>
      </c>
      <c r="M10" s="62">
        <v>3.08</v>
      </c>
      <c r="N10" s="57">
        <v>3</v>
      </c>
      <c r="O10" s="57">
        <f t="shared" si="0"/>
        <v>77.41</v>
      </c>
      <c r="P10" s="58">
        <f t="shared" si="2"/>
        <v>78</v>
      </c>
    </row>
    <row r="11" spans="1:16" ht="27" customHeight="1">
      <c r="A11" s="334"/>
      <c r="B11" s="195" t="str">
        <f>임대기간!B12</f>
        <v>3~4호</v>
      </c>
      <c r="C11" s="196">
        <f>임대기간!C12</f>
        <v>23</v>
      </c>
      <c r="D11" s="196" t="s">
        <v>108</v>
      </c>
      <c r="E11" s="197" t="s">
        <v>210</v>
      </c>
      <c r="F11" s="198">
        <f>5.15+3+2.88*21+3.08+3</f>
        <v>74.709999999999994</v>
      </c>
      <c r="G11" s="198">
        <f t="shared" si="1"/>
        <v>75</v>
      </c>
      <c r="H11" s="197"/>
      <c r="I11" s="62">
        <v>5.15</v>
      </c>
      <c r="J11" s="57">
        <v>3</v>
      </c>
      <c r="K11" s="62">
        <v>2.88</v>
      </c>
      <c r="L11" s="57">
        <v>21</v>
      </c>
      <c r="M11" s="62">
        <v>3.08</v>
      </c>
      <c r="N11" s="57">
        <v>3</v>
      </c>
      <c r="O11" s="57">
        <f t="shared" si="0"/>
        <v>74.709999999999994</v>
      </c>
      <c r="P11" s="58">
        <f t="shared" si="2"/>
        <v>75</v>
      </c>
    </row>
    <row r="12" spans="1:16" ht="27" customHeight="1">
      <c r="A12" s="203" t="s">
        <v>77</v>
      </c>
      <c r="B12" s="203"/>
      <c r="C12" s="203"/>
      <c r="D12" s="203"/>
      <c r="E12" s="204"/>
      <c r="F12" s="205">
        <f>ROUNDUP(SUM(F4:F11),0)</f>
        <v>612</v>
      </c>
      <c r="G12" s="205">
        <f>SUM(G4:G11)</f>
        <v>615</v>
      </c>
      <c r="H12" s="204"/>
      <c r="K12" s="63"/>
      <c r="P12" s="58">
        <f>SUM(P4:P11)</f>
        <v>615</v>
      </c>
    </row>
  </sheetData>
  <mergeCells count="5">
    <mergeCell ref="A1:H1"/>
    <mergeCell ref="A4:A5"/>
    <mergeCell ref="A10:A11"/>
    <mergeCell ref="A6:A7"/>
    <mergeCell ref="A8:A9"/>
  </mergeCells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scale="8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48"/>
  <sheetViews>
    <sheetView showGridLines="0" view="pageBreakPreview" zoomScaleNormal="25" zoomScaleSheetLayoutView="100" workbookViewId="0"/>
  </sheetViews>
  <sheetFormatPr defaultColWidth="8.88671875" defaultRowHeight="20.25"/>
  <cols>
    <col min="1" max="1" width="2.77734375" style="206" customWidth="1"/>
    <col min="2" max="2" width="12.77734375" style="206" customWidth="1"/>
    <col min="3" max="3" width="11.77734375" style="206" customWidth="1"/>
    <col min="4" max="4" width="10.77734375" style="206" customWidth="1"/>
    <col min="5" max="6" width="0.88671875" style="206" customWidth="1"/>
    <col min="7" max="7" width="12.77734375" style="206" customWidth="1"/>
    <col min="8" max="8" width="11.77734375" style="206" customWidth="1"/>
    <col min="9" max="9" width="10.77734375" style="206" customWidth="1"/>
    <col min="10" max="10" width="2.77734375" style="206" customWidth="1"/>
    <col min="11" max="16384" width="8.88671875" style="206"/>
  </cols>
  <sheetData>
    <row r="1" spans="1:10" ht="20.100000000000001" customHeight="1">
      <c r="A1" s="221"/>
      <c r="B1" s="222"/>
      <c r="C1" s="222"/>
      <c r="D1" s="222"/>
      <c r="E1" s="222"/>
      <c r="F1" s="222"/>
      <c r="G1" s="222"/>
      <c r="H1" s="222"/>
      <c r="I1" s="222"/>
      <c r="J1" s="223"/>
    </row>
    <row r="2" spans="1:10">
      <c r="A2" s="224"/>
      <c r="B2" s="206" t="s">
        <v>158</v>
      </c>
      <c r="J2" s="225"/>
    </row>
    <row r="3" spans="1:10">
      <c r="A3" s="224"/>
      <c r="J3" s="225"/>
    </row>
    <row r="4" spans="1:10">
      <c r="A4" s="224"/>
      <c r="J4" s="225"/>
    </row>
    <row r="5" spans="1:10">
      <c r="A5" s="224"/>
      <c r="J5" s="225"/>
    </row>
    <row r="6" spans="1:10">
      <c r="A6" s="224"/>
      <c r="J6" s="225"/>
    </row>
    <row r="7" spans="1:10">
      <c r="A7" s="224"/>
      <c r="J7" s="225"/>
    </row>
    <row r="8" spans="1:10">
      <c r="A8" s="224"/>
      <c r="J8" s="225"/>
    </row>
    <row r="9" spans="1:10">
      <c r="A9" s="224"/>
      <c r="J9" s="225"/>
    </row>
    <row r="10" spans="1:10">
      <c r="A10" s="224"/>
      <c r="J10" s="225"/>
    </row>
    <row r="11" spans="1:10">
      <c r="A11" s="224"/>
      <c r="J11" s="225"/>
    </row>
    <row r="12" spans="1:10">
      <c r="A12" s="224"/>
      <c r="J12" s="225"/>
    </row>
    <row r="13" spans="1:10">
      <c r="A13" s="224"/>
      <c r="J13" s="225"/>
    </row>
    <row r="14" spans="1:10">
      <c r="A14" s="224"/>
      <c r="J14" s="225"/>
    </row>
    <row r="15" spans="1:10">
      <c r="A15" s="224"/>
      <c r="J15" s="225"/>
    </row>
    <row r="16" spans="1:10">
      <c r="A16" s="224"/>
      <c r="J16" s="225"/>
    </row>
    <row r="17" spans="1:10">
      <c r="A17" s="224"/>
      <c r="J17" s="225"/>
    </row>
    <row r="18" spans="1:10">
      <c r="A18" s="224"/>
      <c r="J18" s="225"/>
    </row>
    <row r="19" spans="1:10">
      <c r="A19" s="224"/>
      <c r="J19" s="225"/>
    </row>
    <row r="20" spans="1:10">
      <c r="A20" s="224"/>
      <c r="J20" s="225"/>
    </row>
    <row r="21" spans="1:10">
      <c r="A21" s="224"/>
      <c r="J21" s="225"/>
    </row>
    <row r="22" spans="1:10">
      <c r="A22" s="224"/>
      <c r="J22" s="225"/>
    </row>
    <row r="23" spans="1:10">
      <c r="A23" s="224"/>
      <c r="J23" s="225"/>
    </row>
    <row r="24" spans="1:10">
      <c r="A24" s="224"/>
      <c r="J24" s="225"/>
    </row>
    <row r="25" spans="1:10">
      <c r="A25" s="224"/>
      <c r="J25" s="225"/>
    </row>
    <row r="26" spans="1:10">
      <c r="A26" s="224"/>
      <c r="J26" s="225"/>
    </row>
    <row r="27" spans="1:10">
      <c r="A27" s="224"/>
      <c r="J27" s="225"/>
    </row>
    <row r="28" spans="1:10">
      <c r="A28" s="224"/>
      <c r="J28" s="225"/>
    </row>
    <row r="29" spans="1:10">
      <c r="A29" s="224"/>
      <c r="B29" s="229" t="s">
        <v>159</v>
      </c>
      <c r="G29" s="229" t="s">
        <v>160</v>
      </c>
      <c r="J29" s="225"/>
    </row>
    <row r="30" spans="1:10">
      <c r="A30" s="224"/>
      <c r="B30" s="207" t="s">
        <v>13</v>
      </c>
      <c r="C30" s="207" t="s">
        <v>244</v>
      </c>
      <c r="D30" s="207" t="s">
        <v>246</v>
      </c>
      <c r="G30" s="207" t="s">
        <v>13</v>
      </c>
      <c r="H30" s="207" t="s">
        <v>244</v>
      </c>
      <c r="I30" s="207" t="s">
        <v>82</v>
      </c>
      <c r="J30" s="225"/>
    </row>
    <row r="31" spans="1:10">
      <c r="A31" s="224"/>
      <c r="B31" s="211" t="s">
        <v>80</v>
      </c>
      <c r="C31" s="212" t="s">
        <v>132</v>
      </c>
      <c r="D31" s="213">
        <v>3</v>
      </c>
      <c r="G31" s="211" t="s">
        <v>80</v>
      </c>
      <c r="H31" s="217" t="s">
        <v>132</v>
      </c>
      <c r="I31" s="218">
        <v>3</v>
      </c>
      <c r="J31" s="225"/>
    </row>
    <row r="32" spans="1:10">
      <c r="A32" s="224"/>
      <c r="B32" s="211" t="s">
        <v>79</v>
      </c>
      <c r="C32" s="212" t="s">
        <v>169</v>
      </c>
      <c r="D32" s="213">
        <v>3.08</v>
      </c>
      <c r="G32" s="211" t="s">
        <v>79</v>
      </c>
      <c r="H32" s="217" t="s">
        <v>169</v>
      </c>
      <c r="I32" s="218">
        <v>3.08</v>
      </c>
      <c r="J32" s="225"/>
    </row>
    <row r="33" spans="1:14">
      <c r="A33" s="224"/>
      <c r="B33" s="211" t="s">
        <v>163</v>
      </c>
      <c r="C33" s="212" t="s">
        <v>168</v>
      </c>
      <c r="D33" s="213">
        <f>22*2.88</f>
        <v>63.36</v>
      </c>
      <c r="G33" s="211" t="s">
        <v>163</v>
      </c>
      <c r="H33" s="217" t="s">
        <v>168</v>
      </c>
      <c r="I33" s="218">
        <f>22*2.88</f>
        <v>63.36</v>
      </c>
      <c r="J33" s="225"/>
    </row>
    <row r="34" spans="1:14">
      <c r="A34" s="224"/>
      <c r="B34" s="211" t="s">
        <v>162</v>
      </c>
      <c r="C34" s="212" t="s">
        <v>169</v>
      </c>
      <c r="D34" s="213">
        <f>1*3.08</f>
        <v>3.08</v>
      </c>
      <c r="G34" s="211" t="s">
        <v>162</v>
      </c>
      <c r="H34" s="217" t="s">
        <v>169</v>
      </c>
      <c r="I34" s="218">
        <f>1*3.08</f>
        <v>3.08</v>
      </c>
      <c r="J34" s="225"/>
    </row>
    <row r="35" spans="1:14">
      <c r="A35" s="224"/>
      <c r="B35" s="214" t="s">
        <v>199</v>
      </c>
      <c r="C35" s="215" t="s">
        <v>206</v>
      </c>
      <c r="D35" s="216">
        <v>8.75</v>
      </c>
      <c r="G35" s="214" t="s">
        <v>199</v>
      </c>
      <c r="H35" s="219" t="s">
        <v>206</v>
      </c>
      <c r="I35" s="220">
        <v>8.75</v>
      </c>
      <c r="J35" s="225"/>
      <c r="N35" s="208"/>
    </row>
    <row r="36" spans="1:14">
      <c r="A36" s="224"/>
      <c r="B36" s="335" t="s">
        <v>247</v>
      </c>
      <c r="C36" s="336"/>
      <c r="D36" s="210">
        <f>SUM(D31:D35)</f>
        <v>81.27</v>
      </c>
      <c r="G36" s="335" t="s">
        <v>81</v>
      </c>
      <c r="H36" s="336"/>
      <c r="I36" s="209">
        <f>SUM(I31:I35)</f>
        <v>81.27</v>
      </c>
      <c r="J36" s="225"/>
    </row>
    <row r="37" spans="1:14">
      <c r="A37" s="226"/>
      <c r="B37" s="227"/>
      <c r="C37" s="227"/>
      <c r="D37" s="227"/>
      <c r="E37" s="227"/>
      <c r="F37" s="227"/>
      <c r="G37" s="227"/>
      <c r="H37" s="227"/>
      <c r="I37" s="227"/>
      <c r="J37" s="228"/>
    </row>
    <row r="38" spans="1:14">
      <c r="A38" s="221"/>
      <c r="B38" s="222"/>
      <c r="C38" s="222"/>
      <c r="D38" s="222"/>
      <c r="E38" s="222"/>
      <c r="F38" s="222"/>
      <c r="G38" s="222"/>
      <c r="H38" s="222"/>
      <c r="I38" s="222"/>
      <c r="J38" s="223"/>
    </row>
    <row r="39" spans="1:14">
      <c r="A39" s="224"/>
      <c r="B39" s="206" t="s">
        <v>165</v>
      </c>
      <c r="J39" s="225"/>
    </row>
    <row r="40" spans="1:14">
      <c r="A40" s="224"/>
      <c r="J40" s="225"/>
    </row>
    <row r="41" spans="1:14">
      <c r="A41" s="224"/>
      <c r="J41" s="225"/>
    </row>
    <row r="42" spans="1:14">
      <c r="A42" s="224"/>
      <c r="J42" s="225"/>
    </row>
    <row r="43" spans="1:14">
      <c r="A43" s="224"/>
      <c r="J43" s="225"/>
    </row>
    <row r="44" spans="1:14">
      <c r="A44" s="224"/>
      <c r="J44" s="225"/>
    </row>
    <row r="45" spans="1:14">
      <c r="A45" s="224"/>
      <c r="J45" s="225"/>
    </row>
    <row r="46" spans="1:14">
      <c r="A46" s="224"/>
      <c r="J46" s="225"/>
    </row>
    <row r="47" spans="1:14">
      <c r="A47" s="224"/>
      <c r="J47" s="225"/>
    </row>
    <row r="48" spans="1:14">
      <c r="A48" s="224"/>
      <c r="J48" s="225"/>
    </row>
    <row r="49" spans="1:10">
      <c r="A49" s="224"/>
      <c r="J49" s="225"/>
    </row>
    <row r="50" spans="1:10">
      <c r="A50" s="224"/>
      <c r="J50" s="225"/>
    </row>
    <row r="51" spans="1:10">
      <c r="A51" s="224"/>
      <c r="J51" s="225"/>
    </row>
    <row r="52" spans="1:10">
      <c r="A52" s="224"/>
      <c r="J52" s="225"/>
    </row>
    <row r="53" spans="1:10">
      <c r="A53" s="224"/>
      <c r="J53" s="225"/>
    </row>
    <row r="54" spans="1:10">
      <c r="A54" s="224"/>
      <c r="J54" s="225"/>
    </row>
    <row r="55" spans="1:10">
      <c r="A55" s="224"/>
      <c r="J55" s="225"/>
    </row>
    <row r="56" spans="1:10">
      <c r="A56" s="224"/>
      <c r="J56" s="225"/>
    </row>
    <row r="57" spans="1:10">
      <c r="A57" s="224"/>
      <c r="J57" s="225"/>
    </row>
    <row r="58" spans="1:10">
      <c r="A58" s="224"/>
      <c r="J58" s="225"/>
    </row>
    <row r="59" spans="1:10">
      <c r="A59" s="224"/>
      <c r="J59" s="225"/>
    </row>
    <row r="60" spans="1:10">
      <c r="A60" s="224"/>
      <c r="J60" s="225"/>
    </row>
    <row r="61" spans="1:10">
      <c r="A61" s="224"/>
      <c r="J61" s="225"/>
    </row>
    <row r="62" spans="1:10">
      <c r="A62" s="224"/>
      <c r="J62" s="225"/>
    </row>
    <row r="63" spans="1:10">
      <c r="A63" s="224"/>
      <c r="J63" s="225"/>
    </row>
    <row r="64" spans="1:10">
      <c r="A64" s="224"/>
      <c r="J64" s="225"/>
    </row>
    <row r="65" spans="1:10">
      <c r="A65" s="224"/>
      <c r="J65" s="225"/>
    </row>
    <row r="66" spans="1:10">
      <c r="A66" s="224"/>
      <c r="B66" s="229" t="s">
        <v>159</v>
      </c>
      <c r="G66" s="229" t="s">
        <v>171</v>
      </c>
      <c r="J66" s="225"/>
    </row>
    <row r="67" spans="1:10">
      <c r="A67" s="224"/>
      <c r="B67" s="207" t="s">
        <v>242</v>
      </c>
      <c r="C67" s="207" t="s">
        <v>243</v>
      </c>
      <c r="D67" s="207" t="s">
        <v>245</v>
      </c>
      <c r="G67" s="207" t="s">
        <v>242</v>
      </c>
      <c r="H67" s="207" t="s">
        <v>243</v>
      </c>
      <c r="I67" s="207" t="s">
        <v>245</v>
      </c>
      <c r="J67" s="225"/>
    </row>
    <row r="68" spans="1:10">
      <c r="A68" s="224"/>
      <c r="B68" s="211" t="s">
        <v>80</v>
      </c>
      <c r="C68" s="217" t="s">
        <v>132</v>
      </c>
      <c r="D68" s="218">
        <v>3</v>
      </c>
      <c r="G68" s="211" t="s">
        <v>80</v>
      </c>
      <c r="H68" s="217" t="s">
        <v>132</v>
      </c>
      <c r="I68" s="218">
        <v>3</v>
      </c>
      <c r="J68" s="225"/>
    </row>
    <row r="69" spans="1:10">
      <c r="A69" s="224"/>
      <c r="B69" s="211" t="s">
        <v>79</v>
      </c>
      <c r="C69" s="217" t="s">
        <v>169</v>
      </c>
      <c r="D69" s="218">
        <v>3.08</v>
      </c>
      <c r="G69" s="211" t="s">
        <v>79</v>
      </c>
      <c r="H69" s="217" t="s">
        <v>169</v>
      </c>
      <c r="I69" s="218">
        <v>3.08</v>
      </c>
      <c r="J69" s="225"/>
    </row>
    <row r="70" spans="1:10">
      <c r="A70" s="224"/>
      <c r="B70" s="211" t="s">
        <v>163</v>
      </c>
      <c r="C70" s="217" t="s">
        <v>168</v>
      </c>
      <c r="D70" s="218">
        <f>22*2.88</f>
        <v>63.36</v>
      </c>
      <c r="G70" s="211" t="s">
        <v>172</v>
      </c>
      <c r="H70" s="217" t="s">
        <v>173</v>
      </c>
      <c r="I70" s="218">
        <f>20*2.88</f>
        <v>57.599999999999994</v>
      </c>
      <c r="J70" s="225"/>
    </row>
    <row r="71" spans="1:10">
      <c r="A71" s="224"/>
      <c r="B71" s="211" t="s">
        <v>162</v>
      </c>
      <c r="C71" s="217" t="s">
        <v>169</v>
      </c>
      <c r="D71" s="218">
        <f>1*3.08</f>
        <v>3.08</v>
      </c>
      <c r="G71" s="211" t="s">
        <v>162</v>
      </c>
      <c r="H71" s="217" t="s">
        <v>174</v>
      </c>
      <c r="I71" s="218">
        <f>1*3.08</f>
        <v>3.08</v>
      </c>
      <c r="J71" s="225"/>
    </row>
    <row r="72" spans="1:10">
      <c r="A72" s="224"/>
      <c r="B72" s="211" t="s">
        <v>199</v>
      </c>
      <c r="C72" s="217" t="s">
        <v>170</v>
      </c>
      <c r="D72" s="218">
        <v>1.6</v>
      </c>
      <c r="G72" s="211" t="s">
        <v>199</v>
      </c>
      <c r="H72" s="217" t="s">
        <v>170</v>
      </c>
      <c r="I72" s="218">
        <v>1.6</v>
      </c>
      <c r="J72" s="225"/>
    </row>
    <row r="73" spans="1:10">
      <c r="A73" s="224"/>
      <c r="B73" s="335" t="s">
        <v>228</v>
      </c>
      <c r="C73" s="336"/>
      <c r="D73" s="209">
        <f>SUM(D68:D72)</f>
        <v>74.11999999999999</v>
      </c>
      <c r="G73" s="335" t="s">
        <v>228</v>
      </c>
      <c r="H73" s="336"/>
      <c r="I73" s="209">
        <f>SUM(I68:I72)</f>
        <v>68.359999999999985</v>
      </c>
      <c r="J73" s="225"/>
    </row>
    <row r="74" spans="1:10">
      <c r="A74" s="226"/>
      <c r="B74" s="227"/>
      <c r="C74" s="227"/>
      <c r="D74" s="227"/>
      <c r="E74" s="227"/>
      <c r="F74" s="227"/>
      <c r="G74" s="227"/>
      <c r="H74" s="227"/>
      <c r="I74" s="227"/>
      <c r="J74" s="228"/>
    </row>
    <row r="75" spans="1:10">
      <c r="A75" s="221"/>
      <c r="B75" s="222"/>
      <c r="C75" s="222"/>
      <c r="D75" s="222"/>
      <c r="E75" s="222"/>
      <c r="F75" s="222"/>
      <c r="G75" s="222"/>
      <c r="H75" s="222"/>
      <c r="I75" s="222"/>
      <c r="J75" s="223"/>
    </row>
    <row r="76" spans="1:10">
      <c r="A76" s="224"/>
      <c r="B76" s="206" t="s">
        <v>166</v>
      </c>
      <c r="J76" s="225"/>
    </row>
    <row r="77" spans="1:10">
      <c r="A77" s="224"/>
      <c r="J77" s="225"/>
    </row>
    <row r="78" spans="1:10">
      <c r="A78" s="224"/>
      <c r="J78" s="225"/>
    </row>
    <row r="79" spans="1:10">
      <c r="A79" s="224"/>
      <c r="J79" s="225"/>
    </row>
    <row r="80" spans="1:10">
      <c r="A80" s="224"/>
      <c r="J80" s="225"/>
    </row>
    <row r="81" spans="1:10">
      <c r="A81" s="224"/>
      <c r="J81" s="225"/>
    </row>
    <row r="82" spans="1:10">
      <c r="A82" s="224"/>
      <c r="J82" s="225"/>
    </row>
    <row r="83" spans="1:10">
      <c r="A83" s="224"/>
      <c r="J83" s="225"/>
    </row>
    <row r="84" spans="1:10">
      <c r="A84" s="224"/>
      <c r="J84" s="225"/>
    </row>
    <row r="85" spans="1:10">
      <c r="A85" s="224"/>
      <c r="J85" s="225"/>
    </row>
    <row r="86" spans="1:10">
      <c r="A86" s="224"/>
      <c r="J86" s="225"/>
    </row>
    <row r="87" spans="1:10">
      <c r="A87" s="224"/>
      <c r="J87" s="225"/>
    </row>
    <row r="88" spans="1:10">
      <c r="A88" s="224"/>
      <c r="J88" s="225"/>
    </row>
    <row r="89" spans="1:10">
      <c r="A89" s="224"/>
      <c r="J89" s="225"/>
    </row>
    <row r="90" spans="1:10">
      <c r="A90" s="224"/>
      <c r="J90" s="225"/>
    </row>
    <row r="91" spans="1:10">
      <c r="A91" s="224"/>
      <c r="J91" s="225"/>
    </row>
    <row r="92" spans="1:10">
      <c r="A92" s="224"/>
      <c r="J92" s="225"/>
    </row>
    <row r="93" spans="1:10">
      <c r="A93" s="224"/>
      <c r="J93" s="225"/>
    </row>
    <row r="94" spans="1:10">
      <c r="A94" s="224"/>
      <c r="J94" s="225"/>
    </row>
    <row r="95" spans="1:10">
      <c r="A95" s="224"/>
      <c r="J95" s="225"/>
    </row>
    <row r="96" spans="1:10">
      <c r="A96" s="224"/>
      <c r="J96" s="225"/>
    </row>
    <row r="97" spans="1:10">
      <c r="A97" s="224"/>
      <c r="J97" s="225"/>
    </row>
    <row r="98" spans="1:10">
      <c r="A98" s="224"/>
      <c r="J98" s="225"/>
    </row>
    <row r="99" spans="1:10">
      <c r="A99" s="224"/>
      <c r="J99" s="225"/>
    </row>
    <row r="100" spans="1:10">
      <c r="A100" s="224"/>
      <c r="J100" s="225"/>
    </row>
    <row r="101" spans="1:10">
      <c r="A101" s="224"/>
      <c r="J101" s="225"/>
    </row>
    <row r="102" spans="1:10">
      <c r="A102" s="224"/>
      <c r="J102" s="225"/>
    </row>
    <row r="103" spans="1:10">
      <c r="A103" s="224"/>
      <c r="B103" s="229" t="s">
        <v>177</v>
      </c>
      <c r="G103" s="229" t="s">
        <v>178</v>
      </c>
      <c r="J103" s="225"/>
    </row>
    <row r="104" spans="1:10">
      <c r="A104" s="224"/>
      <c r="B104" s="207" t="s">
        <v>242</v>
      </c>
      <c r="C104" s="207" t="s">
        <v>243</v>
      </c>
      <c r="D104" s="207" t="s">
        <v>245</v>
      </c>
      <c r="G104" s="207" t="s">
        <v>242</v>
      </c>
      <c r="H104" s="207" t="s">
        <v>243</v>
      </c>
      <c r="I104" s="207" t="s">
        <v>245</v>
      </c>
      <c r="J104" s="225"/>
    </row>
    <row r="105" spans="1:10">
      <c r="A105" s="224"/>
      <c r="B105" s="211" t="s">
        <v>80</v>
      </c>
      <c r="C105" s="217" t="s">
        <v>132</v>
      </c>
      <c r="D105" s="218">
        <v>3</v>
      </c>
      <c r="G105" s="211" t="s">
        <v>80</v>
      </c>
      <c r="H105" s="217" t="s">
        <v>132</v>
      </c>
      <c r="I105" s="218">
        <v>3</v>
      </c>
      <c r="J105" s="225"/>
    </row>
    <row r="106" spans="1:10">
      <c r="A106" s="224"/>
      <c r="B106" s="211" t="s">
        <v>79</v>
      </c>
      <c r="C106" s="217" t="s">
        <v>169</v>
      </c>
      <c r="D106" s="218">
        <v>3.08</v>
      </c>
      <c r="G106" s="211" t="s">
        <v>79</v>
      </c>
      <c r="H106" s="217" t="s">
        <v>169</v>
      </c>
      <c r="I106" s="218">
        <v>3.08</v>
      </c>
      <c r="J106" s="225"/>
    </row>
    <row r="107" spans="1:10">
      <c r="A107" s="224"/>
      <c r="B107" s="211" t="s">
        <v>176</v>
      </c>
      <c r="C107" s="217" t="s">
        <v>175</v>
      </c>
      <c r="D107" s="218">
        <f>23*2.88</f>
        <v>66.239999999999995</v>
      </c>
      <c r="G107" s="211" t="s">
        <v>176</v>
      </c>
      <c r="H107" s="217" t="s">
        <v>175</v>
      </c>
      <c r="I107" s="218">
        <f>23*2.88</f>
        <v>66.239999999999995</v>
      </c>
      <c r="J107" s="225"/>
    </row>
    <row r="108" spans="1:10">
      <c r="A108" s="224"/>
      <c r="B108" s="211" t="s">
        <v>162</v>
      </c>
      <c r="C108" s="217" t="s">
        <v>169</v>
      </c>
      <c r="D108" s="218">
        <f>1*3.08</f>
        <v>3.08</v>
      </c>
      <c r="G108" s="211" t="s">
        <v>162</v>
      </c>
      <c r="H108" s="217" t="s">
        <v>169</v>
      </c>
      <c r="I108" s="218">
        <f>1*3.08</f>
        <v>3.08</v>
      </c>
      <c r="J108" s="225"/>
    </row>
    <row r="109" spans="1:10">
      <c r="A109" s="224"/>
      <c r="B109" s="211" t="s">
        <v>199</v>
      </c>
      <c r="C109" s="217" t="s">
        <v>170</v>
      </c>
      <c r="D109" s="218">
        <v>1.6</v>
      </c>
      <c r="G109" s="211" t="s">
        <v>199</v>
      </c>
      <c r="H109" s="217" t="s">
        <v>170</v>
      </c>
      <c r="I109" s="218">
        <v>1.6</v>
      </c>
      <c r="J109" s="225"/>
    </row>
    <row r="110" spans="1:10">
      <c r="A110" s="224"/>
      <c r="B110" s="335" t="s">
        <v>228</v>
      </c>
      <c r="C110" s="336"/>
      <c r="D110" s="209">
        <f>SUM(D105:D109)</f>
        <v>76.999999999999986</v>
      </c>
      <c r="G110" s="335" t="s">
        <v>228</v>
      </c>
      <c r="H110" s="336"/>
      <c r="I110" s="209">
        <f>SUM(I105:I109)</f>
        <v>76.999999999999986</v>
      </c>
      <c r="J110" s="225"/>
    </row>
    <row r="111" spans="1:10">
      <c r="A111" s="226"/>
      <c r="B111" s="227"/>
      <c r="C111" s="227"/>
      <c r="D111" s="227"/>
      <c r="E111" s="227"/>
      <c r="F111" s="227"/>
      <c r="G111" s="227"/>
      <c r="H111" s="227"/>
      <c r="I111" s="227"/>
      <c r="J111" s="228"/>
    </row>
    <row r="112" spans="1:10">
      <c r="A112" s="221"/>
      <c r="B112" s="222"/>
      <c r="C112" s="222"/>
      <c r="D112" s="222"/>
      <c r="E112" s="222"/>
      <c r="F112" s="222"/>
      <c r="G112" s="222"/>
      <c r="H112" s="222"/>
      <c r="I112" s="222"/>
      <c r="J112" s="223"/>
    </row>
    <row r="113" spans="1:10">
      <c r="A113" s="224"/>
      <c r="B113" s="206" t="s">
        <v>167</v>
      </c>
      <c r="J113" s="225"/>
    </row>
    <row r="114" spans="1:10">
      <c r="A114" s="224"/>
      <c r="J114" s="225"/>
    </row>
    <row r="115" spans="1:10">
      <c r="A115" s="224"/>
      <c r="J115" s="225"/>
    </row>
    <row r="116" spans="1:10">
      <c r="A116" s="224"/>
      <c r="J116" s="225"/>
    </row>
    <row r="117" spans="1:10">
      <c r="A117" s="224"/>
      <c r="J117" s="225"/>
    </row>
    <row r="118" spans="1:10">
      <c r="A118" s="224"/>
      <c r="J118" s="225"/>
    </row>
    <row r="119" spans="1:10">
      <c r="A119" s="224"/>
      <c r="J119" s="225"/>
    </row>
    <row r="120" spans="1:10">
      <c r="A120" s="224"/>
      <c r="J120" s="225"/>
    </row>
    <row r="121" spans="1:10">
      <c r="A121" s="224"/>
      <c r="J121" s="225"/>
    </row>
    <row r="122" spans="1:10">
      <c r="A122" s="224"/>
      <c r="J122" s="225"/>
    </row>
    <row r="123" spans="1:10">
      <c r="A123" s="224"/>
      <c r="J123" s="225"/>
    </row>
    <row r="124" spans="1:10">
      <c r="A124" s="224"/>
      <c r="J124" s="225"/>
    </row>
    <row r="125" spans="1:10">
      <c r="A125" s="224"/>
      <c r="J125" s="225"/>
    </row>
    <row r="126" spans="1:10">
      <c r="A126" s="224"/>
      <c r="J126" s="225"/>
    </row>
    <row r="127" spans="1:10">
      <c r="A127" s="224"/>
      <c r="J127" s="225"/>
    </row>
    <row r="128" spans="1:10">
      <c r="A128" s="224"/>
      <c r="J128" s="225"/>
    </row>
    <row r="129" spans="1:10">
      <c r="A129" s="224"/>
      <c r="J129" s="225"/>
    </row>
    <row r="130" spans="1:10">
      <c r="A130" s="224"/>
      <c r="J130" s="225"/>
    </row>
    <row r="131" spans="1:10">
      <c r="A131" s="224"/>
      <c r="J131" s="225"/>
    </row>
    <row r="132" spans="1:10">
      <c r="A132" s="224"/>
      <c r="J132" s="225"/>
    </row>
    <row r="133" spans="1:10">
      <c r="A133" s="224"/>
      <c r="J133" s="225"/>
    </row>
    <row r="134" spans="1:10">
      <c r="A134" s="224"/>
      <c r="J134" s="225"/>
    </row>
    <row r="135" spans="1:10">
      <c r="A135" s="224"/>
      <c r="J135" s="225"/>
    </row>
    <row r="136" spans="1:10">
      <c r="A136" s="224"/>
      <c r="J136" s="225"/>
    </row>
    <row r="137" spans="1:10">
      <c r="A137" s="224"/>
      <c r="J137" s="225"/>
    </row>
    <row r="138" spans="1:10">
      <c r="A138" s="224"/>
      <c r="J138" s="225"/>
    </row>
    <row r="139" spans="1:10">
      <c r="A139" s="224"/>
      <c r="J139" s="225"/>
    </row>
    <row r="140" spans="1:10">
      <c r="A140" s="224"/>
      <c r="B140" s="229" t="s">
        <v>127</v>
      </c>
      <c r="G140" s="229" t="s">
        <v>179</v>
      </c>
      <c r="J140" s="225"/>
    </row>
    <row r="141" spans="1:10">
      <c r="A141" s="224"/>
      <c r="B141" s="207" t="s">
        <v>242</v>
      </c>
      <c r="C141" s="207" t="s">
        <v>243</v>
      </c>
      <c r="D141" s="207" t="s">
        <v>245</v>
      </c>
      <c r="G141" s="207" t="s">
        <v>242</v>
      </c>
      <c r="H141" s="207" t="s">
        <v>243</v>
      </c>
      <c r="I141" s="207" t="s">
        <v>245</v>
      </c>
      <c r="J141" s="225"/>
    </row>
    <row r="142" spans="1:10">
      <c r="A142" s="224"/>
      <c r="B142" s="211" t="s">
        <v>80</v>
      </c>
      <c r="C142" s="217" t="s">
        <v>132</v>
      </c>
      <c r="D142" s="218">
        <v>3</v>
      </c>
      <c r="G142" s="211" t="s">
        <v>80</v>
      </c>
      <c r="H142" s="217" t="s">
        <v>132</v>
      </c>
      <c r="I142" s="218">
        <v>3</v>
      </c>
      <c r="J142" s="225"/>
    </row>
    <row r="143" spans="1:10">
      <c r="A143" s="224"/>
      <c r="B143" s="211" t="s">
        <v>79</v>
      </c>
      <c r="C143" s="217" t="s">
        <v>169</v>
      </c>
      <c r="D143" s="218">
        <v>3.08</v>
      </c>
      <c r="G143" s="211" t="s">
        <v>79</v>
      </c>
      <c r="H143" s="217" t="s">
        <v>169</v>
      </c>
      <c r="I143" s="218">
        <v>3.08</v>
      </c>
      <c r="J143" s="225"/>
    </row>
    <row r="144" spans="1:10">
      <c r="A144" s="224"/>
      <c r="B144" s="211" t="s">
        <v>180</v>
      </c>
      <c r="C144" s="217" t="s">
        <v>181</v>
      </c>
      <c r="D144" s="218">
        <f>21*2.88</f>
        <v>60.48</v>
      </c>
      <c r="G144" s="211" t="s">
        <v>180</v>
      </c>
      <c r="H144" s="217" t="s">
        <v>181</v>
      </c>
      <c r="I144" s="218">
        <f>21*2.88</f>
        <v>60.48</v>
      </c>
      <c r="J144" s="225"/>
    </row>
    <row r="145" spans="1:10">
      <c r="A145" s="224"/>
      <c r="B145" s="211" t="s">
        <v>200</v>
      </c>
      <c r="C145" s="217" t="s">
        <v>201</v>
      </c>
      <c r="D145" s="218">
        <v>3</v>
      </c>
      <c r="G145" s="211" t="s">
        <v>200</v>
      </c>
      <c r="H145" s="217" t="s">
        <v>201</v>
      </c>
      <c r="I145" s="218">
        <v>3</v>
      </c>
      <c r="J145" s="225"/>
    </row>
    <row r="146" spans="1:10">
      <c r="A146" s="224"/>
      <c r="B146" s="214" t="s">
        <v>134</v>
      </c>
      <c r="C146" s="215" t="s">
        <v>207</v>
      </c>
      <c r="D146" s="220">
        <v>7.85</v>
      </c>
      <c r="G146" s="214" t="s">
        <v>199</v>
      </c>
      <c r="H146" s="219" t="s">
        <v>208</v>
      </c>
      <c r="I146" s="220">
        <v>5.15</v>
      </c>
      <c r="J146" s="225"/>
    </row>
    <row r="147" spans="1:10">
      <c r="A147" s="224"/>
      <c r="B147" s="335" t="s">
        <v>228</v>
      </c>
      <c r="C147" s="336"/>
      <c r="D147" s="209">
        <f>SUM(D142:D146)</f>
        <v>77.41</v>
      </c>
      <c r="G147" s="335" t="s">
        <v>228</v>
      </c>
      <c r="H147" s="336"/>
      <c r="I147" s="209">
        <f>SUM(I142:I146)</f>
        <v>74.710000000000008</v>
      </c>
      <c r="J147" s="225"/>
    </row>
    <row r="148" spans="1:10">
      <c r="A148" s="226"/>
      <c r="B148" s="227"/>
      <c r="C148" s="227"/>
      <c r="D148" s="227"/>
      <c r="E148" s="227"/>
      <c r="F148" s="227"/>
      <c r="G148" s="227"/>
      <c r="H148" s="227"/>
      <c r="I148" s="227"/>
      <c r="J148" s="228"/>
    </row>
  </sheetData>
  <mergeCells count="8">
    <mergeCell ref="G147:H147"/>
    <mergeCell ref="B36:C36"/>
    <mergeCell ref="B147:C147"/>
    <mergeCell ref="B73:C73"/>
    <mergeCell ref="B110:C110"/>
    <mergeCell ref="G36:H36"/>
    <mergeCell ref="G73:H73"/>
    <mergeCell ref="G110:H110"/>
  </mergeCells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fitToHeight="0" orientation="portrait" r:id="rId1"/>
  <rowBreaks count="3" manualBreakCount="3">
    <brk id="37" max="9" man="1"/>
    <brk id="74" max="9" man="1"/>
    <brk id="11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4"/>
  <sheetViews>
    <sheetView showGridLines="0" view="pageBreakPreview" zoomScaleNormal="70" zoomScaleSheetLayoutView="100" workbookViewId="0">
      <selection sqref="A1:M1"/>
    </sheetView>
  </sheetViews>
  <sheetFormatPr defaultRowHeight="13.5"/>
  <cols>
    <col min="1" max="10" width="8.77734375" style="31" customWidth="1"/>
    <col min="11" max="11" width="6.5546875" style="31" bestFit="1" customWidth="1"/>
    <col min="12" max="12" width="17" style="31" bestFit="1" customWidth="1"/>
    <col min="13" max="14" width="8.77734375" style="31" customWidth="1"/>
    <col min="15" max="15" width="10.88671875" style="31" customWidth="1"/>
    <col min="16" max="25" width="8.88671875" style="31"/>
    <col min="26" max="26" width="19.109375" style="31" customWidth="1"/>
    <col min="27" max="16384" width="8.88671875" style="31"/>
  </cols>
  <sheetData>
    <row r="1" spans="1:15" ht="27" customHeight="1">
      <c r="A1" s="338" t="s">
        <v>152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0"/>
      <c r="O1" s="30"/>
    </row>
    <row r="2" spans="1:15" ht="24.95" customHeight="1">
      <c r="A2" s="230" t="s">
        <v>151</v>
      </c>
    </row>
    <row r="3" spans="1:15" ht="9.9499999999999993" customHeight="1"/>
    <row r="4" spans="1:15" ht="24.95" customHeight="1">
      <c r="I4" s="231" t="s">
        <v>71</v>
      </c>
      <c r="J4" s="231" t="s">
        <v>248</v>
      </c>
      <c r="K4" s="231" t="s">
        <v>249</v>
      </c>
      <c r="L4" s="231" t="s">
        <v>250</v>
      </c>
      <c r="M4" s="231" t="s">
        <v>251</v>
      </c>
    </row>
    <row r="5" spans="1:15" ht="24.95" customHeight="1">
      <c r="I5" s="339" t="s">
        <v>144</v>
      </c>
      <c r="J5" s="78" t="s">
        <v>120</v>
      </c>
      <c r="K5" s="78">
        <v>22</v>
      </c>
      <c r="L5" s="238" t="s">
        <v>130</v>
      </c>
      <c r="M5" s="78">
        <v>1</v>
      </c>
    </row>
    <row r="6" spans="1:15" ht="24.95" customHeight="1">
      <c r="I6" s="339"/>
      <c r="J6" s="78" t="s">
        <v>121</v>
      </c>
      <c r="K6" s="78">
        <v>18</v>
      </c>
      <c r="L6" s="238" t="s">
        <v>126</v>
      </c>
      <c r="M6" s="78">
        <v>1</v>
      </c>
    </row>
    <row r="7" spans="1:15" ht="24.95" customHeight="1">
      <c r="I7" s="339" t="s">
        <v>145</v>
      </c>
      <c r="J7" s="78" t="s">
        <v>111</v>
      </c>
      <c r="K7" s="78">
        <v>24</v>
      </c>
      <c r="L7" s="238" t="s">
        <v>126</v>
      </c>
      <c r="M7" s="78">
        <v>1</v>
      </c>
    </row>
    <row r="8" spans="1:15" ht="24.95" customHeight="1">
      <c r="I8" s="339"/>
      <c r="J8" s="78" t="s">
        <v>112</v>
      </c>
      <c r="K8" s="78">
        <v>25</v>
      </c>
      <c r="L8" s="238" t="s">
        <v>126</v>
      </c>
      <c r="M8" s="78">
        <v>1</v>
      </c>
    </row>
    <row r="9" spans="1:15" ht="24.95" customHeight="1">
      <c r="I9" s="339" t="s">
        <v>146</v>
      </c>
      <c r="J9" s="78" t="s">
        <v>122</v>
      </c>
      <c r="K9" s="78">
        <v>27</v>
      </c>
      <c r="L9" s="238" t="s">
        <v>126</v>
      </c>
      <c r="M9" s="78">
        <v>1</v>
      </c>
    </row>
    <row r="10" spans="1:15" ht="24.95" customHeight="1">
      <c r="I10" s="339"/>
      <c r="J10" s="78" t="s">
        <v>123</v>
      </c>
      <c r="K10" s="78">
        <v>27</v>
      </c>
      <c r="L10" s="238" t="s">
        <v>126</v>
      </c>
      <c r="M10" s="78">
        <v>1</v>
      </c>
    </row>
    <row r="11" spans="1:15" ht="24.95" customHeight="1">
      <c r="I11" s="339" t="s">
        <v>147</v>
      </c>
      <c r="J11" s="78" t="s">
        <v>124</v>
      </c>
      <c r="K11" s="78">
        <v>23</v>
      </c>
      <c r="L11" s="238" t="s">
        <v>126</v>
      </c>
      <c r="M11" s="78">
        <v>1</v>
      </c>
    </row>
    <row r="12" spans="1:15" ht="24.95" customHeight="1">
      <c r="I12" s="339"/>
      <c r="J12" s="78" t="s">
        <v>125</v>
      </c>
      <c r="K12" s="78">
        <v>25</v>
      </c>
      <c r="L12" s="238" t="s">
        <v>126</v>
      </c>
      <c r="M12" s="78">
        <v>1</v>
      </c>
    </row>
    <row r="13" spans="1:15" ht="24.95" customHeight="1">
      <c r="I13" s="341" t="s">
        <v>72</v>
      </c>
      <c r="J13" s="342"/>
      <c r="K13" s="342"/>
      <c r="L13" s="343"/>
      <c r="M13" s="239">
        <f>SUM(M5:M12)</f>
        <v>8</v>
      </c>
    </row>
    <row r="14" spans="1:15" ht="24.95" customHeight="1"/>
    <row r="15" spans="1:15" ht="35.1" customHeight="1"/>
    <row r="16" spans="1:15" ht="35.1" customHeight="1"/>
    <row r="17" spans="15:26" ht="24.95" customHeight="1"/>
    <row r="18" spans="15:26" ht="24.95" customHeight="1"/>
    <row r="19" spans="15:26" ht="24.95" customHeight="1"/>
    <row r="20" spans="15:26" ht="24.95" customHeight="1"/>
    <row r="29" spans="15:26" ht="20.25">
      <c r="O29" s="232" t="s">
        <v>51</v>
      </c>
      <c r="P29" s="340" t="s">
        <v>46</v>
      </c>
      <c r="Q29" s="340"/>
      <c r="R29" s="340" t="s">
        <v>47</v>
      </c>
      <c r="S29" s="340"/>
      <c r="T29" s="340" t="s">
        <v>48</v>
      </c>
      <c r="U29" s="340"/>
      <c r="V29" s="340" t="s">
        <v>49</v>
      </c>
      <c r="W29" s="340"/>
      <c r="X29" s="340" t="s">
        <v>50</v>
      </c>
      <c r="Y29" s="340"/>
      <c r="Z29" s="232" t="s">
        <v>52</v>
      </c>
    </row>
    <row r="30" spans="15:26" ht="22.5">
      <c r="O30" s="233" t="s">
        <v>68</v>
      </c>
      <c r="P30" s="233" t="s">
        <v>66</v>
      </c>
      <c r="Q30" s="233" t="s">
        <v>70</v>
      </c>
      <c r="R30" s="233" t="s">
        <v>65</v>
      </c>
      <c r="S30" s="233" t="s">
        <v>69</v>
      </c>
      <c r="T30" s="233" t="s">
        <v>65</v>
      </c>
      <c r="U30" s="233" t="s">
        <v>69</v>
      </c>
      <c r="V30" s="233" t="s">
        <v>65</v>
      </c>
      <c r="W30" s="233" t="s">
        <v>69</v>
      </c>
      <c r="X30" s="233" t="s">
        <v>65</v>
      </c>
      <c r="Y30" s="233" t="s">
        <v>69</v>
      </c>
      <c r="Z30" s="234"/>
    </row>
    <row r="31" spans="15:26" ht="20.25">
      <c r="O31" s="233" t="s">
        <v>53</v>
      </c>
      <c r="P31" s="233" t="s">
        <v>54</v>
      </c>
      <c r="Q31" s="233" t="s">
        <v>54</v>
      </c>
      <c r="R31" s="233" t="s">
        <v>54</v>
      </c>
      <c r="S31" s="233" t="s">
        <v>54</v>
      </c>
      <c r="T31" s="233" t="s">
        <v>54</v>
      </c>
      <c r="U31" s="233" t="s">
        <v>54</v>
      </c>
      <c r="V31" s="233" t="s">
        <v>55</v>
      </c>
      <c r="W31" s="233" t="s">
        <v>55</v>
      </c>
      <c r="X31" s="235" t="s">
        <v>56</v>
      </c>
      <c r="Y31" s="235" t="s">
        <v>67</v>
      </c>
      <c r="Z31" s="233" t="s">
        <v>57</v>
      </c>
    </row>
    <row r="32" spans="15:26" ht="20.25">
      <c r="O32" s="233" t="s">
        <v>58</v>
      </c>
      <c r="P32" s="233" t="s">
        <v>59</v>
      </c>
      <c r="Q32" s="233" t="s">
        <v>59</v>
      </c>
      <c r="R32" s="233" t="s">
        <v>59</v>
      </c>
      <c r="S32" s="233" t="s">
        <v>59</v>
      </c>
      <c r="T32" s="233" t="s">
        <v>59</v>
      </c>
      <c r="U32" s="233" t="s">
        <v>59</v>
      </c>
      <c r="V32" s="233" t="s">
        <v>59</v>
      </c>
      <c r="W32" s="233" t="s">
        <v>59</v>
      </c>
      <c r="X32" s="233" t="s">
        <v>59</v>
      </c>
      <c r="Y32" s="233" t="s">
        <v>59</v>
      </c>
      <c r="Z32" s="233" t="s">
        <v>60</v>
      </c>
    </row>
    <row r="33" spans="15:26" ht="20.25" customHeight="1">
      <c r="O33" s="337" t="s">
        <v>61</v>
      </c>
      <c r="P33" s="236" t="s">
        <v>110</v>
      </c>
      <c r="Q33" s="236" t="s">
        <v>63</v>
      </c>
      <c r="R33" s="236" t="s">
        <v>63</v>
      </c>
      <c r="S33" s="236" t="s">
        <v>63</v>
      </c>
      <c r="T33" s="236" t="s">
        <v>63</v>
      </c>
      <c r="U33" s="236" t="s">
        <v>63</v>
      </c>
      <c r="V33" s="236" t="s">
        <v>63</v>
      </c>
      <c r="W33" s="236" t="s">
        <v>63</v>
      </c>
      <c r="X33" s="237" t="s">
        <v>63</v>
      </c>
      <c r="Y33" s="237" t="s">
        <v>63</v>
      </c>
      <c r="Z33" s="337" t="s">
        <v>64</v>
      </c>
    </row>
    <row r="34" spans="15:26" ht="20.25">
      <c r="O34" s="337"/>
      <c r="P34" s="236" t="s">
        <v>62</v>
      </c>
      <c r="Q34" s="236" t="s">
        <v>62</v>
      </c>
      <c r="R34" s="236" t="s">
        <v>62</v>
      </c>
      <c r="S34" s="236" t="s">
        <v>62</v>
      </c>
      <c r="T34" s="236" t="s">
        <v>62</v>
      </c>
      <c r="U34" s="236" t="s">
        <v>62</v>
      </c>
      <c r="V34" s="236" t="s">
        <v>62</v>
      </c>
      <c r="W34" s="236" t="s">
        <v>62</v>
      </c>
      <c r="X34" s="237" t="s">
        <v>62</v>
      </c>
      <c r="Y34" s="237" t="s">
        <v>62</v>
      </c>
      <c r="Z34" s="337"/>
    </row>
  </sheetData>
  <mergeCells count="13">
    <mergeCell ref="O33:O34"/>
    <mergeCell ref="Z33:Z34"/>
    <mergeCell ref="A1:M1"/>
    <mergeCell ref="I5:I6"/>
    <mergeCell ref="I7:I8"/>
    <mergeCell ref="I11:I12"/>
    <mergeCell ref="P29:Q29"/>
    <mergeCell ref="R29:S29"/>
    <mergeCell ref="T29:U29"/>
    <mergeCell ref="V29:W29"/>
    <mergeCell ref="X29:Y29"/>
    <mergeCell ref="I9:I10"/>
    <mergeCell ref="I13:L13"/>
  </mergeCells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9C16-1855-4834-9B31-3EBCAF05BCA9}">
  <dimension ref="A1:M37"/>
  <sheetViews>
    <sheetView view="pageBreakPreview" zoomScaleNormal="100" zoomScaleSheetLayoutView="100" workbookViewId="0">
      <selection activeCell="R31" sqref="R31"/>
    </sheetView>
  </sheetViews>
  <sheetFormatPr defaultRowHeight="13.5"/>
  <cols>
    <col min="1" max="16384" width="8.88671875" style="31"/>
  </cols>
  <sheetData>
    <row r="1" spans="1:13" ht="27" customHeight="1">
      <c r="A1" s="246" t="s">
        <v>252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8"/>
    </row>
    <row r="2" spans="1:13">
      <c r="A2" s="241"/>
      <c r="M2" s="242"/>
    </row>
    <row r="3" spans="1:13">
      <c r="A3" s="241"/>
      <c r="M3" s="242"/>
    </row>
    <row r="4" spans="1:13">
      <c r="A4" s="241"/>
      <c r="M4" s="242"/>
    </row>
    <row r="5" spans="1:13">
      <c r="A5" s="241"/>
      <c r="M5" s="242"/>
    </row>
    <row r="6" spans="1:13">
      <c r="A6" s="241"/>
      <c r="M6" s="242"/>
    </row>
    <row r="7" spans="1:13">
      <c r="A7" s="241"/>
      <c r="M7" s="242"/>
    </row>
    <row r="8" spans="1:13">
      <c r="A8" s="241"/>
      <c r="M8" s="242"/>
    </row>
    <row r="9" spans="1:13">
      <c r="A9" s="241"/>
      <c r="M9" s="242"/>
    </row>
    <row r="10" spans="1:13">
      <c r="A10" s="241"/>
      <c r="M10" s="242"/>
    </row>
    <row r="11" spans="1:13">
      <c r="A11" s="241"/>
      <c r="M11" s="242"/>
    </row>
    <row r="12" spans="1:13">
      <c r="A12" s="241"/>
      <c r="M12" s="242"/>
    </row>
    <row r="13" spans="1:13">
      <c r="A13" s="241"/>
      <c r="M13" s="242"/>
    </row>
    <row r="14" spans="1:13">
      <c r="A14" s="241"/>
      <c r="M14" s="242"/>
    </row>
    <row r="15" spans="1:13">
      <c r="A15" s="241"/>
      <c r="M15" s="242"/>
    </row>
    <row r="16" spans="1:13">
      <c r="A16" s="241"/>
      <c r="M16" s="242"/>
    </row>
    <row r="17" spans="1:13">
      <c r="A17" s="241"/>
      <c r="M17" s="242"/>
    </row>
    <row r="18" spans="1:13">
      <c r="A18" s="241"/>
      <c r="M18" s="242"/>
    </row>
    <row r="19" spans="1:13">
      <c r="A19" s="241"/>
      <c r="M19" s="242"/>
    </row>
    <row r="20" spans="1:13">
      <c r="A20" s="241"/>
      <c r="M20" s="242"/>
    </row>
    <row r="21" spans="1:13">
      <c r="A21" s="241"/>
      <c r="M21" s="242"/>
    </row>
    <row r="22" spans="1:13">
      <c r="A22" s="241"/>
      <c r="M22" s="242"/>
    </row>
    <row r="23" spans="1:13">
      <c r="A23" s="241"/>
      <c r="M23" s="242"/>
    </row>
    <row r="24" spans="1:13">
      <c r="A24" s="241"/>
      <c r="M24" s="242"/>
    </row>
    <row r="25" spans="1:13">
      <c r="A25" s="241"/>
      <c r="M25" s="242"/>
    </row>
    <row r="26" spans="1:13">
      <c r="A26" s="241"/>
      <c r="M26" s="242"/>
    </row>
    <row r="27" spans="1:13">
      <c r="A27" s="241"/>
      <c r="M27" s="242"/>
    </row>
    <row r="28" spans="1:13">
      <c r="A28" s="241"/>
      <c r="M28" s="242"/>
    </row>
    <row r="29" spans="1:13">
      <c r="A29" s="241"/>
      <c r="M29" s="242"/>
    </row>
    <row r="30" spans="1:13">
      <c r="A30" s="241"/>
      <c r="M30" s="242"/>
    </row>
    <row r="31" spans="1:13">
      <c r="A31" s="241"/>
      <c r="M31" s="242"/>
    </row>
    <row r="32" spans="1:13">
      <c r="A32" s="241"/>
      <c r="M32" s="242"/>
    </row>
    <row r="33" spans="1:13">
      <c r="A33" s="241"/>
      <c r="M33" s="242"/>
    </row>
    <row r="34" spans="1:13">
      <c r="A34" s="241"/>
      <c r="M34" s="242"/>
    </row>
    <row r="35" spans="1:13">
      <c r="A35" s="241"/>
      <c r="M35" s="242"/>
    </row>
    <row r="36" spans="1:13">
      <c r="A36" s="241"/>
      <c r="M36" s="242"/>
    </row>
    <row r="37" spans="1:13">
      <c r="A37" s="243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5"/>
    </row>
  </sheetData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3113-F4FA-4E85-BF22-BB50370096E8}">
  <dimension ref="A1:I64"/>
  <sheetViews>
    <sheetView view="pageBreakPreview" topLeftCell="A6" zoomScaleNormal="100" zoomScaleSheetLayoutView="100" workbookViewId="0"/>
  </sheetViews>
  <sheetFormatPr defaultRowHeight="13.5"/>
  <sheetData>
    <row r="1" spans="1:9" s="240" customFormat="1" ht="27" customHeight="1">
      <c r="A1" s="256" t="s">
        <v>253</v>
      </c>
      <c r="B1" s="254"/>
      <c r="C1" s="254"/>
      <c r="D1" s="254"/>
      <c r="E1" s="254"/>
      <c r="F1" s="254"/>
      <c r="G1" s="254"/>
      <c r="H1" s="254"/>
      <c r="I1" s="255"/>
    </row>
    <row r="2" spans="1:9" ht="20.100000000000001" customHeight="1">
      <c r="A2" s="249"/>
      <c r="I2" s="250"/>
    </row>
    <row r="3" spans="1:9" ht="20.100000000000001" customHeight="1">
      <c r="A3" s="249"/>
      <c r="I3" s="250"/>
    </row>
    <row r="4" spans="1:9" ht="20.100000000000001" customHeight="1">
      <c r="A4" s="249"/>
      <c r="I4" s="250"/>
    </row>
    <row r="5" spans="1:9" ht="20.100000000000001" customHeight="1">
      <c r="A5" s="249"/>
      <c r="I5" s="250"/>
    </row>
    <row r="6" spans="1:9" ht="20.100000000000001" customHeight="1">
      <c r="A6" s="249"/>
      <c r="I6" s="250"/>
    </row>
    <row r="7" spans="1:9" ht="20.100000000000001" customHeight="1">
      <c r="A7" s="249"/>
      <c r="I7" s="250"/>
    </row>
    <row r="8" spans="1:9" ht="20.100000000000001" customHeight="1">
      <c r="A8" s="249"/>
      <c r="I8" s="250"/>
    </row>
    <row r="9" spans="1:9" ht="20.100000000000001" customHeight="1">
      <c r="A9" s="249"/>
      <c r="I9" s="250"/>
    </row>
    <row r="10" spans="1:9" ht="20.100000000000001" customHeight="1">
      <c r="A10" s="249"/>
      <c r="I10" s="250"/>
    </row>
    <row r="11" spans="1:9" ht="20.100000000000001" customHeight="1">
      <c r="A11" s="249"/>
      <c r="I11" s="250"/>
    </row>
    <row r="12" spans="1:9" ht="20.100000000000001" customHeight="1">
      <c r="A12" s="249"/>
      <c r="I12" s="250"/>
    </row>
    <row r="13" spans="1:9" ht="20.100000000000001" customHeight="1">
      <c r="A13" s="249"/>
      <c r="I13" s="250"/>
    </row>
    <row r="14" spans="1:9" ht="20.100000000000001" customHeight="1">
      <c r="A14" s="249"/>
      <c r="I14" s="250"/>
    </row>
    <row r="15" spans="1:9" ht="20.100000000000001" customHeight="1">
      <c r="A15" s="249"/>
      <c r="I15" s="250"/>
    </row>
    <row r="16" spans="1:9" ht="20.100000000000001" customHeight="1">
      <c r="A16" s="249"/>
      <c r="I16" s="250"/>
    </row>
    <row r="17" spans="1:9" ht="20.100000000000001" customHeight="1">
      <c r="A17" s="249"/>
      <c r="I17" s="250"/>
    </row>
    <row r="18" spans="1:9" ht="20.100000000000001" customHeight="1">
      <c r="A18" s="249"/>
      <c r="I18" s="250"/>
    </row>
    <row r="19" spans="1:9" ht="20.100000000000001" customHeight="1">
      <c r="A19" s="249"/>
      <c r="I19" s="250"/>
    </row>
    <row r="20" spans="1:9" ht="20.100000000000001" customHeight="1">
      <c r="A20" s="249"/>
      <c r="I20" s="250"/>
    </row>
    <row r="21" spans="1:9" ht="20.100000000000001" customHeight="1">
      <c r="A21" s="249"/>
      <c r="I21" s="250"/>
    </row>
    <row r="22" spans="1:9" ht="20.100000000000001" customHeight="1">
      <c r="A22" s="249"/>
      <c r="I22" s="250"/>
    </row>
    <row r="23" spans="1:9" ht="20.100000000000001" customHeight="1">
      <c r="A23" s="249"/>
      <c r="I23" s="250"/>
    </row>
    <row r="24" spans="1:9" ht="20.100000000000001" customHeight="1">
      <c r="A24" s="249"/>
      <c r="I24" s="250"/>
    </row>
    <row r="25" spans="1:9" ht="20.100000000000001" customHeight="1">
      <c r="A25" s="249"/>
      <c r="I25" s="250"/>
    </row>
    <row r="26" spans="1:9" ht="20.100000000000001" customHeight="1">
      <c r="A26" s="249"/>
      <c r="I26" s="250"/>
    </row>
    <row r="27" spans="1:9" ht="20.100000000000001" customHeight="1">
      <c r="A27" s="249"/>
      <c r="I27" s="250"/>
    </row>
    <row r="28" spans="1:9" ht="20.100000000000001" customHeight="1">
      <c r="A28" s="249"/>
      <c r="I28" s="250"/>
    </row>
    <row r="29" spans="1:9" ht="20.100000000000001" customHeight="1">
      <c r="A29" s="249"/>
      <c r="I29" s="250"/>
    </row>
    <row r="30" spans="1:9" ht="20.100000000000001" customHeight="1">
      <c r="A30" s="249"/>
      <c r="I30" s="250"/>
    </row>
    <row r="31" spans="1:9" ht="20.100000000000001" customHeight="1">
      <c r="A31" s="249"/>
      <c r="I31" s="250"/>
    </row>
    <row r="32" spans="1:9" ht="20.100000000000001" customHeight="1">
      <c r="A32" s="249"/>
      <c r="I32" s="250"/>
    </row>
    <row r="33" spans="1:9" ht="20.100000000000001" customHeight="1">
      <c r="A33" s="249"/>
      <c r="I33" s="250"/>
    </row>
    <row r="34" spans="1:9" ht="20.100000000000001" customHeight="1">
      <c r="A34" s="249"/>
      <c r="I34" s="250"/>
    </row>
    <row r="35" spans="1:9" ht="20.100000000000001" customHeight="1">
      <c r="A35" s="249"/>
      <c r="I35" s="250"/>
    </row>
    <row r="36" spans="1:9" ht="20.100000000000001" customHeight="1">
      <c r="A36" s="249"/>
      <c r="I36" s="250"/>
    </row>
    <row r="37" spans="1:9" ht="20.100000000000001" customHeight="1">
      <c r="A37" s="251"/>
      <c r="B37" s="252"/>
      <c r="C37" s="252"/>
      <c r="D37" s="252"/>
      <c r="E37" s="252"/>
      <c r="F37" s="252"/>
      <c r="G37" s="252"/>
      <c r="H37" s="252"/>
      <c r="I37" s="253"/>
    </row>
    <row r="38" spans="1:9" ht="20.100000000000001" customHeight="1"/>
    <row r="39" spans="1:9" ht="20.100000000000001" customHeight="1"/>
    <row r="40" spans="1:9" ht="20.100000000000001" customHeight="1"/>
    <row r="41" spans="1:9" ht="20.100000000000001" customHeight="1"/>
    <row r="42" spans="1:9" ht="20.100000000000001" customHeight="1"/>
    <row r="43" spans="1:9" ht="20.100000000000001" customHeight="1"/>
    <row r="44" spans="1:9" ht="20.100000000000001" customHeight="1"/>
    <row r="45" spans="1:9" ht="20.100000000000001" customHeight="1"/>
    <row r="46" spans="1:9" ht="20.100000000000001" customHeight="1"/>
    <row r="47" spans="1:9" ht="20.100000000000001" customHeight="1"/>
    <row r="48" spans="1: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</sheetData>
  <phoneticPr fontId="2" type="noConversion"/>
  <printOptions horizontalCentered="1"/>
  <pageMargins left="0.31496062992125984" right="0.31496062992125984" top="0.59055118110236227" bottom="0.39370078740157483" header="0.39370078740157483" footer="0.1968503937007874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갑지</vt:lpstr>
      <vt:lpstr>내역서</vt:lpstr>
      <vt:lpstr>임대기간</vt:lpstr>
      <vt:lpstr>(건설용리프트)임대기간산출</vt:lpstr>
      <vt:lpstr>설치높이 산정</vt:lpstr>
      <vt:lpstr>입면도</vt:lpstr>
      <vt:lpstr>건설용리프트설치위치도</vt:lpstr>
      <vt:lpstr>첨부1. HC 방호선반 사진</vt:lpstr>
      <vt:lpstr>첨부2. 호이스트 입찰 기준안</vt:lpstr>
      <vt:lpstr>'(건설용리프트)임대기간산출'!Print_Area</vt:lpstr>
      <vt:lpstr>갑지!Print_Area</vt:lpstr>
      <vt:lpstr>건설용리프트설치위치도!Print_Area</vt:lpstr>
      <vt:lpstr>내역서!Print_Area</vt:lpstr>
      <vt:lpstr>'설치높이 산정'!Print_Area</vt:lpstr>
      <vt:lpstr>입면도!Print_Area</vt:lpstr>
      <vt:lpstr>'첨부1. HC 방호선반 사진'!Print_Area</vt:lpstr>
      <vt:lpstr>'첨부2. 호이스트 입찰 기준안'!Print_Area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김진욱1 대리</cp:lastModifiedBy>
  <cp:lastPrinted>2025-11-05T23:22:35Z</cp:lastPrinted>
  <dcterms:created xsi:type="dcterms:W3CDTF">2017-07-18T05:35:59Z</dcterms:created>
  <dcterms:modified xsi:type="dcterms:W3CDTF">2026-09-18T05:12:30Z</dcterms:modified>
</cp:coreProperties>
</file>