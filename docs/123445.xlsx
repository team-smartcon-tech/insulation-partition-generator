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A3F7B3A-D7E8-4A6F-B474-717E1656904F}" xr6:coauthVersionLast="47" xr6:coauthVersionMax="47" xr10:uidLastSave="{00000000-0000-0000-0000-000000000000}"/>
  <bookViews>
    <workbookView xWindow="-120" yWindow="-120" windowWidth="29040" windowHeight="15720" activeTab="1" xr2:uid="{2A606848-4892-4F6D-ADBC-38904EAC4E65}"/>
  </bookViews>
  <sheets>
    <sheet name="TC" sheetId="1" r:id="rId1"/>
    <sheet name="HOIS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" hidden="1">[1]Sheet4!#REF!</definedName>
    <definedName name="__" hidden="1">[1]Sheet4!#REF!</definedName>
    <definedName name="___" hidden="1">[1]Sheet4!#REF!</definedName>
    <definedName name="__123Graph_A" localSheetId="0" hidden="1">[2]목표세부명세!#REF!</definedName>
    <definedName name="__123Graph_A" hidden="1">[2]목표세부명세!#REF!</definedName>
    <definedName name="__123Graph_B" localSheetId="0" hidden="1">[2]목표세부명세!#REF!</definedName>
    <definedName name="__123Graph_B" hidden="1">[2]목표세부명세!#REF!</definedName>
    <definedName name="__123Graph_D" localSheetId="0" hidden="1">#REF!</definedName>
    <definedName name="__123Graph_D" hidden="1">#REF!</definedName>
    <definedName name="__123Graph_E" hidden="1">[4]Sheet4!#REF!</definedName>
    <definedName name="__123Graph_X" localSheetId="0" hidden="1">'[5]배합비(99-05-25)'!#REF!</definedName>
    <definedName name="__123Graph_X" hidden="1">'[5]배합비(99-05-25)'!#REF!</definedName>
    <definedName name="__dfdfe" hidden="1">#REF!</definedName>
    <definedName name="__IntlFixup" hidden="1">TRUE</definedName>
    <definedName name="_2_0_S" hidden="1">'[6]6PILE  (돌출)'!#REF!</definedName>
    <definedName name="_2309f" hidden="1">#REF!</definedName>
    <definedName name="_23fil" hidden="1">#REF!</definedName>
    <definedName name="_23i99" hidden="1">#REF!</definedName>
    <definedName name="_24342" hidden="1">#REF!</definedName>
    <definedName name="_28_123Grap" hidden="1">#REF!</definedName>
    <definedName name="_323fil" hidden="1">#REF!</definedName>
    <definedName name="_324dfel" hidden="1">#REF!</definedName>
    <definedName name="_32Dist_" hidden="1">#REF!</definedName>
    <definedName name="_32fial" hidden="1">#REF!</definedName>
    <definedName name="_333ddl" hidden="1">#REF!</definedName>
    <definedName name="_34234if" hidden="1">#REF!</definedName>
    <definedName name="_36F" hidden="1">#REF!</definedName>
    <definedName name="_3ihil" hidden="1">#REF!</definedName>
    <definedName name="_40S" hidden="1">#REF!</definedName>
    <definedName name="_44_0__123Grap" hidden="1">#REF!</definedName>
    <definedName name="_48_0_Dist_" hidden="1">#REF!</definedName>
    <definedName name="_57_0_0_F" hidden="1">#REF!</definedName>
    <definedName name="_9S" hidden="1">#REF!</definedName>
    <definedName name="_aasseil" hidden="1">#REF!</definedName>
    <definedName name="_abecrombie" hidden="1">#REF!</definedName>
    <definedName name="_AE" hidden="1">#REF!</definedName>
    <definedName name="_aeifel" hidden="1">#REF!</definedName>
    <definedName name="_aeiilll2" hidden="1">#REF!</definedName>
    <definedName name="_aewil" hidden="1">#REF!</definedName>
    <definedName name="_aidldlf" hidden="1">#REF!</definedName>
    <definedName name="_aill" hidden="1">#REF!</definedName>
    <definedName name="_aill2" hidden="1">#REF!</definedName>
    <definedName name="_aiooips" hidden="1">#REF!</definedName>
    <definedName name="_aksdl" hidden="1">#REF!</definedName>
    <definedName name="_akzio" hidden="1">#REF!</definedName>
    <definedName name="_alpqpdi" hidden="1">#REF!</definedName>
    <definedName name="_aoiaiei" hidden="1">#REF!</definedName>
    <definedName name="_ap2" hidden="1">#REF!</definedName>
    <definedName name="_apfdkd" hidden="1">#REF!</definedName>
    <definedName name="_aseil" hidden="1">#REF!</definedName>
    <definedName name="_asill" hidden="1">#REF!</definedName>
    <definedName name="_asilll" hidden="1">#REF!</definedName>
    <definedName name="_asldsl" hidden="1">#REF!</definedName>
    <definedName name="_assiill" hidden="1">#REF!</definedName>
    <definedName name="_biblsl" hidden="1">#REF!</definedName>
    <definedName name="_bilil" hidden="1">#REF!</definedName>
    <definedName name="_bill" hidden="1">#REF!</definedName>
    <definedName name="_cceeil" hidden="1">#REF!</definedName>
    <definedName name="_ccill" hidden="1">#REF!</definedName>
    <definedName name="_cdill" hidden="1">#REF!</definedName>
    <definedName name="_cfecil" hidden="1">#REF!</definedName>
    <definedName name="_cfelllss" hidden="1">#REF!</definedName>
    <definedName name="_cicile" hidden="1">#REF!</definedName>
    <definedName name="_cill" hidden="1">#REF!</definedName>
    <definedName name="_ck" hidden="1">#REF!</definedName>
    <definedName name="_d2jkjl" hidden="1">#REF!</definedName>
    <definedName name="_d3fefe" hidden="1">#REF!</definedName>
    <definedName name="_daeidl" hidden="1">#REF!</definedName>
    <definedName name="_daeiel" hidden="1">#REF!</definedName>
    <definedName name="_dail" hidden="1">#REF!</definedName>
    <definedName name="_dcccil" hidden="1">#REF!</definedName>
    <definedName name="_ddaill" hidden="1">#REF!</definedName>
    <definedName name="_ddd" hidden="1">#REF!</definedName>
    <definedName name="_dddilaa" hidden="1">#REF!</definedName>
    <definedName name="_ddeil" hidden="1">#REF!</definedName>
    <definedName name="_ddeil33" hidden="1">#REF!</definedName>
    <definedName name="_ddfefe" hidden="1">#REF!</definedName>
    <definedName name="_ddffii" hidden="1">#REF!</definedName>
    <definedName name="_ddiiwso" hidden="1">#REF!</definedName>
    <definedName name="_ddill" hidden="1">#REF!</definedName>
    <definedName name="_ddliflil" hidden="1">#REF!</definedName>
    <definedName name="_ddsoifio" hidden="1">#REF!</definedName>
    <definedName name="_de239" hidden="1">#REF!</definedName>
    <definedName name="_defeil" hidden="1">#REF!</definedName>
    <definedName name="_deraw" hidden="1">#REF!</definedName>
    <definedName name="_dfaer" hidden="1">#REF!</definedName>
    <definedName name="_dfdk" hidden="1">#REF!</definedName>
    <definedName name="_dfdkk3" hidden="1">#REF!</definedName>
    <definedName name="_dfeil" hidden="1">#REF!</definedName>
    <definedName name="_dfidifl" hidden="1">#REF!</definedName>
    <definedName name="_dfiefl23" hidden="1">#REF!</definedName>
    <definedName name="_dfieifoi" hidden="1">#REF!</definedName>
    <definedName name="_dfifeioil." hidden="1">#REF!</definedName>
    <definedName name="_dfifoie" hidden="1">#REF!</definedName>
    <definedName name="_dfiieee" hidden="1">#REF!</definedName>
    <definedName name="_dfill" hidden="1">#REF!</definedName>
    <definedName name="_dfkffja" hidden="1">#REF!</definedName>
    <definedName name="_dfklsfjw" hidden="1">#REF!</definedName>
    <definedName name="_dfksljfsew" hidden="1">#REF!</definedName>
    <definedName name="_dflfoieoi" hidden="1">#REF!</definedName>
    <definedName name="_dfmill" hidden="1">#REF!</definedName>
    <definedName name="_dfpqp" hidden="1">#REF!</definedName>
    <definedName name="_dfpqpas" hidden="1">#REF!</definedName>
    <definedName name="_dfuidfo" hidden="1">#REF!</definedName>
    <definedName name="_dfyyyieiel" hidden="1">#REF!</definedName>
    <definedName name="_dhihil" hidden="1">#REF!</definedName>
    <definedName name="_diael2" hidden="1">#REF!</definedName>
    <definedName name="_dicicliwliw" hidden="1">#REF!</definedName>
    <definedName name="_didl" hidden="1">#REF!</definedName>
    <definedName name="_didlifdi" hidden="1">#REF!</definedName>
    <definedName name="_dieireo" hidden="1">#REF!</definedName>
    <definedName name="_diewoiewl" hidden="1">#REF!</definedName>
    <definedName name="_difdlf" hidden="1">#REF!</definedName>
    <definedName name="_difefiel" hidden="1">#REF!</definedName>
    <definedName name="_difeifoie" hidden="1">#REF!</definedName>
    <definedName name="_difeowfla" hidden="1">#REF!</definedName>
    <definedName name="_difieifl" hidden="1">#REF!</definedName>
    <definedName name="_difiill" hidden="1">#REF!</definedName>
    <definedName name="_difisel" hidden="1">#REF!</definedName>
    <definedName name="_difiwi" hidden="1">#REF!</definedName>
    <definedName name="_difjdii" hidden="1">#REF!</definedName>
    <definedName name="_difoiwo43" hidden="1">#REF!</definedName>
    <definedName name="_difowo2" hidden="1">#REF!</definedName>
    <definedName name="_difpwpe" hidden="1">#REF!</definedName>
    <definedName name="_diieidid" hidden="1">#REF!</definedName>
    <definedName name="_diiooo" hidden="1">#REF!</definedName>
    <definedName name="_dill" hidden="1">#REF!</definedName>
    <definedName name="_dill2" hidden="1">#REF!</definedName>
    <definedName name="_disilefil" hidden="1">#REF!</definedName>
    <definedName name="_Dist_Bin" hidden="1">[7]조명시설!#REF!</definedName>
    <definedName name="_Dist_Values" hidden="1">[7]조명시설!#REF!</definedName>
    <definedName name="_diww3" hidden="1">#REF!</definedName>
    <definedName name="_dizilew" hidden="1">#REF!</definedName>
    <definedName name="_djfddslf" hidden="1">#REF!</definedName>
    <definedName name="_dkdidiio" hidden="1">#REF!</definedName>
    <definedName name="_dkdiri" hidden="1">#REF!</definedName>
    <definedName name="_dkdkd" hidden="1">#REF!</definedName>
    <definedName name="_dkf" hidden="1">#REF!</definedName>
    <definedName name="_dkfdi" hidden="1">#REF!</definedName>
    <definedName name="_dkfdkjfe" hidden="1">#REF!</definedName>
    <definedName name="_dkfeoi" hidden="1">#REF!</definedName>
    <definedName name="_dkfiefll2" hidden="1">#REF!</definedName>
    <definedName name="_dkfiewo" hidden="1">#REF!</definedName>
    <definedName name="_dkfjfwm" hidden="1">#REF!</definedName>
    <definedName name="_dkfjwio" hidden="1">#REF!</definedName>
    <definedName name="_dkfkd" hidden="1">#REF!</definedName>
    <definedName name="_dkfkoiw" hidden="1">#REF!</definedName>
    <definedName name="_dkfks" hidden="1">#REF!</definedName>
    <definedName name="_dkflkkl" hidden="1">#REF!</definedName>
    <definedName name="_dkflsilel" hidden="1">#REF!</definedName>
    <definedName name="_dkfol" hidden="1">#REF!</definedName>
    <definedName name="_dklao" hidden="1">#REF!</definedName>
    <definedName name="_dkldfiip" hidden="1">#REF!</definedName>
    <definedName name="_dkldlfeoi" hidden="1">#REF!</definedName>
    <definedName name="_dklfelkfl" hidden="1">#REF!</definedName>
    <definedName name="_dklsajfqp" hidden="1">#REF!</definedName>
    <definedName name="_dksislseoi" hidden="1">#REF!</definedName>
    <definedName name="_dkskfkd" hidden="1">#REF!</definedName>
    <definedName name="_dksmil" hidden="1">#REF!</definedName>
    <definedName name="_dkzpekf" hidden="1">#REF!</definedName>
    <definedName name="_dlfwo" hidden="1">#REF!</definedName>
    <definedName name="_dncidcl" hidden="1">#REF!</definedName>
    <definedName name="_dofiei" hidden="1">#REF!</definedName>
    <definedName name="_dofjeio" hidden="1">#REF!</definedName>
    <definedName name="_dopqmwe" hidden="1">#REF!</definedName>
    <definedName name="_dososw" hidden="1">#REF!</definedName>
    <definedName name="_dpds" hidden="1">#REF!</definedName>
    <definedName name="_dpge" hidden="1">#REF!</definedName>
    <definedName name="_dpill" hidden="1">#REF!</definedName>
    <definedName name="_dppei" hidden="1">#REF!</definedName>
    <definedName name="_dpspdsph" hidden="1">#REF!</definedName>
    <definedName name="_dreirill" hidden="1">#REF!</definedName>
    <definedName name="_dsdoifo" hidden="1">#REF!</definedName>
    <definedName name="_dsfill" hidden="1">#REF!</definedName>
    <definedName name="_dsfioq" hidden="1">#REF!</definedName>
    <definedName name="_dsoixiz" hidden="1">#REF!</definedName>
    <definedName name="_dspdp" hidden="1">#REF!</definedName>
    <definedName name="_dy8ielfey" hidden="1">#REF!</definedName>
    <definedName name="_edail" hidden="1">#REF!</definedName>
    <definedName name="_eddfill" hidden="1">#REF!</definedName>
    <definedName name="_eddil" hidden="1">#REF!</definedName>
    <definedName name="_edfil" hidden="1">#REF!</definedName>
    <definedName name="_edfil2" hidden="1">#REF!</definedName>
    <definedName name="_edield" hidden="1">#REF!</definedName>
    <definedName name="_edkfoidoi" hidden="1">#REF!</definedName>
    <definedName name="_eeill" hidden="1">#REF!</definedName>
    <definedName name="_efdcil" hidden="1">#REF!</definedName>
    <definedName name="_efefeapq" hidden="1">#REF!</definedName>
    <definedName name="_efefeif" hidden="1">#REF!</definedName>
    <definedName name="_efefk" hidden="1">#REF!</definedName>
    <definedName name="_effw" hidden="1">#REF!</definedName>
    <definedName name="_efil" hidden="1">#REF!</definedName>
    <definedName name="_efil2" hidden="1">#REF!</definedName>
    <definedName name="_efila" hidden="1">#REF!</definedName>
    <definedName name="_efile" hidden="1">#REF!</definedName>
    <definedName name="_efoiejfeoi" hidden="1">#REF!</definedName>
    <definedName name="_efril" hidden="1">#REF!</definedName>
    <definedName name="_eiafl" hidden="1">#REF!</definedName>
    <definedName name="_eiffel" hidden="1">#REF!</definedName>
    <definedName name="_eifiefoi" hidden="1">#REF!</definedName>
    <definedName name="_eififi09" hidden="1">#REF!</definedName>
    <definedName name="_eiflweil" hidden="1">#REF!</definedName>
    <definedName name="_eifoewf" hidden="1">#REF!</definedName>
    <definedName name="_eifugil" hidden="1">#REF!</definedName>
    <definedName name="_eiifeo" hidden="1">#REF!</definedName>
    <definedName name="_eiil" hidden="1">#REF!</definedName>
    <definedName name="_eiill" hidden="1">#REF!</definedName>
    <definedName name="_eill" hidden="1">#REF!</definedName>
    <definedName name="_eilwwl" hidden="1">#REF!</definedName>
    <definedName name="_eiofoiewoi" hidden="1">#REF!</definedName>
    <definedName name="_eiofoifoi" hidden="1">#REF!</definedName>
    <definedName name="_eiol" hidden="1">#REF!</definedName>
    <definedName name="_eiolli" hidden="1">#REF!</definedName>
    <definedName name="_eiowfp" hidden="1">#REF!</definedName>
    <definedName name="_eireoi" hidden="1">#REF!</definedName>
    <definedName name="_eiroifo" hidden="1">#REF!</definedName>
    <definedName name="_eiwioqug" hidden="1">#REF!</definedName>
    <definedName name="_eiwofil" hidden="1">#REF!</definedName>
    <definedName name="_eiwofka" hidden="1">#REF!</definedName>
    <definedName name="_eiwoflsd" hidden="1">#REF!</definedName>
    <definedName name="_eiwowe32" hidden="1">#REF!</definedName>
    <definedName name="_eizo" hidden="1">#REF!</definedName>
    <definedName name="_ekdo" hidden="1">#REF!</definedName>
    <definedName name="_ekfjefoie" hidden="1">#REF!</definedName>
    <definedName name="_ekiwewoiweo" hidden="1">#REF!</definedName>
    <definedName name="_ekofok" hidden="1">#REF!</definedName>
    <definedName name="_ekqge" hidden="1">#REF!</definedName>
    <definedName name="_ekrieoi" hidden="1">#REF!</definedName>
    <definedName name="_eoeoewow" hidden="1">#REF!</definedName>
    <definedName name="_eofoweo" hidden="1">#REF!</definedName>
    <definedName name="_eofzdk" hidden="1">#REF!</definedName>
    <definedName name="_eoifweoifeo" hidden="1">#REF!</definedName>
    <definedName name="_eoiw9" hidden="1">#REF!</definedName>
    <definedName name="_epepek" hidden="1">#REF!</definedName>
    <definedName name="_eppeox" hidden="1">#REF!</definedName>
    <definedName name="_epqsk" hidden="1">#REF!</definedName>
    <definedName name="_epqzazkd" hidden="1">#REF!</definedName>
    <definedName name="_eqed" hidden="1">#REF!</definedName>
    <definedName name="_erfeil" hidden="1">#REF!</definedName>
    <definedName name="_erffe" hidden="1">#REF!</definedName>
    <definedName name="_eridl" hidden="1">#REF!</definedName>
    <definedName name="_erie" hidden="1">#REF!</definedName>
    <definedName name="_erilff" hidden="1">#REF!</definedName>
    <definedName name="_erill" hidden="1">#REF!</definedName>
    <definedName name="_erilseil" hidden="1">#REF!</definedName>
    <definedName name="_eriwl" hidden="1">#REF!</definedName>
    <definedName name="_ernill" hidden="1">#REF!</definedName>
    <definedName name="_errza" hidden="1">#REF!</definedName>
    <definedName name="_ervil" hidden="1">#REF!</definedName>
    <definedName name="_erwaaz" hidden="1">#REF!</definedName>
    <definedName name="_etkill" hidden="1">#REF!</definedName>
    <definedName name="_eudifil" hidden="1">#REF!</definedName>
    <definedName name="_eweilld" hidden="1">#REF!</definedName>
    <definedName name="_ewivio" hidden="1">#REF!</definedName>
    <definedName name="_eww09r0" hidden="1">#REF!</definedName>
    <definedName name="_faeil" hidden="1">#REF!</definedName>
    <definedName name="_faeill" hidden="1">#REF!</definedName>
    <definedName name="_faeqil" hidden="1">#REF!</definedName>
    <definedName name="_faiel" hidden="1">#REF!</definedName>
    <definedName name="_faielfiefli" hidden="1">#REF!</definedName>
    <definedName name="_fail" hidden="1">#REF!</definedName>
    <definedName name="_fail2" hidden="1">#REF!</definedName>
    <definedName name="_failee3" hidden="1">#REF!</definedName>
    <definedName name="_faill" hidden="1">#REF!</definedName>
    <definedName name="_fall" hidden="1">#REF!</definedName>
    <definedName name="_fbill" hidden="1">#REF!</definedName>
    <definedName name="_fcill" hidden="1">#REF!</definedName>
    <definedName name="_fdafail" hidden="1">#REF!</definedName>
    <definedName name="_fdffe" hidden="1">#REF!</definedName>
    <definedName name="_fdfil" hidden="1">#REF!</definedName>
    <definedName name="_fdgil" hidden="1">#REF!</definedName>
    <definedName name="_fdiaielfl" hidden="1">#REF!</definedName>
    <definedName name="_fdidfivli" hidden="1">#REF!</definedName>
    <definedName name="_fdifdll" hidden="1">#REF!</definedName>
    <definedName name="_fdill" hidden="1">#REF!</definedName>
    <definedName name="_fdk" hidden="1">#REF!</definedName>
    <definedName name="_fe03l" hidden="1">#REF!</definedName>
    <definedName name="_feaail" hidden="1">#REF!</definedName>
    <definedName name="_feaill" hidden="1">#REF!</definedName>
    <definedName name="_fedeil" hidden="1">#REF!</definedName>
    <definedName name="_fediil" hidden="1">#REF!</definedName>
    <definedName name="_fee93l" hidden="1">#REF!</definedName>
    <definedName name="_feekfkl" hidden="1">#REF!</definedName>
    <definedName name="_feeri" hidden="1">#REF!</definedName>
    <definedName name="_feerirl" hidden="1">#REF!</definedName>
    <definedName name="_fefdwil" hidden="1">#REF!</definedName>
    <definedName name="_fefe" hidden="1">#REF!</definedName>
    <definedName name="_fefeill" hidden="1">#REF!</definedName>
    <definedName name="_fefek" hidden="1">#REF!</definedName>
    <definedName name="_fefiiss" hidden="1">#REF!</definedName>
    <definedName name="_fefil2" hidden="1">#REF!</definedName>
    <definedName name="_fefiwll" hidden="1">#REF!</definedName>
    <definedName name="_fefiwo2" hidden="1">#REF!</definedName>
    <definedName name="_fefkdgil" hidden="1">#REF!</definedName>
    <definedName name="_fei2" hidden="1">#REF!</definedName>
    <definedName name="_fei2sl" hidden="1">#REF!</definedName>
    <definedName name="_feifez" hidden="1">#REF!</definedName>
    <definedName name="_feifl" hidden="1">#REF!</definedName>
    <definedName name="_feifle2" hidden="1">#REF!</definedName>
    <definedName name="_feiiidf" hidden="1">#REF!</definedName>
    <definedName name="_feiiql" hidden="1">#REF!</definedName>
    <definedName name="_feiiweil" hidden="1">#REF!</definedName>
    <definedName name="_feil" hidden="1">#REF!</definedName>
    <definedName name="_feil2" hidden="1">#REF!</definedName>
    <definedName name="_feil3" hidden="1">#REF!</definedName>
    <definedName name="_feil33" hidden="1">#REF!</definedName>
    <definedName name="_feild" hidden="1">#REF!</definedName>
    <definedName name="_feilf" hidden="1">#REF!</definedName>
    <definedName name="_feilff" hidden="1">#REF!</definedName>
    <definedName name="_feilli2" hidden="1">#REF!</definedName>
    <definedName name="_feillw" hidden="1">#REF!</definedName>
    <definedName name="_feilsd" hidden="1">#REF!</definedName>
    <definedName name="_feilss2" hidden="1">#REF!</definedName>
    <definedName name="_feilsse" hidden="1">#REF!</definedName>
    <definedName name="_felle" hidden="1">#REF!</definedName>
    <definedName name="_feoifif" hidden="1">#REF!</definedName>
    <definedName name="_feoiio2z" hidden="1">#REF!</definedName>
    <definedName name="_feoijfoij" hidden="1">#REF!</definedName>
    <definedName name="_feopw" hidden="1">#REF!</definedName>
    <definedName name="_feoq2" hidden="1">#REF!</definedName>
    <definedName name="_fereils" hidden="1">#REF!</definedName>
    <definedName name="_ferereril" hidden="1">#REF!</definedName>
    <definedName name="_fesdil" hidden="1">#REF!</definedName>
    <definedName name="_feseils" hidden="1">#REF!</definedName>
    <definedName name="_fesil" hidden="1">#REF!</definedName>
    <definedName name="_ffddl" hidden="1">#REF!</definedName>
    <definedName name="_ffeeiil2" hidden="1">#REF!</definedName>
    <definedName name="_ffefil3" hidden="1">#REF!</definedName>
    <definedName name="_ffeiile" hidden="1">#REF!</definedName>
    <definedName name="_ffeil" hidden="1">#REF!</definedName>
    <definedName name="_ffeil2" hidden="1">#REF!</definedName>
    <definedName name="_ffeilol" hidden="1">#REF!</definedName>
    <definedName name="_ffeilssl" hidden="1">#REF!</definedName>
    <definedName name="_ffeipe" hidden="1">#REF!</definedName>
    <definedName name="_ffiill" hidden="1">#REF!</definedName>
    <definedName name="_ffill" hidden="1">#REF!</definedName>
    <definedName name="_ffkefe" hidden="1">#REF!</definedName>
    <definedName name="_fgegeil" hidden="1">#REF!</definedName>
    <definedName name="_ficil2" hidden="1">#REF!</definedName>
    <definedName name="_fidoifdoi" hidden="1">#REF!</definedName>
    <definedName name="_fieeli" hidden="1">#REF!</definedName>
    <definedName name="_fiefie" hidden="1">#REF!</definedName>
    <definedName name="_fiefiel" hidden="1">#REF!</definedName>
    <definedName name="_fiefieli3" hidden="1">#REF!</definedName>
    <definedName name="_fiefieofo3" hidden="1">#REF!</definedName>
    <definedName name="_fiefiol" hidden="1">#REF!</definedName>
    <definedName name="_fiefl3" hidden="1">#REF!</definedName>
    <definedName name="_fieflefi" hidden="1">#REF!</definedName>
    <definedName name="_fieflilsz" hidden="1">#REF!</definedName>
    <definedName name="_fieflwsz" hidden="1">#REF!</definedName>
    <definedName name="_fiefoeieil" hidden="1">#REF!</definedName>
    <definedName name="_fiefoieoi" hidden="1">#REF!</definedName>
    <definedName name="_fiei" hidden="1">#REF!</definedName>
    <definedName name="_fieige" hidden="1">#REF!</definedName>
    <definedName name="_fieiogjmml" hidden="1">#REF!</definedName>
    <definedName name="_fiel" hidden="1">#REF!</definedName>
    <definedName name="_fielef2" hidden="1">#REF!</definedName>
    <definedName name="_fielfci" hidden="1">#REF!</definedName>
    <definedName name="_fielfld" hidden="1">#REF!</definedName>
    <definedName name="_fielifli" hidden="1">#REF!</definedName>
    <definedName name="_fielifwle2" hidden="1">#REF!</definedName>
    <definedName name="_fiell" hidden="1">#REF!</definedName>
    <definedName name="_fieoss" hidden="1">#REF!</definedName>
    <definedName name="_fieoz" hidden="1">#REF!</definedName>
    <definedName name="_fiieiove" hidden="1">#REF!</definedName>
    <definedName name="_fiioeo3" hidden="1">#REF!</definedName>
    <definedName name="_Fil" hidden="1">#REF!</definedName>
    <definedName name="_fil2" hidden="1">#REF!</definedName>
    <definedName name="_fil3" hidden="1">#REF!</definedName>
    <definedName name="_file2" hidden="1">#REF!</definedName>
    <definedName name="_filell2" hidden="1">#REF!</definedName>
    <definedName name="_Fill" localSheetId="0" hidden="1">[8]손익!#REF!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e" hidden="1">#REF!</definedName>
    <definedName name="_fills" hidden="1">#REF!</definedName>
    <definedName name="_xlnm._FilterDatabase" hidden="1">#REF!</definedName>
    <definedName name="_fiooe" hidden="1">#REF!</definedName>
    <definedName name="_fiqoek" hidden="1">#REF!</definedName>
    <definedName name="_fiqpziem" hidden="1">#REF!</definedName>
    <definedName name="_fjnfqip" hidden="1">#REF!</definedName>
    <definedName name="_fjowo" hidden="1">#REF!</definedName>
    <definedName name="_fkdfie3" hidden="1">#REF!</definedName>
    <definedName name="_fkefie" hidden="1">#REF!</definedName>
    <definedName name="_fkefilel" hidden="1">#REF!</definedName>
    <definedName name="_fkeifeil" hidden="1">#REF!</definedName>
    <definedName name="_fkekfe" hidden="1">#REF!</definedName>
    <definedName name="_fkldfifewo" hidden="1">#REF!</definedName>
    <definedName name="_fkvviil" hidden="1">#REF!</definedName>
    <definedName name="_fldflei" hidden="1">#REF!</definedName>
    <definedName name="_flelflei" hidden="1">#REF!</definedName>
    <definedName name="_flfilf" hidden="1">#REF!</definedName>
    <definedName name="_fll2" hidden="1">#REF!</definedName>
    <definedName name="_flle2i" hidden="1">#REF!</definedName>
    <definedName name="_floooccz" hidden="1">#REF!</definedName>
    <definedName name="_fmikill" hidden="1">#REF!</definedName>
    <definedName name="_fneflkef" hidden="1">#REF!</definedName>
    <definedName name="_foewoifoi" hidden="1">#REF!</definedName>
    <definedName name="_foieoeil" hidden="1">#REF!</definedName>
    <definedName name="_fpeepdck" hidden="1">#REF!</definedName>
    <definedName name="_fpefpeif" hidden="1">#REF!</definedName>
    <definedName name="_fpfpil" hidden="1">#REF!</definedName>
    <definedName name="_fpief" hidden="1">#REF!</definedName>
    <definedName name="_fqeoedl" hidden="1">#REF!</definedName>
    <definedName name="_fqiel22" hidden="1">#REF!</definedName>
    <definedName name="_fsreit" hidden="1">#REF!</definedName>
    <definedName name="_ftilg" hidden="1">#REF!</definedName>
    <definedName name="_fv990" hidden="1">#REF!</definedName>
    <definedName name="_fw90rw0e" hidden="1">#REF!</definedName>
    <definedName name="_fweisz" hidden="1">#REF!</definedName>
    <definedName name="_fwleil" hidden="1">#REF!</definedName>
    <definedName name="_fwlle2" hidden="1">#REF!</definedName>
    <definedName name="_fwoefoif" hidden="1">#REF!</definedName>
    <definedName name="_fzieoif" hidden="1">#REF!</definedName>
    <definedName name="_g2llil" hidden="1">#REF!</definedName>
    <definedName name="_gaile" hidden="1">#REF!</definedName>
    <definedName name="_geiaadl" hidden="1">#REF!</definedName>
    <definedName name="_geiggii" hidden="1">#REF!</definedName>
    <definedName name="_geiila" hidden="1">#REF!</definedName>
    <definedName name="_geild" hidden="1">#REF!</definedName>
    <definedName name="_geili" hidden="1">#REF!</definedName>
    <definedName name="_geill" hidden="1">#REF!</definedName>
    <definedName name="_geilzed" hidden="1">#REF!</definedName>
    <definedName name="_gerril" hidden="1">#REF!</definedName>
    <definedName name="_gfhoioi" hidden="1">#REF!</definedName>
    <definedName name="_ggaile" hidden="1">#REF!</definedName>
    <definedName name="_ghihil" hidden="1">#REF!</definedName>
    <definedName name="_gielzld" hidden="1">#REF!</definedName>
    <definedName name="_gierlaz" hidden="1">#REF!</definedName>
    <definedName name="_giigie" hidden="1">#REF!</definedName>
    <definedName name="_gill" hidden="1">#REF!</definedName>
    <definedName name="_gkjqi" hidden="1">#REF!</definedName>
    <definedName name="_gnandifi" hidden="1">#REF!</definedName>
    <definedName name="_gqill" hidden="1">#REF!</definedName>
    <definedName name="_hhill" hidden="1">#REF!</definedName>
    <definedName name="_hierl" hidden="1">#REF!</definedName>
    <definedName name="_hill" hidden="1">#REF!</definedName>
    <definedName name="_hollister" hidden="1">#REF!</definedName>
    <definedName name="_iceberg" hidden="1">#REF!</definedName>
    <definedName name="_iiieepp" hidden="1">#REF!</definedName>
    <definedName name="_iiildni" hidden="1">#REF!</definedName>
    <definedName name="_iiilel" hidden="1">#REF!</definedName>
    <definedName name="_iill" hidden="1">#REF!</definedName>
    <definedName name="_ikiidl" hidden="1">#REF!</definedName>
    <definedName name="_ilikilk" hidden="1">#REF!</definedName>
    <definedName name="_iofwwoi" hidden="1">#REF!</definedName>
    <definedName name="_ioioioo" hidden="1">#REF!</definedName>
    <definedName name="_ioiwey" hidden="1">#REF!</definedName>
    <definedName name="_ippipq" hidden="1">#REF!</definedName>
    <definedName name="_ixxidil" hidden="1">#REF!</definedName>
    <definedName name="_jill" hidden="1">#REF!</definedName>
    <definedName name="_kdfdsd" hidden="1">#REF!</definedName>
    <definedName name="_kdfflfe" hidden="1">#REF!</definedName>
    <definedName name="_kdfleof" hidden="1">#REF!</definedName>
    <definedName name="_kdfloi3" hidden="1">#REF!</definedName>
    <definedName name="_keeril" hidden="1">#REF!</definedName>
    <definedName name="_keoiewo" hidden="1">#REF!</definedName>
    <definedName name="_Key1" localSheetId="0" hidden="1">#REF!</definedName>
    <definedName name="_Key1" hidden="1">#REF!</definedName>
    <definedName name="_Key2" localSheetId="0" hidden="1">[9]추가예산!#REF!</definedName>
    <definedName name="_Key2" hidden="1">#REF!</definedName>
    <definedName name="_kill" hidden="1">#REF!</definedName>
    <definedName name="_kkiil" hidden="1">#REF!</definedName>
    <definedName name="_kkillli" hidden="1">#REF!</definedName>
    <definedName name="_levis" hidden="1">#REF!</definedName>
    <definedName name="_lielsz" hidden="1">#REF!</definedName>
    <definedName name="_lill" hidden="1">#REF!</definedName>
    <definedName name="_MatInverse_In" hidden="1">'[10]영동(D)'!#REF!</definedName>
    <definedName name="_MatMult_A" hidden="1">'[10]영동(D)'!#REF!</definedName>
    <definedName name="_MatMult_AxB" hidden="1">'[10]영동(D)'!#REF!</definedName>
    <definedName name="_MatMult_B" hidden="1">'[10]영동(D)'!#REF!</definedName>
    <definedName name="_mdidkl" hidden="1">#REF!</definedName>
    <definedName name="_mdiidld" hidden="1">#REF!</definedName>
    <definedName name="_mdill" hidden="1">#REF!</definedName>
    <definedName name="_mewowo" hidden="1">#REF!</definedName>
    <definedName name="_mfill" hidden="1">#REF!</definedName>
    <definedName name="_mgfill" hidden="1">#REF!</definedName>
    <definedName name="_mielel" hidden="1">#REF!</definedName>
    <definedName name="_miilelld" hidden="1">#REF!</definedName>
    <definedName name="_mill" hidden="1">#REF!</definedName>
    <definedName name="_mqdidl" hidden="1">#REF!</definedName>
    <definedName name="_naeil" hidden="1">#REF!</definedName>
    <definedName name="_naiel" hidden="1">#REF!</definedName>
    <definedName name="_naill" hidden="1">#REF!</definedName>
    <definedName name="_ncikl" hidden="1">#REF!</definedName>
    <definedName name="_ndiel" hidden="1">#REF!</definedName>
    <definedName name="_ndill" hidden="1">#REF!</definedName>
    <definedName name="_ngsndi" hidden="1">#REF!</definedName>
    <definedName name="_nilei" hidden="1">#REF!</definedName>
    <definedName name="_nilief" hidden="1">#REF!</definedName>
    <definedName name="_nill" hidden="1">#REF!</definedName>
    <definedName name="_nsill" hidden="1">#REF!</definedName>
    <definedName name="_nsoidi" hidden="1">#REF!</definedName>
    <definedName name="_oill" hidden="1">#REF!</definedName>
    <definedName name="_oillu" hidden="1">#REF!</definedName>
    <definedName name="_Order1" localSheetId="0" hidden="1">255</definedName>
    <definedName name="_Order1" hidden="1">255</definedName>
    <definedName name="_Order2" localSheetId="0" hidden="1">255</definedName>
    <definedName name="_Order2" hidden="1">255</definedName>
    <definedName name="_paeil" hidden="1">#REF!</definedName>
    <definedName name="_paeilax" hidden="1">#REF!</definedName>
    <definedName name="_paielo" hidden="1">#REF!</definedName>
    <definedName name="_paiill" hidden="1">#REF!</definedName>
    <definedName name="_paile" hidden="1">#REF!</definedName>
    <definedName name="_paill" hidden="1">#REF!</definedName>
    <definedName name="_Parse_In" hidden="1">#REF!</definedName>
    <definedName name="_Parse_Out" localSheetId="0" hidden="1">[11]갑지1!#REF!</definedName>
    <definedName name="_Parse_Out" hidden="1">#REF!</definedName>
    <definedName name="_pedill" hidden="1">#REF!</definedName>
    <definedName name="_peeil" hidden="1">#REF!</definedName>
    <definedName name="_pefpepf" hidden="1">#REF!</definedName>
    <definedName name="_pegrill" hidden="1">#REF!</definedName>
    <definedName name="_peill" hidden="1">#REF!</definedName>
    <definedName name="_peip" hidden="1">#REF!</definedName>
    <definedName name="_peoioep" hidden="1">#REF!</definedName>
    <definedName name="_pepck" hidden="1">#REF!</definedName>
    <definedName name="_pepckg" hidden="1">#REF!</definedName>
    <definedName name="_pepeoiio" hidden="1">#REF!</definedName>
    <definedName name="_perig" hidden="1">#REF!</definedName>
    <definedName name="_perriw" hidden="1">#REF!</definedName>
    <definedName name="_pew2l" hidden="1">#REF!</definedName>
    <definedName name="_pfil" hidden="1">#REF!</definedName>
    <definedName name="_phkdie" hidden="1">#REF!</definedName>
    <definedName name="_piagli" hidden="1">#REF!</definedName>
    <definedName name="_pie2" hidden="1">#REF!</definedName>
    <definedName name="_piepg" hidden="1">#REF!</definedName>
    <definedName name="_piewoeih" hidden="1">#REF!</definedName>
    <definedName name="_pill" hidden="1">#REF!</definedName>
    <definedName name="_pill22" hidden="1">#REF!</definedName>
    <definedName name="_pillz" hidden="1">#REF!</definedName>
    <definedName name="_pioea" hidden="1">#REF!</definedName>
    <definedName name="_piwoeill" hidden="1">#REF!</definedName>
    <definedName name="_pjkls" hidden="1">#REF!</definedName>
    <definedName name="_poeisz" hidden="1">#REF!</definedName>
    <definedName name="_poiee" hidden="1">#REF!</definedName>
    <definedName name="_poieez" hidden="1">#REF!</definedName>
    <definedName name="_poieezd" hidden="1">#REF!</definedName>
    <definedName name="_poieow" hidden="1">#REF!</definedName>
    <definedName name="_poill" hidden="1">#REF!</definedName>
    <definedName name="_poizei" hidden="1">#REF!</definedName>
    <definedName name="_poqieilz" hidden="1">#REF!</definedName>
    <definedName name="_ppill" hidden="1">#REF!</definedName>
    <definedName name="_pppeidi" hidden="1">#REF!</definedName>
    <definedName name="_ppqei" hidden="1">#REF!</definedName>
    <definedName name="_pqeiod" hidden="1">#REF!</definedName>
    <definedName name="_pqkslx" hidden="1">#REF!</definedName>
    <definedName name="_prada" hidden="1">#REF!</definedName>
    <definedName name="_psiddil" hidden="1">#REF!</definedName>
    <definedName name="_psill" hidden="1">#REF!</definedName>
    <definedName name="_qadif" hidden="1">#REF!</definedName>
    <definedName name="_qdazil" hidden="1">#REF!</definedName>
    <definedName name="_qeewii" hidden="1">#REF!</definedName>
    <definedName name="_qfjfjfep" hidden="1">#REF!</definedName>
    <definedName name="_qieox" hidden="1">#REF!</definedName>
    <definedName name="_qill" hidden="1">#REF!</definedName>
    <definedName name="_qixln" hidden="1">#REF!</definedName>
    <definedName name="_qkiidl" hidden="1">#REF!</definedName>
    <definedName name="_qkzkl" hidden="1">#REF!</definedName>
    <definedName name="_qlzidle" hidden="1">#REF!</definedName>
    <definedName name="_qpdieez" hidden="1">#REF!</definedName>
    <definedName name="_qpei" hidden="1">#REF!</definedName>
    <definedName name="_qpeozkd" hidden="1">#REF!</definedName>
    <definedName name="_qpfife" hidden="1">#REF!</definedName>
    <definedName name="_qpsm" hidden="1">#REF!</definedName>
    <definedName name="_qpxoe" hidden="1">#REF!</definedName>
    <definedName name="_qqeils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irelfel" hidden="1">#REF!</definedName>
    <definedName name="_reiril" hidden="1">#REF!</definedName>
    <definedName name="_riel" hidden="1">#REF!</definedName>
    <definedName name="_rill" hidden="1">#REF!</definedName>
    <definedName name="_riririel" hidden="1">#REF!</definedName>
    <definedName name="_seiell2" hidden="1">#REF!</definedName>
    <definedName name="_sfile" hidden="1">#REF!</definedName>
    <definedName name="_sieieildl" hidden="1">#REF!</definedName>
    <definedName name="_sieisl" hidden="1">#REF!</definedName>
    <definedName name="_sill" hidden="1">#REF!</definedName>
    <definedName name="_sill2" hidden="1">#REF!</definedName>
    <definedName name="_sldilw" hidden="1">#REF!</definedName>
    <definedName name="_soiwill" hidden="1">#REF!</definedName>
    <definedName name="_Sort" localSheetId="0" hidden="1">#REF!</definedName>
    <definedName name="_Sort" hidden="1">#REF!</definedName>
    <definedName name="_SORT1" hidden="1">#REF!</definedName>
    <definedName name="_ssoeoiif2" hidden="1">#REF!</definedName>
    <definedName name="_Table1_In1" hidden="1">#REF!</definedName>
    <definedName name="_Table1_Out" hidden="1">#REF!</definedName>
    <definedName name="_uaiellis2" hidden="1">#REF!</definedName>
    <definedName name="_uaill" hidden="1">#REF!</definedName>
    <definedName name="_udfill" hidden="1">#REF!</definedName>
    <definedName name="_udifildlif" hidden="1">#REF!</definedName>
    <definedName name="_udill" hidden="1">#REF!</definedName>
    <definedName name="_ueiic" hidden="1">#REF!</definedName>
    <definedName name="_uiel" hidden="1">#REF!</definedName>
    <definedName name="_uil3" hidden="1">#REF!</definedName>
    <definedName name="_uilel" hidden="1">#REF!</definedName>
    <definedName name="_uill" hidden="1">#REF!</definedName>
    <definedName name="_usieilldi" hidden="1">#REF!</definedName>
    <definedName name="_usill" hidden="1">#REF!</definedName>
    <definedName name="_uuill" hidden="1">#REF!</definedName>
    <definedName name="_uweil" hidden="1">#REF!</definedName>
    <definedName name="_vaidlif" hidden="1">#REF!</definedName>
    <definedName name="_vaiilld" hidden="1">#REF!</definedName>
    <definedName name="_vaill" hidden="1">#REF!</definedName>
    <definedName name="_vcvfddfl" hidden="1">#REF!</definedName>
    <definedName name="_veail" hidden="1">#REF!</definedName>
    <definedName name="_veil" hidden="1">#REF!</definedName>
    <definedName name="_vfdifdl" hidden="1">#REF!</definedName>
    <definedName name="_vfdill" hidden="1">#REF!</definedName>
    <definedName name="_vfdilla" hidden="1">#REF!</definedName>
    <definedName name="_vholi" hidden="1">#REF!</definedName>
    <definedName name="_vidoifio" hidden="1">#REF!</definedName>
    <definedName name="_vieldc" hidden="1">#REF!</definedName>
    <definedName name="_vielsl" hidden="1">#REF!</definedName>
    <definedName name="_viileled" hidden="1">#REF!</definedName>
    <definedName name="_vill" hidden="1">#REF!</definedName>
    <definedName name="_vorefoieoo" hidden="1">#REF!</definedName>
    <definedName name="_vvill" hidden="1">#REF!</definedName>
    <definedName name="_wawaoq" hidden="1">#REF!</definedName>
    <definedName name="_wcidl" hidden="1">#REF!</definedName>
    <definedName name="_wdfill" hidden="1">#REF!</definedName>
    <definedName name="_wdill" hidden="1">#REF!</definedName>
    <definedName name="_weidl" hidden="1">#REF!</definedName>
    <definedName name="_weilg" hidden="1">#REF!</definedName>
    <definedName name="_weill" hidden="1">#REF!</definedName>
    <definedName name="_weiweio" hidden="1">#REF!</definedName>
    <definedName name="_widifl" hidden="1">#REF!</definedName>
    <definedName name="_wielx" hidden="1">#REF!</definedName>
    <definedName name="_wilil" hidden="1">#REF!</definedName>
    <definedName name="_will" hidden="1">#REF!</definedName>
    <definedName name="_wille" hidden="1">#REF!</definedName>
    <definedName name="_woeirool" hidden="1">#REF!</definedName>
    <definedName name="_wsddd" hidden="1">#REF!</definedName>
    <definedName name="_wsill" hidden="1">#REF!</definedName>
    <definedName name="_wwowwo" hidden="1">#REF!</definedName>
    <definedName name="_wwwoz" hidden="1">#REF!</definedName>
    <definedName name="_xaill" hidden="1">#REF!</definedName>
    <definedName name="_xcill" hidden="1">#REF!</definedName>
    <definedName name="_xewail" hidden="1">#REF!</definedName>
    <definedName name="_xidilal" hidden="1">#REF!</definedName>
    <definedName name="_xill" hidden="1">#REF!</definedName>
    <definedName name="_xisi" hidden="1">#REF!</definedName>
    <definedName name="_xxasidl" hidden="1">#REF!</definedName>
    <definedName name="_xxdil" hidden="1">#REF!</definedName>
    <definedName name="_xxill" hidden="1">#REF!</definedName>
    <definedName name="_xzasdl" hidden="1">#REF!</definedName>
    <definedName name="_xzsidl" hidden="1">#REF!</definedName>
    <definedName name="_yill" hidden="1">#REF!</definedName>
    <definedName name="_yyill" hidden="1">#REF!</definedName>
    <definedName name="_zaill" hidden="1">#REF!</definedName>
    <definedName name="_zassaza" hidden="1">#REF!</definedName>
    <definedName name="_zceil" hidden="1">#REF!</definedName>
    <definedName name="_zeilaw" hidden="1">#REF!</definedName>
    <definedName name="_zill" hidden="1">#REF!</definedName>
    <definedName name="_ziwi" hidden="1">#REF!</definedName>
    <definedName name="_zpj" hidden="1">#REF!</definedName>
    <definedName name="_zpmei2" hidden="1">#REF!</definedName>
    <definedName name="_zpzpzp" hidden="1">#REF!</definedName>
    <definedName name="_zzal" hidden="1">#REF!</definedName>
    <definedName name="_zzall" hidden="1">#REF!</definedName>
    <definedName name="_zzidy" hidden="1">#REF!</definedName>
    <definedName name="_zzill" hidden="1">#REF!</definedName>
    <definedName name="_zzzail" hidden="1">#REF!</definedName>
    <definedName name="aaaaa" hidden="1">{#N/A,#N/A,FALSE,"조골재"}</definedName>
    <definedName name="ab" hidden="1">1</definedName>
    <definedName name="abc" localSheetId="0" hidden="1">[2]목표세부명세!#REF!</definedName>
    <definedName name="abc" hidden="1">[2]목표세부명세!#REF!</definedName>
    <definedName name="abcd" hidden="1">#N/A</definedName>
    <definedName name="AccessDatabase" hidden="1">"E:\WORK\VISUAL\MIRAE\LOADSYS\LoadDB.mdb"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fhhhda" hidden="1">[12]입찰안!#REF!</definedName>
    <definedName name="afasd" hidden="1">{#N/A,#N/A,FALSE,"단가표지"}</definedName>
    <definedName name="afd" hidden="1">{#N/A,#N/A,FALSE,"운반시간"}</definedName>
    <definedName name="ajdi" hidden="1">{#N/A,#N/A,FALSE,"집계표"}</definedName>
    <definedName name="ak" hidden="1">#REF!</definedName>
    <definedName name="anscount" hidden="1">1</definedName>
    <definedName name="asfas" hidden="1">{#N/A,#N/A,FALSE,"표지목차"}</definedName>
    <definedName name="bbb" localSheetId="0" hidden="1">{#N/A,#N/A,FALSE,"단면 제원"}</definedName>
    <definedName name="bbb" hidden="1">{#N/A,#N/A,FALSE,"단면 제원"}</definedName>
    <definedName name="BI" localSheetId="0" hidden="1">{#N/A,#N/A,FALSE,"이태원철근"}</definedName>
    <definedName name="BI" hidden="1">{#N/A,#N/A,FALSE,"이태원철근"}</definedName>
    <definedName name="bms" hidden="1">#REF!</definedName>
    <definedName name="CF요인" localSheetId="0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FDFD" localSheetId="0" hidden="1">{#N/A,#N/A,FALSE,"전력간선"}</definedName>
    <definedName name="DFDFD" hidden="1">{#N/A,#N/A,FALSE,"전력간선"}</definedName>
    <definedName name="dffryryt" localSheetId="0" hidden="1">{#N/A,#N/A,FALSE,"속도"}</definedName>
    <definedName name="dffryryt" hidden="1">{#N/A,#N/A,FALSE,"속도"}</definedName>
    <definedName name="dfhhasd" hidden="1">[12]입찰안!#REF!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dll" hidden="1">[13]조명시설!#REF!</definedName>
    <definedName name="dn" localSheetId="0" hidden="1">{#N/A,#N/A,FALSE,"혼합골재"}</definedName>
    <definedName name="dn" hidden="1">{#N/A,#N/A,FALSE,"혼합골재"}</definedName>
    <definedName name="dns" localSheetId="0" hidden="1">{#N/A,#N/A,FALSE,"운반시간"}</definedName>
    <definedName name="dns" hidden="1">{#N/A,#N/A,FALSE,"운반시간"}</definedName>
    <definedName name="dsaf" hidden="1">{#N/A,#N/A,FALSE,"조골재"}</definedName>
    <definedName name="DSF" hidden="1">{#N/A,#N/A,FALSE,"골재소요량";#N/A,#N/A,FALSE,"골재소요량"}</definedName>
    <definedName name="dw" hidden="1">[14]측구터파기공수량집계!#REF!</definedName>
    <definedName name="ee" localSheetId="0" hidden="1">{#N/A,#N/A,FALSE,"단가표지"}</definedName>
    <definedName name="ee" hidden="1">{#N/A,#N/A,FALSE,"단가표지"}</definedName>
    <definedName name="eee" localSheetId="0" hidden="1">{#N/A,#N/A,FALSE,"단면 제원"}</definedName>
    <definedName name="eee" hidden="1">{#N/A,#N/A,FALSE,"단면 제원"}</definedName>
    <definedName name="EK" hidden="1">#REF!</definedName>
    <definedName name="erqhhhhhhhhh" localSheetId="0" hidden="1">{#N/A,#N/A,FALSE,"배수1"}</definedName>
    <definedName name="erqhhhhhhhhh" hidden="1">{#N/A,#N/A,FALSE,"배수1"}</definedName>
    <definedName name="ety" localSheetId="0" hidden="1">{#N/A,#N/A,FALSE,"구조1"}</definedName>
    <definedName name="ety" hidden="1">{#N/A,#N/A,FALSE,"구조1"}</definedName>
    <definedName name="fdjk" hidden="1">{#N/A,#N/A,FALSE,"골재소요량";#N/A,#N/A,FALSE,"골재소요량"}</definedName>
    <definedName name="fe" hidden="1">[14]구조물터파기수량집계!#REF!</definedName>
    <definedName name="FF" hidden="1">{#N/A,#N/A,FALSE,"표지목차"}</definedName>
    <definedName name="FFF" hidden="1">{#N/A,#N/A,FALSE,"교리2"}</definedName>
    <definedName name="fifofl" hidden="1">#REF!</definedName>
    <definedName name="gd" hidden="1">#REF!</definedName>
    <definedName name="gfgdfg" hidden="1">[15]차액보증!#REF!</definedName>
    <definedName name="GHSDGTR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b용도" hidden="1">#REF!</definedName>
    <definedName name="grew" hidden="1">#N/A</definedName>
    <definedName name="han" hidden="1">#N/A</definedName>
    <definedName name="hardwar" hidden="1">#N/A</definedName>
    <definedName name="hh" hidden="1">{#N/A,#N/A,FALSE,"명세표"}</definedName>
    <definedName name="HJK" localSheetId="0" hidden="1">{#N/A,#N/A,FALSE,"이태원철근"}</definedName>
    <definedName name="HJK" hidden="1">{#N/A,#N/A,FALSE,"이태원철근"}</definedName>
    <definedName name="HTML_CodePage" hidden="1">949</definedName>
    <definedName name="HTML_Control" localSheetId="0" hidden="1">{"'Sheet1'!$A$22:$G$23","'Sheet1'!$A$6","'Sheet1'!$E$10","'Sheet1'!$A$1:$F$23","'Sheet1'!$B$10","'Sheet1'!$A$1:$G$22","'Sheet1'!$A$1:$G$51"}</definedName>
    <definedName name="HTML_Control" hidden="1">{"'Sheet1'!$A$22:$G$23","'Sheet1'!$A$6","'Sheet1'!$E$10","'Sheet1'!$A$1:$F$23","'Sheet1'!$B$10","'Sheet1'!$A$1:$G$22","'Sheet1'!$A$1:$G$51"}</definedName>
    <definedName name="HTML_Description" hidden="1">""</definedName>
    <definedName name="HTML_Email" hidden="1">""</definedName>
    <definedName name="HTML_Header" hidden="1">"Sheet1"</definedName>
    <definedName name="HTML_LastUpdate" hidden="1">"99-06-18"</definedName>
    <definedName name="HTML_LineAfter" hidden="1">FALSE</definedName>
    <definedName name="HTML_LineBefore" hidden="1">FALSE</definedName>
    <definedName name="HTML_Name" hidden="1">"(주)새암건축"</definedName>
    <definedName name="HTML_OBDlg2" hidden="1">TRUE</definedName>
    <definedName name="HTML_OBDlg4" hidden="1">TRUE</definedName>
    <definedName name="HTML_OS" hidden="1">0</definedName>
    <definedName name="HTML_PathFile" hidden="1">"C:\가\f.htm"</definedName>
    <definedName name="HTML_Title" hidden="1">"Book2"</definedName>
    <definedName name="HTR" localSheetId="0" hidden="1">{#N/A,#N/A,FALSE,"이태원철근"}</definedName>
    <definedName name="HTR" hidden="1">{#N/A,#N/A,FALSE,"이태원철근"}</definedName>
    <definedName name="J엄차현" localSheetId="0" hidden="1">#REF!</definedName>
    <definedName name="J엄차현" hidden="1">#REF!</definedName>
    <definedName name="kljg" localSheetId="0" hidden="1">{#N/A,#N/A,FALSE,"부대1"}</definedName>
    <definedName name="kljg" hidden="1">{#N/A,#N/A,FALSE,"부대1"}</definedName>
    <definedName name="kljgg" hidden="1">[16]차액보증!#REF!</definedName>
    <definedName name="kpqeiwri" hidden="1">#REF!</definedName>
    <definedName name="ksk" hidden="1">#REF!</definedName>
    <definedName name="ljkㅏㅎ" hidden="1">{#N/A,#N/A,FALSE,"2~8번"}</definedName>
    <definedName name="lkijhgh" localSheetId="0" hidden="1">{#N/A,#N/A,FALSE,"부대1"}</definedName>
    <definedName name="lkijhgh" hidden="1">{#N/A,#N/A,FALSE,"부대1"}</definedName>
    <definedName name="mm" localSheetId="0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GH" hidden="1">'[14]배수공 시멘트 및 골재량 산출'!#REF!</definedName>
    <definedName name="NS" hidden="1">#REF!</definedName>
    <definedName name="ocf" localSheetId="0" hidden="1">#REF!</definedName>
    <definedName name="ocf" hidden="1">#REF!</definedName>
    <definedName name="ojjmjk" localSheetId="0" hidden="1">{#N/A,#N/A,FALSE,"배수1"}</definedName>
    <definedName name="ojjmjk" hidden="1">{#N/A,#N/A,FALSE,"배수1"}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owoel" hidden="1">#REF!</definedName>
    <definedName name="piiuer" hidden="1">#REF!</definedName>
    <definedName name="_xlnm.Print_Area" localSheetId="1">HOIST!$A$1:$P$34</definedName>
    <definedName name="_xlnm.Print_Area" localSheetId="0">TC!$A$1:$P$26</definedName>
    <definedName name="_xlnm.Print_Area">#REF!</definedName>
    <definedName name="psie" hidden="1">#REF!</definedName>
    <definedName name="Q3WEE" hidden="1">{#N/A,#N/A,FALSE,"조골재"}</definedName>
    <definedName name="qedrcc" localSheetId="0" hidden="1">{#N/A,#N/A,FALSE,"부대1"}</definedName>
    <definedName name="qedrcc" hidden="1">{#N/A,#N/A,FALSE,"부대1"}</definedName>
    <definedName name="qerhhhhhhhhhhh" localSheetId="0" hidden="1">{#N/A,#N/A,FALSE,"배수2"}</definedName>
    <definedName name="qerhhhhhhhhhhh" hidden="1">{#N/A,#N/A,FALSE,"배수2"}</definedName>
    <definedName name="qerhhhhhhhhhhhh" localSheetId="0" hidden="1">{#N/A,#N/A,FALSE,"부대1"}</definedName>
    <definedName name="qerhhhhhhhhhhhh" hidden="1">{#N/A,#N/A,FALSE,"부대1"}</definedName>
    <definedName name="qerhhhhhhhhhhhhhhh" localSheetId="0" hidden="1">{#N/A,#N/A,FALSE,"구조2"}</definedName>
    <definedName name="qerhhhhhhhhhhhhhhh" hidden="1">{#N/A,#N/A,FALSE,"구조2"}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#N/A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hidden="1">{#N/A,#N/A,FALSE,"배수2"}</definedName>
    <definedName name="QWE" localSheetId="0" hidden="1">{#N/A,#N/A,FALSE,"이태원철근"}</definedName>
    <definedName name="QWE" hidden="1">{#N/A,#N/A,FALSE,"이태원철근"}</definedName>
    <definedName name="QWER" localSheetId="0" hidden="1">{#N/A,#N/A,FALSE,"이태원철근"}</definedName>
    <definedName name="QWER" hidden="1">{#N/A,#N/A,FALSE,"이태원철근"}</definedName>
    <definedName name="qwszsx" localSheetId="0" hidden="1">{#N/A,#N/A,FALSE,"구조1"}</definedName>
    <definedName name="qwszsx" hidden="1">{#N/A,#N/A,FALSE,"구조1"}</definedName>
    <definedName name="qwwsdxdd" localSheetId="0" hidden="1">{#N/A,#N/A,FALSE,"속도"}</definedName>
    <definedName name="qwwsdxdd" hidden="1">{#N/A,#N/A,FALSE,"속도"}</definedName>
    <definedName name="rksk" hidden="1">{#N/A,#N/A,FALSE,"배수1"}</definedName>
    <definedName name="RRR" hidden="1">{#N/A,#N/A,FALSE,"포장2"}</definedName>
    <definedName name="RT" localSheetId="0" hidden="1">{#N/A,#N/A,FALSE,"이태원철근"}</definedName>
    <definedName name="RT" hidden="1">{#N/A,#N/A,FALSE,"이태원철근"}</definedName>
    <definedName name="rtuww" localSheetId="0" hidden="1">{#N/A,#N/A,FALSE,"토공2"}</definedName>
    <definedName name="rtuww" hidden="1">{#N/A,#N/A,FALSE,"토공2"}</definedName>
    <definedName name="rurtrruryuru" localSheetId="0" hidden="1">{#N/A,#N/A,FALSE,"포장1";#N/A,#N/A,FALSE,"포장1"}</definedName>
    <definedName name="rurtrruryuru" hidden="1">{#N/A,#N/A,FALSE,"포장1";#N/A,#N/A,FALSE,"포장1"}</definedName>
    <definedName name="SDCFG\" hidden="1">{#N/A,#N/A,FALSE,"운반시간"}</definedName>
    <definedName name="SDF" hidden="1">{#N/A,#N/A,FALSE,"혼합골재"}</definedName>
    <definedName name="SDS" hidden="1">{#N/A,#N/A,FALSE,"2~8번"}</definedName>
    <definedName name="sdsfsfsf" hidden="1">#REF!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fsdfe" hidden="1">#REF!</definedName>
    <definedName name="sheet" hidden="1">{#N/A,#N/A,FALSE,"골재소요량";#N/A,#N/A,FALSE,"골재소요량"}</definedName>
    <definedName name="skdfsk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2" hidden="1">#N/A</definedName>
    <definedName name="sq" hidden="1">'[14]배수공 시멘트 및 골재량 산출'!#REF!</definedName>
    <definedName name="sssaq" localSheetId="0" hidden="1">{#N/A,#N/A,FALSE,"전력간선"}</definedName>
    <definedName name="sssaq" hidden="1">{#N/A,#N/A,FALSE,"전력간선"}</definedName>
    <definedName name="SWS" hidden="1">#REF!</definedName>
    <definedName name="tr" hidden="1">#N/A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rrtrrtr" localSheetId="0" hidden="1">{#N/A,#N/A,FALSE,"포장2"}</definedName>
    <definedName name="trrrtrrtr" hidden="1">{#N/A,#N/A,FALSE,"포장2"}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y" localSheetId="0" hidden="1">{#N/A,#N/A,FALSE,"이정표"}</definedName>
    <definedName name="ty" hidden="1">{#N/A,#N/A,FALSE,"이정표"}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VB" localSheetId="0" hidden="1">{#N/A,#N/A,FALSE,"이태원철근"}</definedName>
    <definedName name="VB" hidden="1">{#N/A,#N/A,FALSE,"이태원철근"}</definedName>
    <definedName name="VBN" localSheetId="0" hidden="1">{#N/A,#N/A,FALSE,"이태원철근"}</definedName>
    <definedName name="VBN" hidden="1">{#N/A,#N/A,FALSE,"이태원철근"}</definedName>
    <definedName name="wer" hidden="1">{#N/A,#N/A,FALSE,"골재소요량";#N/A,#N/A,FALSE,"골재소요량"}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RITE" hidden="1">{#N/A,#N/A,FALSE,"CCTV"}</definedName>
    <definedName name="wrn.2번." localSheetId="0" hidden="1">{#N/A,#N/A,FALSE,"2~8번"}</definedName>
    <definedName name="wrn.2번." hidden="1">{#N/A,#N/A,FALSE,"2~8번"}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AA." hidden="1">{#N/A,#N/A,FALSE,"집계표"}</definedName>
    <definedName name="wrn.BM." hidden="1">{#N/A,#N/A,FALSE,"CCTV"}</definedName>
    <definedName name="wrn.test1." hidden="1">{#N/A,#N/A,FALSE,"명세표"}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봉양도서." hidden="1">{#N/A,#N/A,FALSE," 봉양도서"}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여암교._.가설공사._.추정금액._.산정." hidden="1">{#N/A,#N/A,TRUE,"설계내역서";#N/A,#N/A,TRUE,"설계집계"}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황금동." localSheetId="0" hidden="1">{#N/A,#N/A,FALSE,"단면 제원"}</definedName>
    <definedName name="wrn.황금동." hidden="1">{#N/A,#N/A,FALSE,"단면 제원"}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ucgfcf" localSheetId="0" hidden="1">{#N/A,#N/A,FALSE,"배수2"}</definedName>
    <definedName name="yucgfcf" hidden="1">{#N/A,#N/A,FALSE,"배수2"}</definedName>
    <definedName name="yyuty" localSheetId="0" hidden="1">{#N/A,#N/A,FALSE,"부대2"}</definedName>
    <definedName name="yyuty" hidden="1">{#N/A,#N/A,FALSE,"부대2"}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ZXC" localSheetId="0" hidden="1">{#N/A,#N/A,FALSE,"이태원철근"}</definedName>
    <definedName name="ZXC" hidden="1">{#N/A,#N/A,FALSE,"이태원철근"}</definedName>
    <definedName name="ㄱㄱ" hidden="1">{#N/A,#N/A,FALSE,"명세표"}</definedName>
    <definedName name="ㄱㄱㄱㄱ" hidden="1">{#N/A,#N/A,FALSE,"지침";#N/A,#N/A,FALSE,"환경분석";#N/A,#N/A,FALSE,"Sheet16"}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ㅈㅎ" hidden="1">#N/A</definedName>
    <definedName name="가나" localSheetId="0" hidden="1">{#N/A,#N/A,FALSE,"지침";#N/A,#N/A,FALSE,"환경분석";#N/A,#N/A,FALSE,"Sheet16"}</definedName>
    <definedName name="가나" hidden="1">{#N/A,#N/A,FALSE,"지침";#N/A,#N/A,FALSE,"환경분석";#N/A,#N/A,FALSE,"Sheet16"}</definedName>
    <definedName name="가나다" hidden="1">{#N/A,#N/A,FALSE,"집계표"}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간접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지" localSheetId="0" hidden="1">{#N/A,#N/A,FALSE,"단면 제원"}</definedName>
    <definedName name="간지" hidden="1">{#N/A,#N/A,FALSE,"단면 제원"}</definedName>
    <definedName name="간지2" localSheetId="0" hidden="1">{#N/A,#N/A,FALSE,"단면 제원"}</definedName>
    <definedName name="간지2" hidden="1">{#N/A,#N/A,FALSE,"단면 제원"}</definedName>
    <definedName name="간지4" localSheetId="0" hidden="1">{#N/A,#N/A,FALSE,"단면 제원"}</definedName>
    <definedName name="간지4" hidden="1">{#N/A,#N/A,FALSE,"단면 제원"}</definedName>
    <definedName name="감독조서" hidden="1">{#N/A,#N/A,FALSE,"집계표"}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강경욱" hidden="1">{#N/A,#N/A,FALSE,"골재소요량";#N/A,#N/A,FALSE,"골재소요량"}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개산급사유서" hidden="1">{#N/A,#N/A,FALSE,"집계표"}</definedName>
    <definedName name="갸" hidden="1">{#N/A,#N/A,FALSE,"CCTV"}</definedName>
    <definedName name="거" localSheetId="0" hidden="1">{#N/A,#N/A,FALSE,"단면 제원"}</definedName>
    <definedName name="거" hidden="1">{#N/A,#N/A,FALSE,"단면 제원"}</definedName>
    <definedName name="건축" localSheetId="0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내역5" localSheetId="0" hidden="1">#N/A</definedName>
    <definedName name="건축내역5" hidden="1">#REF!</definedName>
    <definedName name="건축비목집계" localSheetId="0" hidden="1">{#N/A,#N/A,FALSE,"표지"}</definedName>
    <definedName name="건축비목집계" hidden="1">{#N/A,#N/A,FALSE,"표지"}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견적" hidden="1">{#N/A,#N/A,FALSE,"전력간선"}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hidden="1">{#N/A,#N/A,FALSE,"CCTV"}</definedName>
    <definedName name="견적의뢰" localSheetId="0" hidden="1">{#N/A,#N/A,FALSE,"기안지";#N/A,#N/A,FALSE,"통신지"}</definedName>
    <definedName name="견적의뢰" hidden="1">{#N/A,#N/A,FALSE,"기안지";#N/A,#N/A,FALSE,"통신지"}</definedName>
    <definedName name="결" localSheetId="0" hidden="1">{#N/A,#N/A,FALSE,"지침";#N/A,#N/A,FALSE,"환경분석";#N/A,#N/A,FALSE,"Sheet16"}</definedName>
    <definedName name="결" hidden="1">{#N/A,#N/A,FALSE,"지침";#N/A,#N/A,FALSE,"환경분석";#N/A,#N/A,FALSE,"Sheet16"}</definedName>
    <definedName name="경계블럭연장" localSheetId="0" hidden="1">[17]조명시설!#REF!</definedName>
    <definedName name="경계블럭연장" hidden="1">[17]조명시설!#REF!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0" hidden="1">#REF!</definedName>
    <definedName name="경비1" hidden="1">#REF!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자료" localSheetId="0" hidden="1">{#N/A,#N/A,FALSE,"지침";#N/A,#N/A,FALSE,"환경분석";#N/A,#N/A,FALSE,"Sheet16"}</definedName>
    <definedName name="계수자료" hidden="1">{#N/A,#N/A,FALSE,"지침";#N/A,#N/A,FALSE,"환경분석";#N/A,#N/A,FALSE,"Sheet16"}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단가" localSheetId="0" hidden="1">[18]CTEMCOST!#REF!</definedName>
    <definedName name="골조단가" hidden="1">[18]CTEMCOST!#REF!</definedName>
    <definedName name="공결의" localSheetId="0" hidden="1">{#N/A,#N/A,FALSE,"기안지";#N/A,#N/A,FALSE,"통신지"}</definedName>
    <definedName name="공결의" hidden="1">{#N/A,#N/A,FALSE,"기안지";#N/A,#N/A,FALSE,"통신지"}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문2" hidden="1">#REF!</definedName>
    <definedName name="공문3" hidden="1">#REF!</definedName>
    <definedName name="공사금송장분개" localSheetId="0" hidden="1">{#N/A,#N/A,FALSE,"지침";#N/A,#N/A,FALSE,"환경분석";#N/A,#N/A,FALSE,"Sheet16"}</definedName>
    <definedName name="공사금송장분개" hidden="1">{#N/A,#N/A,FALSE,"지침";#N/A,#N/A,FALSE,"환경분석";#N/A,#N/A,FALSE,"Sheet16"}</definedName>
    <definedName name="공사금송장추정" localSheetId="0" hidden="1">{#N/A,#N/A,FALSE,"지침";#N/A,#N/A,FALSE,"환경분석";#N/A,#N/A,FALSE,"Sheet16"}</definedName>
    <definedName name="공사금송장추정" hidden="1">{#N/A,#N/A,FALSE,"지침";#N/A,#N/A,FALSE,"환경분석";#N/A,#N/A,FALSE,"Sheet16"}</definedName>
    <definedName name="공사비분석" hidden="1">#REF!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시행결의" localSheetId="0" hidden="1">{#N/A,#N/A,FALSE,"기안지";#N/A,#N/A,FALSE,"통신지"}</definedName>
    <definedName name="공시행결의" hidden="1">{#N/A,#N/A,FALSE,"기안지";#N/A,#N/A,FALSE,"통신지"}</definedName>
    <definedName name="공정" localSheetId="0" hidden="1">{#N/A,#N/A,FALSE,"지침";#N/A,#N/A,FALSE,"환경분석";#N/A,#N/A,FALSE,"Sheet16"}</definedName>
    <definedName name="공정" hidden="1">{#N/A,#N/A,FALSE,"지침";#N/A,#N/A,FALSE,"환경분석";#N/A,#N/A,FALSE,"Sheet16"}</definedName>
    <definedName name="공제" hidden="1">[19]조명시설!#REF!</definedName>
    <definedName name="공통가설" hidden="1">#REF!</definedName>
    <definedName name="공통비" hidden="1">#REF!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" localSheetId="0" hidden="1">{#N/A,#N/A,FALSE,"단면 제원"}</definedName>
    <definedName name="교" hidden="1">{#N/A,#N/A,FALSE,"단면 제원"}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공" localSheetId="0" hidden="1">{#N/A,#N/A,FALSE,"단면 제원"}</definedName>
    <definedName name="교대공" hidden="1">{#N/A,#N/A,FALSE,"단면 제원"}</definedName>
    <definedName name="교대공1" localSheetId="0" hidden="1">{#N/A,#N/A,FALSE,"단면 제원"}</definedName>
    <definedName name="교대공1" hidden="1">{#N/A,#N/A,FALSE,"단면 제원"}</definedName>
    <definedName name="교대펄근집계" hidden="1">{#N/A,#N/A,FALSE,"배수1"}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구산갑지" hidden="1">#N/A</definedName>
    <definedName name="구조물공" hidden="1">{#N/A,#N/A,FALSE,"이정표"}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의교" localSheetId="0" hidden="1">{#N/A,#N/A,FALSE,"단면 제원"}</definedName>
    <definedName name="금의교" hidden="1">{#N/A,#N/A,FALSE,"단면 제원"}</definedName>
    <definedName name="기성투입" localSheetId="0" hidden="1">{#N/A,#N/A,FALSE,"지침";#N/A,#N/A,FALSE,"환경분석";#N/A,#N/A,FALSE,"Sheet16"}</definedName>
    <definedName name="기성투입" hidden="1">{#N/A,#N/A,FALSE,"지침";#N/A,#N/A,FALSE,"환경분석";#N/A,#N/A,FALSE,"Sheet16"}</definedName>
    <definedName name="기안" hidden="1">#REF!</definedName>
    <definedName name="기안변경" hidden="1">#REF!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기타경비" localSheetId="0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긴급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" localSheetId="0" hidden="1">#REF!</definedName>
    <definedName name="김" hidden="1">#REF!</definedName>
    <definedName name="김동종" hidden="1">#REF!</definedName>
    <definedName name="김봉만" hidden="1">{#N/A,#N/A,FALSE,"교리2"}</definedName>
    <definedName name="김석현" hidden="1">{#N/A,#N/A,TRUE,"설계내역서";#N/A,#N/A,TRUE,"설계집계"}</definedName>
    <definedName name="ㄳ" hidden="1">{#N/A,#N/A,FALSE,"단가표지"}</definedName>
    <definedName name="ㄴㄱㄹ" hidden="1">#N/A</definedName>
    <definedName name="ㄴㄴㄴ" localSheetId="0" hidden="1">{#N/A,#N/A,FALSE,"단면 제원"}</definedName>
    <definedName name="ㄴㄴㄴ" hidden="1">{#N/A,#N/A,FALSE,"단면 제원"}</definedName>
    <definedName name="ㄴㄻㄴㅇ" hidden="1">{#N/A,#N/A,FALSE,"조골재"}</definedName>
    <definedName name="ㄴㅁ" hidden="1">#N/A</definedName>
    <definedName name="ㄴㅁㄹㄴㅁㅇㄴㅇㅁㄹㄴ" hidden="1">{#N/A,#N/A,FALSE,"단가표지"}</definedName>
    <definedName name="ㄴㅇㄹ" localSheetId="0" hidden="1">{#N/A,#N/A,FALSE,"단면 제원"}</definedName>
    <definedName name="ㄴㅇㄹ" hidden="1">{#N/A,#N/A,FALSE,"단면 제원"}</definedName>
    <definedName name="ㄴㅇㅀ" hidden="1">{#N/A,#N/A,FALSE,"토공2"}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넣러" hidden="1">{#N/A,#N/A,FALSE,"표지목차"}</definedName>
    <definedName name="노" hidden="1">{#N/A,#N/A,FALSE,"CCTV"}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니" localSheetId="0" hidden="1">{#N/A,#N/A,FALSE,"단면 제원"}</definedName>
    <definedName name="니" hidden="1">{#N/A,#N/A,FALSE,"단면 제원"}</definedName>
    <definedName name="ㄶㅇㅀㄴㅇ" hidden="1">{#N/A,#N/A,FALSE,"표지목차"}</definedName>
    <definedName name="ㄷㄱ" hidden="1">{#N/A,#N/A,FALSE,"단가표지"}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다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전대" hidden="1">#N/A</definedName>
    <definedName name="도" localSheetId="0" hidden="1">{#N/A,#N/A,FALSE,"단면 제원"}</definedName>
    <definedName name="도" hidden="1">{#N/A,#N/A,FALSE,"단면 제원"}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표지" hidden="1">{#N/A,#N/A,FALSE,"집계표"}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드" hidden="1">{#N/A,#N/A,FALSE,"조골재"}</definedName>
    <definedName name="떠" localSheetId="0" hidden="1">{#N/A,#N/A,FALSE,"단면 제원"}</definedName>
    <definedName name="떠" hidden="1">{#N/A,#N/A,FALSE,"단면 제원"}</definedName>
    <definedName name="ㄹ" hidden="1">{#N/A,#N/A,FALSE,"명세표"}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ㄻㄴ" hidden="1">{#N/A,#N/A,FALSE,"단가표지"}</definedName>
    <definedName name="ㄹㄴ웋" hidden="1">{#N/A,#N/A,FALSE,"운반시간"}</definedName>
    <definedName name="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0" hidden="1">{#N/A,#N/A,FALSE,"단면 제원"}</definedName>
    <definedName name="ㄹㄹㄹ" hidden="1">{#N/A,#N/A,FALSE,"단면 제원"}</definedName>
    <definedName name="ㄹㅇㄹ" hidden="1">{#N/A,#N/A,FALSE,"혼합골재"}</definedName>
    <definedName name="ㄹㅇㅎㄴㅇ" hidden="1">{#N/A,#N/A,FALSE,"조골재"}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{#N/A,#N/A,FALSE,"단면 제원"}</definedName>
    <definedName name="래" hidden="1">{#N/A,#N/A,FALSE,"단면 제원"}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" localSheetId="0" hidden="1">{#N/A,#N/A,FALSE,"단면 제원"}</definedName>
    <definedName name="루" hidden="1">{#N/A,#N/A,FALSE,"단면 제원"}</definedName>
    <definedName name="리" localSheetId="0" hidden="1">{#N/A,#N/A,FALSE,"단면 제원"}</definedName>
    <definedName name="리" hidden="1">{#N/A,#N/A,FALSE,"단면 제원"}</definedName>
    <definedName name="ㄻ" hidden="1">{#N/A,#N/A,FALSE,"포장2"}</definedName>
    <definedName name="ㄻㄴㄹㅇㄴㅁ" hidden="1">{#N/A,#N/A,FALSE,"운반시간"}</definedName>
    <definedName name="ㄻㄴㄻㄴㅇㄻㄴ" hidden="1">{#N/A,#N/A,FALSE,"표지목차"}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localSheetId="0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ㅇㅁ" hidden="1">{#N/A,#N/A,FALSE,"골재소요량";#N/A,#N/A,FALSE,"골재소요량"}</definedName>
    <definedName name="ㅁ" hidden="1">{#N/A,#N/A,FALSE,"명세표"}</definedName>
    <definedName name="ㅁㄴㄹㄴ" hidden="1">{#N/A,#N/A,FALSE,"운반시간"}</definedName>
    <definedName name="ㅁㄴㄹㅇㅁ" hidden="1">{#N/A,#N/A,FALSE,"단가표지"}</definedName>
    <definedName name="ㅁㄴㅁㅇ" hidden="1">#REF!</definedName>
    <definedName name="ㅁㄴㅇ" hidden="1">{#N/A,#N/A,FALSE,"배수1"}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ㅁ" hidden="1">{#N/A,#N/A,FALSE,"지침";#N/A,#N/A,FALSE,"환경분석";#N/A,#N/A,FALSE,"Sheet16"}</definedName>
    <definedName name="ㅁㅁㅁㅁ" hidden="1">{#N/A,#N/A,FALSE,"배수1"}</definedName>
    <definedName name="ㅁㅁㅁㅁㅁㅁ" hidden="1">#N/A</definedName>
    <definedName name="ㅁㅇㄹㄴㅇㅁㄹ" hidden="1">{#N/A,#N/A,FALSE,"운반시간"}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감공사비A3" hidden="1">[20]유림골조!#REF!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hidden="1">{#N/A,#N/A,FALSE,"2~8번"}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" hidden="1">{#N/A,#N/A,FALSE,"혼합골재"}</definedName>
    <definedName name="머" hidden="1">{#N/A,#N/A,FALSE,"명세표"}</definedName>
    <definedName name="먼득이" hidden="1">{#N/A,#N/A,FALSE,"골재소요량";#N/A,#N/A,FALSE,"골재소요량"}</definedName>
    <definedName name="모" localSheetId="0" hidden="1">{#N/A,#N/A,FALSE,"단면 제원"}</definedName>
    <definedName name="모" hidden="1">{#N/A,#N/A,FALSE,"단면 제원"}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" localSheetId="0" hidden="1">{#N/A,#N/A,FALSE,"이태원철근"}</definedName>
    <definedName name="물" hidden="1">{#N/A,#N/A,FALSE,"이태원철근"}</definedName>
    <definedName name="물가" localSheetId="0" hidden="1">{#N/A,#N/A,FALSE,"이태원철근"}</definedName>
    <definedName name="물가" hidden="1">{#N/A,#N/A,FALSE,"이태원철근"}</definedName>
    <definedName name="뭐가이태원이야" localSheetId="0" hidden="1">{#N/A,#N/A,FALSE,"이태원철근"}</definedName>
    <definedName name="뭐가이태원이야" hidden="1">{#N/A,#N/A,FALSE,"이태원철근"}</definedName>
    <definedName name="뭐지" hidden="1">{#N/A,#N/A,FALSE,"CCTV"}</definedName>
    <definedName name="므" localSheetId="0" hidden="1">{#N/A,#N/A,FALSE,"단면 제원"}</definedName>
    <definedName name="므" hidden="1">{#N/A,#N/A,FALSE,"단면 제원"}</definedName>
    <definedName name="미" hidden="1">{#N/A,#N/A,FALSE,"현장 NCR 분석";#N/A,#N/A,FALSE,"현장품질감사";#N/A,#N/A,FALSE,"현장품질감사"}</definedName>
    <definedName name="미기표" localSheetId="0" hidden="1">{#N/A,#N/A,FALSE,"지침";#N/A,#N/A,FALSE,"환경분석";#N/A,#N/A,FALSE,"Sheet16"}</definedName>
    <definedName name="미기표" hidden="1">{#N/A,#N/A,FALSE,"지침";#N/A,#N/A,FALSE,"환경분석";#N/A,#N/A,FALSE,"Sheet16"}</definedName>
    <definedName name="미술원원가계산서" hidden="1">#REF!</definedName>
    <definedName name="민원처리비" localSheetId="0" hidden="1">{#N/A,#N/A,FALSE,"지침";#N/A,#N/A,FALSE,"환경분석";#N/A,#N/A,FALSE,"Sheet16"}</definedName>
    <definedName name="민원처리비" hidden="1">{#N/A,#N/A,FALSE,"지침";#N/A,#N/A,FALSE,"환경분석";#N/A,#N/A,FALSE,"Sheet16"}</definedName>
    <definedName name="ㅂㄴ" localSheetId="0" hidden="1">{#N/A,#N/A,FALSE,"기안지";#N/A,#N/A,FALSE,"통신지"}</definedName>
    <definedName name="ㅂㄴ" hidden="1">{#N/A,#N/A,FALSE,"기안지";#N/A,#N/A,FALSE,"통신지"}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{#N/A,#N/A,FALSE,"배수1"}</definedName>
    <definedName name="ㅂㅂㅂㅂ" hidden="1">{#N/A,#N/A,FALSE,"명세표"}</definedName>
    <definedName name="ㅂㅂㅂㅂㅂㅂㅂ" hidden="1">{#N/A,#N/A,FALSE,"명세표"}</definedName>
    <definedName name="ㅂㅈ" hidden="1">{#N/A,#N/A,FALSE,"2~8번"}</definedName>
    <definedName name="박승동원가보고" localSheetId="0" hidden="1">{#N/A,#N/A,FALSE,"지침";#N/A,#N/A,FALSE,"환경분석";#N/A,#N/A,FALSE,"Sheet16"}</definedName>
    <definedName name="박승동원가보고" hidden="1">{#N/A,#N/A,FALSE,"지침";#N/A,#N/A,FALSE,"환경분석";#N/A,#N/A,FALSE,"Sheet16"}</definedName>
    <definedName name="배합비하반기2000" hidden="1">#REF!</definedName>
    <definedName name="벽운갑지" hidden="1">#REF!</definedName>
    <definedName name="변경" localSheetId="0" hidden="1">{#N/A,#N/A,FALSE,"기안지";#N/A,#N/A,FALSE,"통신지"}</definedName>
    <definedName name="변경" hidden="1">{#N/A,#N/A,FALSE,"기안지";#N/A,#N/A,FALSE,"통신지"}</definedName>
    <definedName name="변경공사비대비표" localSheetId="0" hidden="1">{#N/A,#N/A,FALSE,"기안지";#N/A,#N/A,FALSE,"통신지"}</definedName>
    <definedName name="변경공사비대비표" hidden="1">{#N/A,#N/A,FALSE,"기안지";#N/A,#N/A,FALSE,"통신지"}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조장" hidden="1">[21]명세!#REF!</definedName>
    <definedName name="복지" hidden="1">#REF!</definedName>
    <definedName name="봉화교" localSheetId="0" hidden="1">{#N/A,#N/A,FALSE,"단면 제원"}</definedName>
    <definedName name="봉화교" hidden="1">{#N/A,#N/A,FALSE,"단면 제원"}</definedName>
    <definedName name="봉화육교" localSheetId="0" hidden="1">{#N/A,#N/A,FALSE,"단면 제원"}</definedName>
    <definedName name="봉화육교" hidden="1">{#N/A,#N/A,FALSE,"단면 제원"}</definedName>
    <definedName name="부대" localSheetId="0" hidden="1">{#N/A,#N/A,FALSE,"부대1"}</definedName>
    <definedName name="부대" hidden="1">{#N/A,#N/A,FALSE,"부대1"}</definedName>
    <definedName name="부대1" hidden="1">{#N/A,#N/A,FALSE,"운반시간"}</definedName>
    <definedName name="부대건축2" hidden="1">#REF!</definedName>
    <definedName name="부대공총괄수량집계" localSheetId="0" hidden="1">{#N/A,#N/A,FALSE,"2~8번"}</definedName>
    <definedName name="부대공총괄수량집계" hidden="1">{#N/A,#N/A,FALSE,"2~8번"}</definedName>
    <definedName name="부대원본" localSheetId="0" hidden="1">{#N/A,#N/A,FALSE,"토공2"}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hidden="1">[1]Sheet4!$A$58:$A$97</definedName>
    <definedName name="분당내역" hidden="1">[22]갑지!#REF!</definedName>
    <definedName name="분당내역서" hidden="1">#REF!</definedName>
    <definedName name="분당물가" hidden="1">[4]Sheet4!$F$58:$F$73</definedName>
    <definedName name="분당코아" hidden="1">[23]마산월령동골조물량변경!$F$58:$F$73</definedName>
    <definedName name="분당협조" localSheetId="0" hidden="1">{#N/A,#N/A,FALSE,"이태원철근"}</definedName>
    <definedName name="분당협조" hidden="1">{#N/A,#N/A,FALSE,"이태원철근"}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체불만" hidden="1">[24]예산실적전체당월!#REF!</definedName>
    <definedName name="뷰" hidden="1">{#N/A,#N/A,FALSE,"단가표지"}</definedName>
    <definedName name="ㅅ굲유" hidden="1">{#N/A,#N/A,FALSE,"조골재"}</definedName>
    <definedName name="사" localSheetId="0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업계획" localSheetId="0" hidden="1">{#N/A,#N/A,FALSE,"지침";#N/A,#N/A,FALSE,"환경분석";#N/A,#N/A,FALSE,"Sheet16"}</definedName>
    <definedName name="사업계획" hidden="1">{#N/A,#N/A,FALSE,"지침";#N/A,#N/A,FALSE,"환경분석";#N/A,#N/A,FALSE,"Sheet16"}</definedName>
    <definedName name="사후관리비" localSheetId="0" hidden="1">{#N/A,#N/A,FALSE,"지침";#N/A,#N/A,FALSE,"환경분석";#N/A,#N/A,FALSE,"Sheet16"}</definedName>
    <definedName name="사후관리비" hidden="1">{#N/A,#N/A,FALSE,"지침";#N/A,#N/A,FALSE,"환경분석";#N/A,#N/A,FALSE,"Sheet16"}</definedName>
    <definedName name="산출2" hidden="1">[25]조선용암면!$B$9:$C$16</definedName>
    <definedName name="산출3" hidden="1">[25]조선용암면!$D$9:$D$16</definedName>
    <definedName name="산출4" hidden="1">[25]조선용암면!$A$22:$A$22</definedName>
    <definedName name="산출5" hidden="1">[25]조선용암면!$D$9:$D$16</definedName>
    <definedName name="삼혁색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혁색상구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반기배합비" hidden="1">'[5]배합비(99-05-25)'!#REF!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{#N/A,#N/A,FALSE,"단면 제원"}</definedName>
    <definedName name="새" hidden="1">{#N/A,#N/A,FALSE,"단면 제원"}</definedName>
    <definedName name="새공통" localSheetId="0" hidden="1">{#N/A,#N/A,FALSE,"이태원철근"}</definedName>
    <definedName name="새공통" hidden="1">{#N/A,#N/A,FALSE,"이태원철근"}</definedName>
    <definedName name="색상구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석항" hidden="1">{#N/A,#N/A,FALSE,"명세표"}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내역서" localSheetId="0" hidden="1">{"'별표'!$N$220"}</definedName>
    <definedName name="설계내역서" hidden="1">{"'별표'!$N$220"}</definedName>
    <definedName name="설비" hidden="1">#REF!</definedName>
    <definedName name="성우" hidden="1">{#N/A,#N/A,FALSE,"CCTV"}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닉" localSheetId="0" hidden="1">{#N/A,#N/A,FALSE,"지침";#N/A,#N/A,FALSE,"환경분석";#N/A,#N/A,FALSE,"Sheet16"}</definedName>
    <definedName name="소닉" hidden="1">{#N/A,#N/A,FALSE,"지침";#N/A,#N/A,FALSE,"환경분석";#N/A,#N/A,FALSE,"Sheet16"}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" hidden="1">#REF!</definedName>
    <definedName name="수급" hidden="1">#REF!</definedName>
    <definedName name="수량산출" localSheetId="0" hidden="1">{#N/A,#N/A,FALSE,"표지"}</definedName>
    <definedName name="수량산출" hidden="1">{#N/A,#N/A,FALSE,"표지"}</definedName>
    <definedName name="수량산출근거" localSheetId="0" hidden="1">{#N/A,#N/A,FALSE,"표지"}</definedName>
    <definedName name="수량산출근거" hidden="1">{#N/A,#N/A,FALSE,"표지"}</definedName>
    <definedName name="스라" hidden="1">#REF!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승용교" hidden="1">{#N/A,#N/A,FALSE,"2~8번"}</definedName>
    <definedName name="시행" localSheetId="0" hidden="1">{#N/A,#N/A,FALSE,"이태원철근"}</definedName>
    <definedName name="시행" hidden="1">{#N/A,#N/A,FALSE,"이태원철근"}</definedName>
    <definedName name="실적자료" localSheetId="0" hidden="1">{#N/A,#N/A,FALSE,"지침";#N/A,#N/A,FALSE,"환경분석";#N/A,#N/A,FALSE,"Sheet16"}</definedName>
    <definedName name="실적자료" hidden="1">{#N/A,#N/A,FALSE,"지침";#N/A,#N/A,FALSE,"환경분석";#N/A,#N/A,FALSE,"Sheet16"}</definedName>
    <definedName name="실적자료1" localSheetId="0" hidden="1">{#N/A,#N/A,FALSE,"지침";#N/A,#N/A,FALSE,"환경분석";#N/A,#N/A,FALSE,"Sheet16"}</definedName>
    <definedName name="실적자료1" hidden="1">{#N/A,#N/A,FALSE,"지침";#N/A,#N/A,FALSE,"환경분석";#N/A,#N/A,FALSE,"Sheet16"}</definedName>
    <definedName name="실행예산증감원인" hidden="1">{#N/A,#N/A,FALSE,"전력간선"}</definedName>
    <definedName name="ㅇㄴㄻ" hidden="1">{#N/A,#N/A,FALSE,"표지목차"}</definedName>
    <definedName name="ㅇㄴㄻㄴㅇ" hidden="1">{#N/A,#N/A,FALSE,"표지목차"}</definedName>
    <definedName name="ㅇㄹㄹ" localSheetId="0" hidden="1">#REF!</definedName>
    <definedName name="ㅇㄹㄹ" hidden="1">#REF!</definedName>
    <definedName name="ㅇㄹㅀ" localSheetId="0" hidden="1">#REF!</definedName>
    <definedName name="ㅇㄹㅀ" hidden="1">#REF!</definedName>
    <definedName name="ㅇㄻㄴㅁㄴㄻ" hidden="1">{#N/A,#N/A,FALSE,"단가표지"}</definedName>
    <definedName name="ㅇㄻㅇㄻㄴㄹ" hidden="1">{#N/A,#N/A,FALSE,"단가표지"}</definedName>
    <definedName name="ㅇㅀㅁㅇㅁㅇ" hidden="1">{#N/A,#N/A,FALSE,"단가표지"}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{#N/A,#N/A,FALSE,"배수1"}</definedName>
    <definedName name="ㅇㅇㅇㅇ" hidden="1">{#N/A,#N/A,FALSE,"지침";#N/A,#N/A,FALSE,"환경분석";#N/A,#N/A,FALSE,"Sheet16"}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호" hidden="1">{#N/A,#N/A,FALSE,"혼합골재"}</definedName>
    <definedName name="아무거나" hidden="1">#REF!</definedName>
    <definedName name="아스콘2" hidden="1">[26]조명시설!#REF!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양액기교체완료" hidden="1">{"'건축내역'!$A$1:$L$413"}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억이상" localSheetId="0" hidden="1">{#N/A,#N/A,FALSE,"2~8번"}</definedName>
    <definedName name="억이상" hidden="1">{#N/A,#N/A,FALSE,"2~8번"}</definedName>
    <definedName name="엄차현" hidden="1">[27]Sheet1!#REF!</definedName>
    <definedName name="업체" hidden="1">#N/A</definedName>
    <definedName name="업체선정" hidden="1">{#N/A,#N/A,FALSE,"CCTV"}</definedName>
    <definedName name="여건보고" hidden="1">{"'건축내역'!$A$1:$L$413"}</definedName>
    <definedName name="연경1교" localSheetId="0" hidden="1">{#N/A,#N/A,FALSE,"단면 제원"}</definedName>
    <definedName name="연경1교" hidden="1">{#N/A,#N/A,FALSE,"단면 제원"}</definedName>
    <definedName name="연경1교1" localSheetId="0" hidden="1">{#N/A,#N/A,FALSE,"단면 제원"}</definedName>
    <definedName name="연경1교1" hidden="1">{#N/A,#N/A,FALSE,"단면 제원"}</definedName>
    <definedName name="연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0" hidden="1">[9]추가예산!#REF!</definedName>
    <definedName name="영업외" hidden="1">#N/A</definedName>
    <definedName name="영업외수" localSheetId="0" hidden="1">[9]추가예산!#REF!</definedName>
    <definedName name="영업외수" hidden="1">#N/A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옹" hidden="1">{#N/A,#N/A,FALSE,"골재소요량";#N/A,#N/A,FALSE,"골재소요량"}</definedName>
    <definedName name="옹벽수량집계표" hidden="1">{#N/A,#N/A,FALSE,"2~8번"}</definedName>
    <definedName name="옹벽수량집계표총괄" hidden="1">{#N/A,#N/A,FALSE,"혼합골재"}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씨" hidden="1">{#N/A,#N/A,FALSE,"단가표지"}</definedName>
    <definedName name="우ㅗ홓ㅇ" hidden="1">{#N/A,#N/A,FALSE,"조골재"}</definedName>
    <definedName name="원가보" localSheetId="0" hidden="1">{#N/A,#N/A,FALSE,"지침";#N/A,#N/A,FALSE,"환경분석";#N/A,#N/A,FALSE,"Sheet16"}</definedName>
    <definedName name="원가보" hidden="1">{#N/A,#N/A,FALSE,"지침";#N/A,#N/A,FALSE,"환경분석";#N/A,#N/A,FALSE,"Sheet16"}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남내역" hidden="1">#N/A</definedName>
    <definedName name="원반" localSheetId="0" hidden="1">#REF!</definedName>
    <definedName name="원반" hidden="1">#REF!</definedName>
    <definedName name="원본2" localSheetId="0" hidden="1">#REF!</definedName>
    <definedName name="원본2" hidden="1">#REF!</definedName>
    <definedName name="원인" localSheetId="0" hidden="1">{#N/A,#N/A,FALSE,"지침";#N/A,#N/A,FALSE,"환경분석";#N/A,#N/A,FALSE,"Sheet16"}</definedName>
    <definedName name="원인" hidden="1">{#N/A,#N/A,FALSE,"지침";#N/A,#N/A,FALSE,"환경분석";#N/A,#N/A,FALSE,"Sheet16"}</definedName>
    <definedName name="원재료" hidden="1">#REF!</definedName>
    <definedName name="월드건설" hidden="1">{#N/A,#N/A,FALSE,"이태원철근"}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육교" localSheetId="0" hidden="1">{#N/A,#N/A,FALSE,"단면 제원"}</definedName>
    <definedName name="육교" hidden="1">{#N/A,#N/A,FALSE,"단면 제원"}</definedName>
    <definedName name="의" localSheetId="0" hidden="1">{#N/A,#N/A,FALSE,"운반시간"}</definedName>
    <definedName name="의" hidden="1">{#N/A,#N/A,FALSE,"운반시간"}</definedName>
    <definedName name="이" hidden="1">{#N/A,#N/A,FALSE,"명세표"}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정" hidden="1">{#N/A,#N/A,FALSE,"2~8번"}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원조직" hidden="1">0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 hidden="1">{#N/A,#N/A,FALSE,"조골재"}</definedName>
    <definedName name="임직" hidden="1">#REF!</definedName>
    <definedName name="입찰금액안" hidden="1">#N/A</definedName>
    <definedName name="ㅈ" hidden="1">{#N/A,#N/A,FALSE,"명세표"}</definedName>
    <definedName name="ㅈㄱ" hidden="1">{#N/A,#N/A,FALSE,"조골재"}</definedName>
    <definedName name="ㅈㅈ" hidden="1">{#N/A,#N/A,FALSE,"표지목차"}</definedName>
    <definedName name="ㅈㅈㅈㅈ" hidden="1">{#N/A,#N/A,FALSE,"명세표"}</definedName>
    <definedName name="자미" hidden="1">{#N/A,#N/A,FALSE,"명세표"}</definedName>
    <definedName name="장기수급" hidden="1">#REF!</definedName>
    <definedName name="재" localSheetId="0" hidden="1">{#N/A,#N/A,FALSE,"단면 제원"}</definedName>
    <definedName name="재" hidden="1">{#N/A,#N/A,FALSE,"단면 제원"}</definedName>
    <definedName name="쟈" localSheetId="0" hidden="1">{#N/A,#N/A,FALSE,"단면 제원"}</definedName>
    <definedName name="쟈" hidden="1">{#N/A,#N/A,FALSE,"단면 제원"}</definedName>
    <definedName name="저" localSheetId="0" hidden="1">{#N/A,#N/A,FALSE,"단면 제원"}</definedName>
    <definedName name="저" hidden="1">{#N/A,#N/A,FALSE,"단면 제원"}</definedName>
    <definedName name="전기" hidden="1">#REF!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전통원원가계산서" hidden="1">#REF!</definedName>
    <definedName name="절" hidden="1">#REF!</definedName>
    <definedName name="제" localSheetId="0" hidden="1">{#N/A,#N/A,FALSE,"단면 제원"}</definedName>
    <definedName name="제" hidden="1">{#N/A,#N/A,FALSE,"단면 제원"}</definedName>
    <definedName name="제1회" hidden="1">{#N/A,#N/A,FALSE,"집계표"}</definedName>
    <definedName name="제2회" hidden="1">{#N/A,#N/A,FALSE,"집계표"}</definedName>
    <definedName name="제관공사" hidden="1">{#N/A,#N/A,FALSE,"CCTV"}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현황" hidden="1">[28]제품원재!#REF!</definedName>
    <definedName name="조경1" hidden="1">{#N/A,#N/A,FALSE,"전력간선"}</definedName>
    <definedName name="조경사본" localSheetId="0" hidden="1">{#N/A,#N/A,FALSE,"표지"}</definedName>
    <definedName name="조경사본" hidden="1">{#N/A,#N/A,FALSE,"표지"}</definedName>
    <definedName name="조사가" hidden="1">[29]입찰안!#REF!</definedName>
    <definedName name="조서" hidden="1">{#N/A,#N/A,FALSE,"집계표"}</definedName>
    <definedName name="조조직도" localSheetId="0" hidden="1">{#N/A,#N/A,FALSE,"지침";#N/A,#N/A,FALSE,"환경분석";#N/A,#N/A,FALSE,"Sheet16"}</definedName>
    <definedName name="조조직도" hidden="1">{#N/A,#N/A,FALSE,"지침";#N/A,#N/A,FALSE,"환경분석";#N/A,#N/A,FALSE,"Sheet16"}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인원" hidden="1">0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{#N/A,#N/A,FALSE,"단면 제원"}</definedName>
    <definedName name="죠" hidden="1">{#N/A,#N/A,FALSE,"단면 제원"}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거용" hidden="1">[30]비주거용!$D$4:$D$16</definedName>
    <definedName name="주차장" hidden="1">{#N/A,#N/A,FALSE,"표지"}</definedName>
    <definedName name="중추2교대거푸집집계" hidden="1">{#N/A,#N/A,FALSE,"배수1"}</definedName>
    <definedName name="쥬" localSheetId="0" hidden="1">{#N/A,#N/A,FALSE,"단면 제원"}</definedName>
    <definedName name="쥬" hidden="1">{#N/A,#N/A,FALSE,"단면 제원"}</definedName>
    <definedName name="즈" localSheetId="0" hidden="1">{#N/A,#N/A,FALSE,"단면 제원"}</definedName>
    <definedName name="즈" hidden="1">{#N/A,#N/A,FALSE,"단면 제원"}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" hidden="1">{#N/A,#N/A,FALSE,"2~8번"}</definedName>
    <definedName name="집계" hidden="1">{#N/A,#N/A,FALSE,"명세표"}</definedName>
    <definedName name="집수정1" hidden="1">{#N/A,#N/A,FALSE,"배수1"}</definedName>
    <definedName name="집수정1최종" hidden="1">{#N/A,#N/A,FALSE,"2~8번"}</definedName>
    <definedName name="ㅊㅍㅋㅌㅊㅋ" hidden="1">{#N/A,#N/A,FALSE,"운반시간"}</definedName>
    <definedName name="ㅊㅍㅋㅌㅍㅌ" hidden="1">{#N/A,#N/A,FALSE,"혼합골재"}</definedName>
    <definedName name="차차" hidden="1">[31]조명시설!#REF!</definedName>
    <definedName name="채데" localSheetId="0" hidden="1">{#N/A,#N/A,FALSE,"지침";#N/A,#N/A,FALSE,"환경분석";#N/A,#N/A,FALSE,"Sheet16"}</definedName>
    <definedName name="채데" hidden="1">{#N/A,#N/A,FALSE,"지침";#N/A,#N/A,FALSE,"환경분석";#N/A,#N/A,FALSE,"Sheet16"}</definedName>
    <definedName name="채ㅐ" localSheetId="0" hidden="1">{#N/A,#N/A,FALSE,"지침";#N/A,#N/A,FALSE,"환경분석";#N/A,#N/A,FALSE,"Sheet16"}</definedName>
    <definedName name="채ㅐ" hidden="1">{#N/A,#N/A,FALSE,"지침";#N/A,#N/A,FALSE,"환경분석";#N/A,#N/A,FALSE,"Sheet16"}</definedName>
    <definedName name="처리" localSheetId="0" hidden="1">{#N/A,#N/A,FALSE,"지침";#N/A,#N/A,FALSE,"환경분석";#N/A,#N/A,FALSE,"Sheet16"}</definedName>
    <definedName name="처리" hidden="1">{#N/A,#N/A,FALSE,"지침";#N/A,#N/A,FALSE,"환경분석";#N/A,#N/A,FALSE,"Sheet16"}</definedName>
    <definedName name="천공2" hidden="1">{#N/A,#N/A,FALSE,"집계표"}</definedName>
    <definedName name="천연공사갑지" hidden="1">#REF!</definedName>
    <definedName name="철2" localSheetId="0" hidden="1">{#N/A,#N/A,FALSE,"혼합골재"}</definedName>
    <definedName name="철2" hidden="1">{#N/A,#N/A,FALSE,"혼합골재"}</definedName>
    <definedName name="철골" hidden="1">{#N/A,#N/A,FALSE,"CCTV"}</definedName>
    <definedName name="철콘부대외" hidden="1">{#N/A,#N/A,FALSE,"Sheet1"}</definedName>
    <definedName name="총공" localSheetId="0" hidden="1">{#N/A,#N/A,FALSE,"운반시간"}</definedName>
    <definedName name="총공" hidden="1">{#N/A,#N/A,FALSE,"운반시간"}</definedName>
    <definedName name="총괄내역" hidden="1">#REF!</definedName>
    <definedName name="총괄제출2차" hidden="1">#REF!</definedName>
    <definedName name="추정2" hidden="1">[32]갑지!#REF!</definedName>
    <definedName name="추정공사22" localSheetId="0" hidden="1">{#N/A,#N/A,FALSE,"지침";#N/A,#N/A,FALSE,"환경분석";#N/A,#N/A,FALSE,"Sheet16"}</definedName>
    <definedName name="추정공사22" hidden="1">{#N/A,#N/A,FALSE,"지침";#N/A,#N/A,FALSE,"환경분석";#N/A,#N/A,FALSE,"Sheet16"}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ㅋㅁ" hidden="1">{#N/A,#N/A,FALSE,"명세표"}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쿨" localSheetId="0" hidden="1">{#N/A,#N/A,FALSE,"지침";#N/A,#N/A,FALSE,"환경분석";#N/A,#N/A,FALSE,"Sheet16"}</definedName>
    <definedName name="쿨" hidden="1">{#N/A,#N/A,FALSE,"지침";#N/A,#N/A,FALSE,"환경분석";#N/A,#N/A,FALSE,"Sheet16"}</definedName>
    <definedName name="퀘ㄹ" localSheetId="0" hidden="1">{#N/A,#N/A,FALSE,"지침";#N/A,#N/A,FALSE,"환경분석";#N/A,#N/A,FALSE,"Sheet16"}</definedName>
    <definedName name="퀘ㄹ" hidden="1">{#N/A,#N/A,FALSE,"지침";#N/A,#N/A,FALSE,"환경분석";#N/A,#N/A,FALSE,"Sheet16"}</definedName>
    <definedName name="퀼" localSheetId="0" hidden="1">{#N/A,#N/A,FALSE,"지침";#N/A,#N/A,FALSE,"환경분석";#N/A,#N/A,FALSE,"Sheet16"}</definedName>
    <definedName name="퀼" hidden="1">{#N/A,#N/A,FALSE,"지침";#N/A,#N/A,FALSE,"환경분석";#N/A,#N/A,FALSE,"Sheet16"}</definedName>
    <definedName name="ㅌ" hidden="1">{#N/A,#N/A,FALSE,"2~8번"}</definedName>
    <definedName name="ㅌㅊㅀ" hidden="1">{#N/A,#N/A,FALSE,"운반시간"}</definedName>
    <definedName name="ㅌㅍ츛ㅌ" hidden="1">{#N/A,#N/A,FALSE,"운반시간"}</definedName>
    <definedName name="타사공사비1" localSheetId="0" hidden="1">#REF!</definedName>
    <definedName name="타사공사비1" hidden="1">#REF!</definedName>
    <definedName name="테스크" hidden="1">{#N/A,#N/A,FALSE,"단가표지"}</definedName>
    <definedName name="테스트" localSheetId="0" hidden="1">#REF!</definedName>
    <definedName name="테스트" hidden="1">#REF!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이수" hidden="1">#REF!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hidden="1">{#N/A,#N/A,FALSE,"이태원철근"}</definedName>
    <definedName name="토목공사강릉" hidden="1">#REF!</definedName>
    <definedName name="토목공사계약3" hidden="1">{#N/A,#N/A,FALSE,"CCTV"}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토적표" hidden="1">#REF!</definedName>
    <definedName name="퇴" localSheetId="0" hidden="1">{#N/A,#N/A,FALSE,"지침";#N/A,#N/A,FALSE,"환경분석";#N/A,#N/A,FALSE,"Sheet16"}</definedName>
    <definedName name="퇴" hidden="1">{#N/A,#N/A,FALSE,"지침";#N/A,#N/A,FALSE,"환경분석";#N/A,#N/A,FALSE,"Sheet16"}</definedName>
    <definedName name="특기시방" hidden="1">#REF!</definedName>
    <definedName name="ㅍ" hidden="1">{#N/A,#N/A,FALSE,"명세표"}</definedName>
    <definedName name="ㅍ춫" hidden="1">{#N/A,#N/A,FALSE,"골재소요량";#N/A,#N/A,FALSE,"골재소요량"}</definedName>
    <definedName name="ㅍ츝" hidden="1">{#N/A,#N/A,FALSE,"표지목차"}</definedName>
    <definedName name="파군재교" localSheetId="0" hidden="1">{#N/A,#N/A,FALSE,"단면 제원"}</definedName>
    <definedName name="파군재교" hidden="1">{#N/A,#N/A,FALSE,"단면 제원"}</definedName>
    <definedName name="파일" hidden="1">#REF!</definedName>
    <definedName name="평균이자율" hidden="1">[33]이자율!#REF!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#REF!</definedName>
    <definedName name="풍납동" hidden="1">[1]Sheet4!#REF!</definedName>
    <definedName name="풍납동아파트" hidden="1">[1]Sheet4!#REF!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피브이씨" localSheetId="0" hidden="1">{#N/A,#N/A,FALSE,"전력간선"}</definedName>
    <definedName name="피브이씨" hidden="1">{#N/A,#N/A,FALSE,"전력간선"}</definedName>
    <definedName name="ㅎ5" hidden="1">{#N/A,#N/A,FALSE,"골재소요량";#N/A,#N/A,FALSE,"골재소요량"}</definedName>
    <definedName name="ㅎㄴ" hidden="1">{#N/A,#N/A,FALSE,"단가표지"}</definedName>
    <definedName name="ㅎㄶ" hidden="1">{#N/A,#N/A,FALSE,"속도"}</definedName>
    <definedName name="ㅎㄹ" hidden="1">{#N/A,#N/A,FALSE,"CCTV"}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ㅁㅎㄻㄴㅇ" hidden="1">{#N/A,#N/A,FALSE,"단가표지"}</definedName>
    <definedName name="ㅎㅂㄷ" hidden="1">{#N/A,#N/A,FALSE,"배수2"}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" hidden="1">#REF!</definedName>
    <definedName name="ㅎㅎㅎㅎ" localSheetId="0" hidden="1">{#N/A,#N/A,FALSE,"단면 제원"}</definedName>
    <definedName name="ㅎㅎㅎㅎ" hidden="1">{#N/A,#N/A,FALSE,"단면 제원"}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localSheetId="0" hidden="1">{#N/A,#N/A,FALSE,"지침";#N/A,#N/A,FALSE,"환경분석";#N/A,#N/A,FALSE,"Sheet16"}</definedName>
    <definedName name="하하" hidden="1">{#N/A,#N/A,FALSE,"지침";#N/A,#N/A,FALSE,"환경분석";#N/A,#N/A,FALSE,"Sheet16"}</definedName>
    <definedName name="하호" localSheetId="0" hidden="1">{#N/A,#N/A,FALSE,"지침";#N/A,#N/A,FALSE,"환경분석";#N/A,#N/A,FALSE,"Sheet16"}</definedName>
    <definedName name="하호" hidden="1">{#N/A,#N/A,FALSE,"지침";#N/A,#N/A,FALSE,"환경분석";#N/A,#N/A,FALSE,"Sheet16"}</definedName>
    <definedName name="한" hidden="1">#N/A</definedName>
    <definedName name="한동" hidden="1">{#N/A,#N/A,FALSE,"단가표지"}</definedName>
    <definedName name="현장" hidden="1">#REF!</definedName>
    <definedName name="협조전" hidden="1">#REF!</definedName>
    <definedName name="호우" hidden="1">{#N/A,#N/A,FALSE,"표지목차"}</definedName>
    <definedName name="호우ㅗ" hidden="1">{#N/A,#N/A,FALSE,"단가표지"}</definedName>
    <definedName name="호하" localSheetId="0" hidden="1">{#N/A,#N/A,FALSE,"지침";#N/A,#N/A,FALSE,"환경분석";#N/A,#N/A,FALSE,"Sheet16"}</definedName>
    <definedName name="호하" hidden="1">{#N/A,#N/A,FALSE,"지침";#N/A,#N/A,FALSE,"환경분석";#N/A,#N/A,FALSE,"Sheet16"}</definedName>
    <definedName name="호ㅓ" hidden="1">#REF!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홀" localSheetId="0" hidden="1">{#N/A,#N/A,FALSE,"지침";#N/A,#N/A,FALSE,"환경분석";#N/A,#N/A,FALSE,"Sheet16"}</definedName>
    <definedName name="홀" hidden="1">{#N/A,#N/A,FALSE,"지침";#N/A,#N/A,FALSE,"환경분석";#N/A,#N/A,FALSE,"Sheet16"}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후훌" localSheetId="0" hidden="1">{#N/A,#N/A,FALSE,"지침";#N/A,#N/A,FALSE,"환경분석";#N/A,#N/A,FALSE,"Sheet16"}</definedName>
    <definedName name="후훌" hidden="1">{#N/A,#N/A,FALSE,"지침";#N/A,#N/A,FALSE,"환경분석";#N/A,#N/A,FALSE,"Sheet16"}</definedName>
    <definedName name="훈" hidden="1">255</definedName>
    <definedName name="훼" localSheetId="0" hidden="1">{#N/A,#N/A,FALSE,"지침";#N/A,#N/A,FALSE,"환경분석";#N/A,#N/A,FALSE,"Sheet16"}</definedName>
    <definedName name="훼" hidden="1">{#N/A,#N/A,FALSE,"지침";#N/A,#N/A,FALSE,"환경분석";#N/A,#N/A,FALSE,"Sheet16"}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hidden="1">{#N/A,#N/A,FALSE,"이태원철근"}</definedName>
    <definedName name="ㅏ허화" hidden="1">{#N/A,#N/A,FALSE,"골재소요량";#N/A,#N/A,FALSE,"골재소요량"}</definedName>
    <definedName name="ㅏㅏㅏ" hidden="1">{#N/A,#N/A,FALSE,"명세표"}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{#N/A,#N/A,FALSE,"이태원철근"}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hidden="1">{#N/A,#N/A,FALSE,"조골재"}</definedName>
    <definedName name="ㅓ" hidden="1">{#N/A,#N/A,FALSE,"이태원철근"}</definedName>
    <definedName name="ㅓ7" hidden="1">{#N/A,#N/A,FALSE,"단가표지"}</definedName>
    <definedName name="ㅓㄴㄱ" hidden="1">#N/A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ㅓ" localSheetId="0" hidden="1">{#N/A,#N/A,FALSE,"단면 제원"}</definedName>
    <definedName name="ㅓㅓㅓ" hidden="1">{#N/A,#N/A,FALSE,"단면 제원"}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#N/A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ㅗ" hidden="1">{#N/A,#N/A,FALSE,"이태원철근"}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ㅗㅗ" localSheetId="0" hidden="1">{#N/A,#N/A,FALSE,"단면 제원"}</definedName>
    <definedName name="ㅗㅗㅗ" hidden="1">{#N/A,#N/A,FALSE,"단면 제원"}</definedName>
    <definedName name="ㅗㅠㅍ" hidden="1">{#N/A,#N/A,FALSE,"혼합골재"}</definedName>
    <definedName name="ㅛ" hidden="1">{#N/A,#N/A,FALSE,"이태원철근"}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{#N/A,#N/A,FALSE,"명세표"}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{#N/A,#N/A,FALSE,"이태원철근"}</definedName>
    <definedName name="ㅠㄴ" hidden="1">{#N/A,#N/A,FALSE,"조골재"}</definedName>
    <definedName name="ㅠㄹㅇㄴㄴㄹㅇ" hidden="1">{#N/A,#N/A,FALSE,"단가표지"}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hidden="1">{#N/A,#N/A,FALSE,"이태원철근"}</definedName>
    <definedName name="ㅡㅡ" hidden="1">{#N/A,#N/A,FALSE,"명세표"}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ㅚㅚ" localSheetId="0" hidden="1">{#N/A,#N/A,FALSE,"배수2"}</definedName>
    <definedName name="ㅣㅚㅚ" hidden="1">{#N/A,#N/A,FALSE,"배수2"}</definedName>
    <definedName name="ㅣㅣ" hidden="1">{#N/A,#N/A,FALSE,"골재소요량";#N/A,#N/A,FALSE,"골재소요량"}</definedName>
    <definedName name="ㅣㅣㅣ" hidden="1">[26]조명시설!#REF!</definedName>
    <definedName name="ㅣㅣㅣㅣ" hidden="1">[26]조명시설!#REF!</definedName>
    <definedName name="ㅣㅣㅣㅣㅣ" hidden="1">[26]조명시설!#REF!</definedName>
    <definedName name="ㅣㅣㅣㅣㅣㅣ" hidden="1">[26]조명시설!#REF!</definedName>
    <definedName name="ㅣㅣㅣㅣㅣㅣㅚㅣㅚㅚㅚ" localSheetId="0" hidden="1">{#N/A,#N/A,FALSE,"이정표"}</definedName>
    <definedName name="ㅣㅣㅣㅣㅣㅣㅚㅣㅚㅚㅚ" hidden="1">{#N/A,#N/A,FALSE,"이정표"}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3" i="2" l="1"/>
  <c r="J33" i="2"/>
  <c r="J34" i="2" s="1"/>
  <c r="P32" i="2"/>
  <c r="N32" i="2"/>
  <c r="M32" i="2"/>
  <c r="J32" i="2"/>
  <c r="L32" i="2" s="1"/>
  <c r="D32" i="2"/>
  <c r="P31" i="2"/>
  <c r="N31" i="2"/>
  <c r="M31" i="2"/>
  <c r="J31" i="2"/>
  <c r="L31" i="2" s="1"/>
  <c r="D31" i="2"/>
  <c r="P30" i="2"/>
  <c r="N30" i="2"/>
  <c r="M30" i="2"/>
  <c r="J30" i="2"/>
  <c r="L30" i="2" s="1"/>
  <c r="D30" i="2"/>
  <c r="P29" i="2"/>
  <c r="N29" i="2"/>
  <c r="M29" i="2"/>
  <c r="J29" i="2"/>
  <c r="L29" i="2" s="1"/>
  <c r="H29" i="2"/>
  <c r="I29" i="2" s="1"/>
  <c r="O29" i="2" s="1"/>
  <c r="D29" i="2"/>
  <c r="P28" i="2"/>
  <c r="N28" i="2"/>
  <c r="M28" i="2"/>
  <c r="J28" i="2"/>
  <c r="L28" i="2" s="1"/>
  <c r="D28" i="2"/>
  <c r="P27" i="2"/>
  <c r="N27" i="2"/>
  <c r="M27" i="2"/>
  <c r="J27" i="2"/>
  <c r="L27" i="2" s="1"/>
  <c r="H27" i="2"/>
  <c r="I27" i="2" s="1"/>
  <c r="O27" i="2" s="1"/>
  <c r="D27" i="2"/>
  <c r="P26" i="2"/>
  <c r="N26" i="2"/>
  <c r="M26" i="2"/>
  <c r="L26" i="2"/>
  <c r="J26" i="2"/>
  <c r="K26" i="2" s="1"/>
  <c r="D26" i="2"/>
  <c r="P25" i="2"/>
  <c r="P34" i="2" s="1"/>
  <c r="N25" i="2"/>
  <c r="N34" i="2" s="1"/>
  <c r="M25" i="2"/>
  <c r="M33" i="2" s="1"/>
  <c r="J25" i="2"/>
  <c r="L25" i="2" s="1"/>
  <c r="H25" i="2"/>
  <c r="I25" i="2" s="1"/>
  <c r="D25" i="2"/>
  <c r="K20" i="2"/>
  <c r="M19" i="2"/>
  <c r="K19" i="2"/>
  <c r="R18" i="2"/>
  <c r="M18" i="2"/>
  <c r="D18" i="2"/>
  <c r="G18" i="2" s="1"/>
  <c r="H18" i="2" s="1"/>
  <c r="I18" i="2" s="1"/>
  <c r="L18" i="2" s="1"/>
  <c r="R17" i="2"/>
  <c r="M17" i="2"/>
  <c r="H31" i="2" s="1"/>
  <c r="I31" i="2" s="1"/>
  <c r="O31" i="2" s="1"/>
  <c r="D17" i="2"/>
  <c r="G17" i="2" s="1"/>
  <c r="H17" i="2" s="1"/>
  <c r="I17" i="2" s="1"/>
  <c r="L17" i="2" s="1"/>
  <c r="R16" i="2"/>
  <c r="M16" i="2"/>
  <c r="H30" i="2" s="1"/>
  <c r="I30" i="2" s="1"/>
  <c r="O30" i="2" s="1"/>
  <c r="D16" i="2"/>
  <c r="G16" i="2" s="1"/>
  <c r="H16" i="2" s="1"/>
  <c r="I16" i="2" s="1"/>
  <c r="L16" i="2" s="1"/>
  <c r="R15" i="2"/>
  <c r="M15" i="2"/>
  <c r="D15" i="2"/>
  <c r="G15" i="2" s="1"/>
  <c r="H15" i="2" s="1"/>
  <c r="I15" i="2" s="1"/>
  <c r="L15" i="2" s="1"/>
  <c r="R14" i="2"/>
  <c r="M14" i="2"/>
  <c r="H28" i="2" s="1"/>
  <c r="I28" i="2" s="1"/>
  <c r="O28" i="2" s="1"/>
  <c r="D14" i="2"/>
  <c r="G14" i="2" s="1"/>
  <c r="H14" i="2" s="1"/>
  <c r="I14" i="2" s="1"/>
  <c r="L14" i="2" s="1"/>
  <c r="R13" i="2"/>
  <c r="M13" i="2"/>
  <c r="D13" i="2"/>
  <c r="G13" i="2" s="1"/>
  <c r="H13" i="2" s="1"/>
  <c r="I13" i="2" s="1"/>
  <c r="L13" i="2" s="1"/>
  <c r="R12" i="2"/>
  <c r="M12" i="2"/>
  <c r="H26" i="2" s="1"/>
  <c r="D12" i="2"/>
  <c r="G12" i="2" s="1"/>
  <c r="H12" i="2" s="1"/>
  <c r="I12" i="2" s="1"/>
  <c r="L12" i="2" s="1"/>
  <c r="R11" i="2"/>
  <c r="M11" i="2"/>
  <c r="D11" i="2"/>
  <c r="G11" i="2" s="1"/>
  <c r="A3" i="2"/>
  <c r="N23" i="1"/>
  <c r="K23" i="1"/>
  <c r="H22" i="1"/>
  <c r="H21" i="1"/>
  <c r="I21" i="1" s="1"/>
  <c r="J21" i="1" s="1"/>
  <c r="M20" i="1"/>
  <c r="O20" i="1" s="1"/>
  <c r="L20" i="1"/>
  <c r="H20" i="1"/>
  <c r="H19" i="1"/>
  <c r="I19" i="1" s="1"/>
  <c r="J19" i="1" s="1"/>
  <c r="H18" i="1"/>
  <c r="H17" i="1"/>
  <c r="H16" i="1"/>
  <c r="I16" i="1" s="1"/>
  <c r="J16" i="1" s="1"/>
  <c r="H15" i="1"/>
  <c r="I14" i="1"/>
  <c r="J14" i="1" s="1"/>
  <c r="H14" i="1"/>
  <c r="H13" i="1"/>
  <c r="I13" i="1" s="1"/>
  <c r="J13" i="1" s="1"/>
  <c r="H12" i="1"/>
  <c r="I11" i="1"/>
  <c r="I23" i="1" s="1"/>
  <c r="H11" i="1"/>
  <c r="O25" i="2" l="1"/>
  <c r="L34" i="2"/>
  <c r="L33" i="2"/>
  <c r="G20" i="2"/>
  <c r="H11" i="2"/>
  <c r="I11" i="2" s="1"/>
  <c r="G19" i="2"/>
  <c r="N13" i="2"/>
  <c r="N15" i="2"/>
  <c r="N18" i="2"/>
  <c r="H33" i="2"/>
  <c r="H34" i="2" s="1"/>
  <c r="I26" i="2"/>
  <c r="O26" i="2" s="1"/>
  <c r="N12" i="2"/>
  <c r="N16" i="2"/>
  <c r="K28" i="2"/>
  <c r="H32" i="2"/>
  <c r="I32" i="2" s="1"/>
  <c r="O32" i="2" s="1"/>
  <c r="N17" i="2"/>
  <c r="K32" i="2"/>
  <c r="K29" i="2"/>
  <c r="K25" i="2"/>
  <c r="K30" i="2"/>
  <c r="K27" i="2"/>
  <c r="N33" i="2"/>
  <c r="M20" i="2"/>
  <c r="M34" i="2"/>
  <c r="N14" i="2"/>
  <c r="K31" i="2"/>
  <c r="M16" i="1"/>
  <c r="O16" i="1" s="1"/>
  <c r="L16" i="1"/>
  <c r="L21" i="1"/>
  <c r="M21" i="1"/>
  <c r="O21" i="1" s="1"/>
  <c r="J11" i="1"/>
  <c r="I19" i="2" l="1"/>
  <c r="I20" i="2"/>
  <c r="L11" i="2"/>
  <c r="K34" i="2"/>
  <c r="K33" i="2"/>
  <c r="I33" i="2"/>
  <c r="O34" i="2"/>
  <c r="O33" i="2"/>
  <c r="I34" i="2"/>
  <c r="J23" i="1"/>
  <c r="M11" i="1"/>
  <c r="L11" i="1"/>
  <c r="L19" i="2" l="1"/>
  <c r="L20" i="2"/>
  <c r="N11" i="2"/>
  <c r="M23" i="1"/>
  <c r="O11" i="1"/>
  <c r="O23" i="1" s="1"/>
  <c r="N20" i="2" l="1"/>
  <c r="N19" i="2"/>
  <c r="L23" i="1"/>
</calcChain>
</file>

<file path=xl/sharedStrings.xml><?xml version="1.0" encoding="utf-8"?>
<sst xmlns="http://schemas.openxmlformats.org/spreadsheetml/2006/main" count="164" uniqueCount="96">
  <si>
    <t>[ 타워크레인 임대기간 산정 ]</t>
    <phoneticPr fontId="4" type="noConversion"/>
  </si>
  <si>
    <t>(2023. 11. 28)</t>
    <phoneticPr fontId="6" type="noConversion"/>
  </si>
  <si>
    <t>■ 현장명 :</t>
    <phoneticPr fontId="6" type="noConversion"/>
  </si>
  <si>
    <r>
      <t xml:space="preserve">※ 총 공기 기준 </t>
    </r>
    <r>
      <rPr>
        <sz val="11"/>
        <rFont val="굴림"/>
        <family val="3"/>
        <charset val="129"/>
      </rPr>
      <t>(단위:일)</t>
    </r>
    <phoneticPr fontId="6" type="noConversion"/>
  </si>
  <si>
    <t>지하 :</t>
    <phoneticPr fontId="6" type="noConversion"/>
  </si>
  <si>
    <t xml:space="preserve">기초 - </t>
    <phoneticPr fontId="6" type="noConversion"/>
  </si>
  <si>
    <t xml:space="preserve">지하 - </t>
    <phoneticPr fontId="6" type="noConversion"/>
  </si>
  <si>
    <t>지상 :</t>
    <phoneticPr fontId="6" type="noConversion"/>
  </si>
  <si>
    <t xml:space="preserve">1층 - </t>
    <phoneticPr fontId="6" type="noConversion"/>
  </si>
  <si>
    <t xml:space="preserve">기준 - </t>
    <phoneticPr fontId="6" type="noConversion"/>
  </si>
  <si>
    <t xml:space="preserve">최상 - </t>
    <phoneticPr fontId="6" type="noConversion"/>
  </si>
  <si>
    <t xml:space="preserve">옥탑 - </t>
    <phoneticPr fontId="6" type="noConversion"/>
  </si>
  <si>
    <t>구 분</t>
    <phoneticPr fontId="6" type="noConversion"/>
  </si>
  <si>
    <t>층       수</t>
    <phoneticPr fontId="4" type="noConversion"/>
  </si>
  <si>
    <t>골조 공기</t>
    <phoneticPr fontId="13" type="noConversion"/>
  </si>
  <si>
    <t>임대 개월(협의전)</t>
    <phoneticPr fontId="6" type="noConversion"/>
  </si>
  <si>
    <t>임대 개월(협의후)</t>
    <phoneticPr fontId="6" type="noConversion"/>
  </si>
  <si>
    <t>비 고</t>
    <phoneticPr fontId="6" type="noConversion"/>
  </si>
  <si>
    <t>현장</t>
    <phoneticPr fontId="6" type="noConversion"/>
  </si>
  <si>
    <t>타워</t>
    <phoneticPr fontId="13" type="noConversion"/>
  </si>
  <si>
    <t>동</t>
    <phoneticPr fontId="6" type="noConversion"/>
  </si>
  <si>
    <t>지하</t>
    <phoneticPr fontId="13" type="noConversion"/>
  </si>
  <si>
    <t>지상</t>
    <phoneticPr fontId="4" type="noConversion"/>
  </si>
  <si>
    <t>1F
제외</t>
    <phoneticPr fontId="4" type="noConversion"/>
  </si>
  <si>
    <t>옥탑</t>
    <phoneticPr fontId="6" type="noConversion"/>
  </si>
  <si>
    <t>일</t>
    <phoneticPr fontId="13" type="noConversion"/>
  </si>
  <si>
    <t>월</t>
    <phoneticPr fontId="6" type="noConversion"/>
  </si>
  <si>
    <t>견적팀</t>
  </si>
  <si>
    <t>자재팀</t>
    <phoneticPr fontId="13" type="noConversion"/>
  </si>
  <si>
    <t>차이</t>
  </si>
  <si>
    <t>이천중리1차</t>
    <phoneticPr fontId="3" type="noConversion"/>
  </si>
  <si>
    <t>1호기</t>
    <phoneticPr fontId="13" type="noConversion"/>
  </si>
  <si>
    <t>101동</t>
    <phoneticPr fontId="3" type="noConversion"/>
  </si>
  <si>
    <t>102동</t>
    <phoneticPr fontId="3" type="noConversion"/>
  </si>
  <si>
    <t>2호기</t>
    <phoneticPr fontId="3" type="noConversion"/>
  </si>
  <si>
    <t>103동</t>
    <phoneticPr fontId="3" type="noConversion"/>
  </si>
  <si>
    <t>3호기</t>
    <phoneticPr fontId="3" type="noConversion"/>
  </si>
  <si>
    <t>104동</t>
    <phoneticPr fontId="3" type="noConversion"/>
  </si>
  <si>
    <t>105동</t>
    <phoneticPr fontId="3" type="noConversion"/>
  </si>
  <si>
    <t>4호기</t>
    <phoneticPr fontId="13" type="noConversion"/>
  </si>
  <si>
    <t>5호기</t>
    <phoneticPr fontId="13" type="noConversion"/>
  </si>
  <si>
    <t>108동</t>
    <phoneticPr fontId="3" type="noConversion"/>
  </si>
  <si>
    <t>109동</t>
    <phoneticPr fontId="3" type="noConversion"/>
  </si>
  <si>
    <t>6호기</t>
    <phoneticPr fontId="13" type="noConversion"/>
  </si>
  <si>
    <t>110동</t>
    <phoneticPr fontId="3" type="noConversion"/>
  </si>
  <si>
    <t>111동</t>
    <phoneticPr fontId="3" type="noConversion"/>
  </si>
  <si>
    <t>합        계</t>
    <phoneticPr fontId="13" type="noConversion"/>
  </si>
  <si>
    <t>★T/C 해체시기: 골조완료+1개월(全동 동일적용)+α</t>
    <phoneticPr fontId="13" type="noConversion"/>
  </si>
  <si>
    <t>[ 건설용 리프트 임대기간 산정 ]</t>
    <phoneticPr fontId="6" type="noConversion"/>
  </si>
  <si>
    <t>(2025.11)</t>
    <phoneticPr fontId="6" type="noConversion"/>
  </si>
  <si>
    <r>
      <t xml:space="preserve">※ 총 공기 기준 </t>
    </r>
    <r>
      <rPr>
        <sz val="11"/>
        <rFont val="굴림"/>
        <family val="3"/>
        <charset val="129"/>
      </rPr>
      <t>(단위: 일)</t>
    </r>
    <phoneticPr fontId="6" type="noConversion"/>
  </si>
  <si>
    <t>★건설용리프트 해체시기: 동별 골조완료+4개월</t>
    <phoneticPr fontId="6" type="noConversion"/>
  </si>
  <si>
    <t>층고 :</t>
    <phoneticPr fontId="13" type="noConversion"/>
  </si>
  <si>
    <t xml:space="preserve">기준층 - </t>
    <phoneticPr fontId="6" type="noConversion"/>
  </si>
  <si>
    <t xml:space="preserve">1층 - </t>
    <phoneticPr fontId="13" type="noConversion"/>
  </si>
  <si>
    <t xml:space="preserve">최상층 - </t>
    <phoneticPr fontId="6" type="noConversion"/>
  </si>
  <si>
    <t>호이스트 기초는 동별로 상이함(참조, 설치높이 산정)</t>
    <phoneticPr fontId="6" type="noConversion"/>
  </si>
  <si>
    <t>1. 건설용 리프트 임대기간 산정</t>
    <phoneticPr fontId="6" type="noConversion"/>
  </si>
  <si>
    <t>공기
(일)</t>
    <phoneticPr fontId="13" type="noConversion"/>
  </si>
  <si>
    <t>운용
형태</t>
    <phoneticPr fontId="6" type="noConversion"/>
  </si>
  <si>
    <t>설치
라인</t>
    <phoneticPr fontId="6" type="noConversion"/>
  </si>
  <si>
    <t>건설용리프트 임대개월</t>
  </si>
  <si>
    <t>적용계수</t>
    <phoneticPr fontId="6" type="noConversion"/>
  </si>
  <si>
    <t>라인
(세대)</t>
    <phoneticPr fontId="6" type="noConversion"/>
  </si>
  <si>
    <t>1~4F,
최상층 제외</t>
    <phoneticPr fontId="4" type="noConversion"/>
  </si>
  <si>
    <t>최상층</t>
    <phoneticPr fontId="13" type="noConversion"/>
  </si>
  <si>
    <t>골조
완료</t>
    <phoneticPr fontId="6" type="noConversion"/>
  </si>
  <si>
    <t>건설용리프트
임대기간</t>
    <phoneticPr fontId="6" type="noConversion"/>
  </si>
  <si>
    <t>견적</t>
    <phoneticPr fontId="6" type="noConversion"/>
  </si>
  <si>
    <t>101동</t>
    <phoneticPr fontId="6" type="noConversion"/>
  </si>
  <si>
    <t>1~3호</t>
    <phoneticPr fontId="6" type="noConversion"/>
  </si>
  <si>
    <t>중속싱글</t>
  </si>
  <si>
    <t>저속싱글</t>
    <phoneticPr fontId="6" type="noConversion"/>
  </si>
  <si>
    <t>4~5호</t>
    <phoneticPr fontId="6" type="noConversion"/>
  </si>
  <si>
    <t>중속싱글</t>
    <phoneticPr fontId="3" type="noConversion"/>
  </si>
  <si>
    <t>102동</t>
    <phoneticPr fontId="6" type="noConversion"/>
  </si>
  <si>
    <t>중속싱글</t>
    <phoneticPr fontId="6" type="noConversion"/>
  </si>
  <si>
    <t>고속트윈</t>
    <phoneticPr fontId="6" type="noConversion"/>
  </si>
  <si>
    <t>103동</t>
    <phoneticPr fontId="6" type="noConversion"/>
  </si>
  <si>
    <t>1~2호</t>
    <phoneticPr fontId="6" type="noConversion"/>
  </si>
  <si>
    <t>3~4호</t>
    <phoneticPr fontId="6" type="noConversion"/>
  </si>
  <si>
    <t>104동</t>
    <phoneticPr fontId="6" type="noConversion"/>
  </si>
  <si>
    <t>합        계</t>
    <phoneticPr fontId="6" type="noConversion"/>
  </si>
  <si>
    <t>합      계</t>
    <phoneticPr fontId="6" type="noConversion"/>
  </si>
  <si>
    <t>2 기타장비 임대 및 설치해체</t>
    <phoneticPr fontId="6" type="noConversion"/>
  </si>
  <si>
    <t>건설용
리프트
임대기간</t>
    <phoneticPr fontId="6" type="noConversion"/>
  </si>
  <si>
    <t>기타장비 임대개월</t>
    <phoneticPr fontId="13" type="noConversion"/>
  </si>
  <si>
    <t>설치,해체공사</t>
    <phoneticPr fontId="13" type="noConversion"/>
  </si>
  <si>
    <t>무인
운행장치
(월)</t>
    <phoneticPr fontId="13" type="noConversion"/>
  </si>
  <si>
    <t>안전문
임대료
(EA)</t>
    <phoneticPr fontId="13" type="noConversion"/>
  </si>
  <si>
    <t>분합문
보호발판
(EA)</t>
    <phoneticPr fontId="13" type="noConversion"/>
  </si>
  <si>
    <t>층표시판
(EA)</t>
    <phoneticPr fontId="13" type="noConversion"/>
  </si>
  <si>
    <t>설치.해체
(M)</t>
    <phoneticPr fontId="13" type="noConversion"/>
  </si>
  <si>
    <t>운반비
(대)</t>
    <phoneticPr fontId="13" type="noConversion"/>
  </si>
  <si>
    <t>무인운행
설치해체
(대)</t>
    <phoneticPr fontId="13" type="noConversion"/>
  </si>
  <si>
    <t>장비비
(대)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</si>
</sst>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\ &quot;일,&quot;"/>
    <numFmt numFmtId="177" formatCode="#,##0\ &quot;일&quot;"/>
    <numFmt numFmtId="178" formatCode="#,##0&quot;동&quot;"/>
    <numFmt numFmtId="179" formatCode="0_);[Red]\(0\)"/>
    <numFmt numFmtId="180" formatCode="#,##0_);[Red]\(#,##0\)"/>
    <numFmt numFmtId="181" formatCode="0.0_);[Red]\(0.0\)"/>
    <numFmt numFmtId="182" formatCode="_-* #,##0.00_-;\-* #,##0.00_-;_-* &quot;-&quot;_-;_-@_-"/>
    <numFmt numFmtId="183" formatCode="&quot;(호이스트 기초 : 1층바닥 - &quot;#,##0&quot; )&quot;"/>
    <numFmt numFmtId="184" formatCode="#,##0&quot;층&quot;"/>
    <numFmt numFmtId="185" formatCode="_-* #,##0.0_-;\-* #,##0.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2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가는으뜸체"/>
      <family val="1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b/>
      <sz val="14"/>
      <name val="굴림"/>
      <family val="3"/>
      <charset val="129"/>
    </font>
    <font>
      <b/>
      <sz val="10"/>
      <name val="굴림"/>
      <family val="3"/>
      <charset val="129"/>
    </font>
    <font>
      <sz val="10"/>
      <name val="가는으뜸체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1.5"/>
      <color rgb="FFFF0000"/>
      <name val="굴림"/>
      <family val="3"/>
      <charset val="129"/>
    </font>
    <font>
      <sz val="8"/>
      <name val="굴림"/>
      <family val="2"/>
      <charset val="129"/>
    </font>
    <font>
      <sz val="9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rgb="FF0000FF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color rgb="FFFF6699"/>
      <name val="굴림"/>
      <family val="3"/>
      <charset val="129"/>
    </font>
    <font>
      <sz val="10"/>
      <color theme="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93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thin">
        <color indexed="64"/>
      </bottom>
      <diagonal/>
    </border>
    <border>
      <left/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indexed="64"/>
      </right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/>
      <diagonal/>
    </border>
    <border>
      <left style="medium">
        <color theme="1"/>
      </left>
      <right style="hair">
        <color theme="1"/>
      </right>
      <top/>
      <bottom/>
      <diagonal/>
    </border>
    <border>
      <left style="hair">
        <color theme="1"/>
      </left>
      <right style="thick">
        <color rgb="FFFF0000"/>
      </right>
      <top/>
      <bottom/>
      <diagonal/>
    </border>
    <border>
      <left style="thick">
        <color rgb="FFFF0000"/>
      </left>
      <right style="medium">
        <color auto="1"/>
      </right>
      <top/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/>
      <bottom style="thin">
        <color indexed="64"/>
      </bottom>
      <diagonal/>
    </border>
    <border>
      <left/>
      <right style="hair">
        <color theme="1"/>
      </right>
      <top/>
      <bottom style="thin">
        <color auto="1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/>
      <right style="thick">
        <color rgb="FFFF0000"/>
      </right>
      <top/>
      <bottom style="thin">
        <color auto="1"/>
      </bottom>
      <diagonal/>
    </border>
    <border>
      <left style="medium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hair">
        <color indexed="64"/>
      </right>
      <top style="thin">
        <color indexed="64"/>
      </top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thin">
        <color indexed="64"/>
      </top>
      <bottom/>
      <diagonal/>
    </border>
    <border>
      <left/>
      <right style="hair">
        <color theme="1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auto="1"/>
      </bottom>
      <diagonal/>
    </border>
    <border>
      <left style="thick">
        <color rgb="FFFF0000"/>
      </left>
      <right style="hair">
        <color theme="1"/>
      </right>
      <top style="thin">
        <color indexed="64"/>
      </top>
      <bottom style="thin">
        <color auto="1"/>
      </bottom>
      <diagonal/>
    </border>
    <border>
      <left style="hair">
        <color theme="1"/>
      </left>
      <right style="thick">
        <color rgb="FFFF0000"/>
      </right>
      <top style="thin">
        <color indexed="64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hair">
        <color theme="1"/>
      </bottom>
      <diagonal/>
    </border>
    <border>
      <left style="thick">
        <color rgb="FFFF0000"/>
      </left>
      <right style="hair">
        <color theme="1"/>
      </right>
      <top/>
      <bottom/>
      <diagonal/>
    </border>
    <border>
      <left style="thin">
        <color theme="1"/>
      </left>
      <right style="hair">
        <color indexed="64"/>
      </right>
      <top style="hair">
        <color theme="1"/>
      </top>
      <bottom style="thin">
        <color indexed="64"/>
      </bottom>
      <diagonal/>
    </border>
    <border>
      <left/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ck">
        <color rgb="FFFF0000"/>
      </right>
      <top style="hair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theme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theme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/>
      <diagonal/>
    </border>
    <border>
      <left/>
      <right style="thick">
        <color rgb="FFFF0000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/>
      <right style="hair">
        <color theme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hair">
        <color theme="1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hair">
        <color theme="1"/>
      </right>
      <top/>
      <bottom style="medium">
        <color theme="1"/>
      </bottom>
      <diagonal/>
    </border>
    <border>
      <left style="hair">
        <color theme="1"/>
      </left>
      <right style="thin">
        <color indexed="64"/>
      </right>
      <top/>
      <bottom style="medium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/>
      <right style="thick">
        <color rgb="FFFF0000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medium">
        <color theme="1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medium">
        <color theme="1"/>
      </bottom>
      <diagonal/>
    </border>
    <border>
      <left/>
      <right style="medium">
        <color auto="1"/>
      </right>
      <top style="thin">
        <color theme="1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/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/>
      <top/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hair">
        <color theme="1"/>
      </bottom>
      <diagonal/>
    </border>
    <border>
      <left/>
      <right style="medium">
        <color auto="1"/>
      </right>
      <top style="thin">
        <color theme="1"/>
      </top>
      <bottom style="hair">
        <color theme="1"/>
      </bottom>
      <diagonal/>
    </border>
    <border>
      <left style="medium">
        <color auto="1"/>
      </left>
      <right/>
      <top style="thin">
        <color theme="1"/>
      </top>
      <bottom style="hair">
        <color indexed="64"/>
      </bottom>
      <diagonal/>
    </border>
    <border>
      <left/>
      <right style="medium">
        <color theme="1"/>
      </right>
      <top style="thin">
        <color theme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ck">
        <color rgb="FFFF0000"/>
      </left>
      <right style="thick">
        <color rgb="FFFF0000"/>
      </right>
      <top style="hair">
        <color theme="1"/>
      </top>
      <bottom style="hair">
        <color theme="1"/>
      </bottom>
      <diagonal/>
    </border>
    <border>
      <left/>
      <right style="medium">
        <color auto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auto="1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 style="hair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hair">
        <color theme="1"/>
      </bottom>
      <diagonal/>
    </border>
    <border>
      <left style="medium">
        <color auto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hair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thick">
        <color rgb="FFFF0000"/>
      </right>
      <top style="thin">
        <color theme="1"/>
      </top>
      <bottom style="medium">
        <color auto="1"/>
      </bottom>
      <diagonal/>
    </border>
    <border>
      <left/>
      <right style="medium">
        <color auto="1"/>
      </right>
      <top style="thin">
        <color theme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hair">
        <color theme="1"/>
      </bottom>
      <diagonal/>
    </border>
    <border>
      <left/>
      <right style="thin">
        <color auto="1"/>
      </right>
      <top style="thin">
        <color theme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theme="1"/>
      </top>
      <bottom style="thin">
        <color theme="1"/>
      </bottom>
      <diagonal/>
    </border>
    <border>
      <left/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auto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0" fontId="16" fillId="0" borderId="0">
      <alignment vertical="center"/>
    </xf>
  </cellStyleXfs>
  <cellXfs count="347">
    <xf numFmtId="0" fontId="0" fillId="0" borderId="0" xfId="0">
      <alignment vertical="center"/>
    </xf>
    <xf numFmtId="0" fontId="2" fillId="0" borderId="0" xfId="2" applyNumberFormat="1" applyFont="1" applyAlignment="1">
      <alignment horizontal="center" vertical="center"/>
    </xf>
    <xf numFmtId="0" fontId="2" fillId="0" borderId="0" xfId="2" applyNumberFormat="1" applyFont="1" applyAlignment="1">
      <alignment vertical="center"/>
    </xf>
    <xf numFmtId="41" fontId="5" fillId="0" borderId="0" xfId="2" applyFont="1" applyBorder="1" applyAlignment="1">
      <alignment vertical="center"/>
    </xf>
    <xf numFmtId="0" fontId="5" fillId="0" borderId="0" xfId="2" applyNumberFormat="1" applyFont="1" applyAlignment="1">
      <alignment horizontal="center" vertical="top"/>
    </xf>
    <xf numFmtId="0" fontId="5" fillId="0" borderId="0" xfId="2" applyNumberFormat="1" applyFont="1" applyAlignment="1">
      <alignment vertical="top"/>
    </xf>
    <xf numFmtId="0" fontId="7" fillId="0" borderId="0" xfId="2" applyNumberFormat="1" applyFont="1" applyAlignment="1">
      <alignment vertical="center"/>
    </xf>
    <xf numFmtId="41" fontId="7" fillId="0" borderId="0" xfId="2" applyFont="1" applyAlignment="1">
      <alignment vertical="center"/>
    </xf>
    <xf numFmtId="13" fontId="5" fillId="0" borderId="0" xfId="2" quotePrefix="1" applyNumberFormat="1" applyFont="1" applyAlignment="1">
      <alignment horizontal="center" shrinkToFit="1"/>
    </xf>
    <xf numFmtId="41" fontId="8" fillId="0" borderId="0" xfId="2" applyFont="1" applyAlignment="1">
      <alignment vertical="center" shrinkToFit="1"/>
    </xf>
    <xf numFmtId="41" fontId="5" fillId="0" borderId="0" xfId="2" applyFont="1" applyAlignment="1">
      <alignment vertical="center"/>
    </xf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176" fontId="11" fillId="0" borderId="0" xfId="3" applyNumberFormat="1" applyFont="1" applyAlignment="1">
      <alignment horizontal="left" vertical="center" shrinkToFit="1"/>
    </xf>
    <xf numFmtId="0" fontId="11" fillId="0" borderId="0" xfId="3" applyFont="1" applyAlignment="1">
      <alignment horizontal="center" vertical="center" shrinkToFit="1"/>
    </xf>
    <xf numFmtId="177" fontId="11" fillId="0" borderId="0" xfId="3" applyNumberFormat="1" applyFont="1" applyAlignment="1">
      <alignment horizontal="left" vertical="center" shrinkToFit="1"/>
    </xf>
    <xf numFmtId="0" fontId="11" fillId="0" borderId="0" xfId="3" applyFont="1" applyAlignment="1">
      <alignment vertical="center" shrinkToFit="1"/>
    </xf>
    <xf numFmtId="0" fontId="5" fillId="0" borderId="0" xfId="3" applyFont="1" applyAlignment="1">
      <alignment shrinkToFit="1"/>
    </xf>
    <xf numFmtId="0" fontId="11" fillId="0" borderId="0" xfId="3" applyFont="1" applyAlignment="1">
      <alignment horizontal="right" vertical="center" shrinkToFit="1"/>
    </xf>
    <xf numFmtId="0" fontId="11" fillId="0" borderId="0" xfId="3" applyFont="1" applyAlignment="1">
      <alignment horizontal="left" vertical="center" shrinkToFit="1"/>
    </xf>
    <xf numFmtId="0" fontId="12" fillId="0" borderId="0" xfId="3" applyFont="1" applyAlignment="1">
      <alignment horizontal="left" vertical="center"/>
    </xf>
    <xf numFmtId="0" fontId="5" fillId="0" borderId="0" xfId="3" applyFont="1"/>
    <xf numFmtId="41" fontId="10" fillId="2" borderId="1" xfId="2" applyFont="1" applyFill="1" applyBorder="1" applyAlignment="1">
      <alignment horizontal="center" vertical="center"/>
    </xf>
    <xf numFmtId="41" fontId="10" fillId="2" borderId="2" xfId="2" applyFont="1" applyFill="1" applyBorder="1" applyAlignment="1">
      <alignment horizontal="center" vertical="center"/>
    </xf>
    <xf numFmtId="41" fontId="10" fillId="2" borderId="3" xfId="2" applyFont="1" applyFill="1" applyBorder="1" applyAlignment="1">
      <alignment horizontal="center" vertical="center"/>
    </xf>
    <xf numFmtId="0" fontId="10" fillId="2" borderId="4" xfId="2" applyNumberFormat="1" applyFont="1" applyFill="1" applyBorder="1" applyAlignment="1">
      <alignment horizontal="center" vertical="center" shrinkToFit="1"/>
    </xf>
    <xf numFmtId="0" fontId="10" fillId="2" borderId="5" xfId="2" applyNumberFormat="1" applyFont="1" applyFill="1" applyBorder="1" applyAlignment="1">
      <alignment horizontal="center" vertical="center" shrinkToFit="1"/>
    </xf>
    <xf numFmtId="0" fontId="10" fillId="2" borderId="2" xfId="2" applyNumberFormat="1" applyFont="1" applyFill="1" applyBorder="1" applyAlignment="1">
      <alignment horizontal="center" vertical="center" shrinkToFit="1"/>
    </xf>
    <xf numFmtId="0" fontId="10" fillId="2" borderId="4" xfId="2" applyNumberFormat="1" applyFont="1" applyFill="1" applyBorder="1" applyAlignment="1">
      <alignment horizontal="center" vertical="center" wrapText="1" shrinkToFit="1"/>
    </xf>
    <xf numFmtId="0" fontId="10" fillId="2" borderId="5" xfId="2" applyNumberFormat="1" applyFont="1" applyFill="1" applyBorder="1" applyAlignment="1">
      <alignment horizontal="center" vertical="center" wrapText="1" shrinkToFit="1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7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41" fontId="10" fillId="2" borderId="9" xfId="2" applyFont="1" applyFill="1" applyBorder="1" applyAlignment="1">
      <alignment horizontal="center" vertical="center"/>
    </xf>
    <xf numFmtId="41" fontId="5" fillId="0" borderId="0" xfId="2" applyFont="1" applyBorder="1" applyAlignment="1">
      <alignment horizontal="center" vertical="center"/>
    </xf>
    <xf numFmtId="41" fontId="10" fillId="2" borderId="10" xfId="2" applyFont="1" applyFill="1" applyBorder="1" applyAlignment="1">
      <alignment horizontal="center" vertical="center"/>
    </xf>
    <xf numFmtId="41" fontId="10" fillId="2" borderId="11" xfId="2" applyFont="1" applyFill="1" applyBorder="1" applyAlignment="1">
      <alignment horizontal="center" vertical="center"/>
    </xf>
    <xf numFmtId="41" fontId="10" fillId="2" borderId="12" xfId="2" applyFont="1" applyFill="1" applyBorder="1" applyAlignment="1">
      <alignment horizontal="center" vertical="center"/>
    </xf>
    <xf numFmtId="41" fontId="10" fillId="2" borderId="13" xfId="2" applyFont="1" applyFill="1" applyBorder="1" applyAlignment="1">
      <alignment horizontal="center" vertical="center"/>
    </xf>
    <xf numFmtId="0" fontId="10" fillId="2" borderId="14" xfId="2" applyNumberFormat="1" applyFont="1" applyFill="1" applyBorder="1" applyAlignment="1">
      <alignment horizontal="center" vertical="center" wrapText="1" shrinkToFit="1"/>
    </xf>
    <xf numFmtId="0" fontId="10" fillId="2" borderId="15" xfId="2" applyNumberFormat="1" applyFont="1" applyFill="1" applyBorder="1" applyAlignment="1">
      <alignment horizontal="center" vertical="center" wrapText="1" shrinkToFit="1"/>
    </xf>
    <xf numFmtId="0" fontId="10" fillId="2" borderId="16" xfId="2" applyNumberFormat="1" applyFont="1" applyFill="1" applyBorder="1" applyAlignment="1">
      <alignment horizontal="center" vertical="center" shrinkToFit="1"/>
    </xf>
    <xf numFmtId="0" fontId="10" fillId="2" borderId="17" xfId="2" applyNumberFormat="1" applyFont="1" applyFill="1" applyBorder="1" applyAlignment="1">
      <alignment horizontal="center" vertical="center" shrinkToFit="1"/>
    </xf>
    <xf numFmtId="41" fontId="10" fillId="2" borderId="18" xfId="2" applyFont="1" applyFill="1" applyBorder="1" applyAlignment="1">
      <alignment horizontal="center" vertical="center" shrinkToFit="1"/>
    </xf>
    <xf numFmtId="0" fontId="10" fillId="3" borderId="19" xfId="2" applyNumberFormat="1" applyFont="1" applyFill="1" applyBorder="1" applyAlignment="1">
      <alignment horizontal="center" vertical="center"/>
    </xf>
    <xf numFmtId="41" fontId="10" fillId="3" borderId="20" xfId="2" applyFont="1" applyFill="1" applyBorder="1" applyAlignment="1">
      <alignment horizontal="center" vertical="center"/>
    </xf>
    <xf numFmtId="41" fontId="10" fillId="3" borderId="19" xfId="2" applyFont="1" applyFill="1" applyBorder="1" applyAlignment="1">
      <alignment horizontal="center" vertical="center"/>
    </xf>
    <xf numFmtId="0" fontId="10" fillId="3" borderId="21" xfId="2" applyNumberFormat="1" applyFont="1" applyFill="1" applyBorder="1" applyAlignment="1">
      <alignment horizontal="center" vertical="center"/>
    </xf>
    <xf numFmtId="41" fontId="10" fillId="3" borderId="22" xfId="2" applyFont="1" applyFill="1" applyBorder="1" applyAlignment="1">
      <alignment horizontal="center" vertical="center"/>
    </xf>
    <xf numFmtId="41" fontId="10" fillId="3" borderId="23" xfId="2" applyFont="1" applyFill="1" applyBorder="1" applyAlignment="1">
      <alignment horizontal="center" vertical="center"/>
    </xf>
    <xf numFmtId="41" fontId="10" fillId="2" borderId="24" xfId="2" applyFont="1" applyFill="1" applyBorder="1" applyAlignment="1">
      <alignment horizontal="center" vertical="center"/>
    </xf>
    <xf numFmtId="41" fontId="10" fillId="4" borderId="25" xfId="2" quotePrefix="1" applyFont="1" applyFill="1" applyBorder="1" applyAlignment="1">
      <alignment horizontal="center" vertical="center" wrapText="1"/>
    </xf>
    <xf numFmtId="41" fontId="10" fillId="4" borderId="26" xfId="2" quotePrefix="1" applyFont="1" applyFill="1" applyBorder="1" applyAlignment="1">
      <alignment horizontal="center" vertical="center"/>
    </xf>
    <xf numFmtId="178" fontId="11" fillId="0" borderId="27" xfId="2" quotePrefix="1" applyNumberFormat="1" applyFont="1" applyFill="1" applyBorder="1" applyAlignment="1">
      <alignment horizontal="center" vertical="center"/>
    </xf>
    <xf numFmtId="179" fontId="11" fillId="0" borderId="28" xfId="2" quotePrefix="1" applyNumberFormat="1" applyFont="1" applyFill="1" applyBorder="1" applyAlignment="1">
      <alignment horizontal="center" vertical="center"/>
    </xf>
    <xf numFmtId="179" fontId="11" fillId="0" borderId="29" xfId="2" applyNumberFormat="1" applyFont="1" applyFill="1" applyBorder="1" applyAlignment="1">
      <alignment horizontal="center" vertical="center" shrinkToFit="1"/>
    </xf>
    <xf numFmtId="179" fontId="11" fillId="0" borderId="30" xfId="2" applyNumberFormat="1" applyFont="1" applyFill="1" applyBorder="1" applyAlignment="1">
      <alignment horizontal="center" vertical="center" shrinkToFit="1"/>
    </xf>
    <xf numFmtId="179" fontId="11" fillId="0" borderId="31" xfId="2" applyNumberFormat="1" applyFont="1" applyFill="1" applyBorder="1" applyAlignment="1">
      <alignment horizontal="center" vertical="center" shrinkToFit="1"/>
    </xf>
    <xf numFmtId="180" fontId="11" fillId="5" borderId="29" xfId="2" applyNumberFormat="1" applyFont="1" applyFill="1" applyBorder="1" applyAlignment="1">
      <alignment horizontal="center" vertical="center" wrapText="1" shrinkToFit="1"/>
    </xf>
    <xf numFmtId="181" fontId="11" fillId="0" borderId="31" xfId="2" applyNumberFormat="1" applyFont="1" applyFill="1" applyBorder="1" applyAlignment="1">
      <alignment horizontal="center" vertical="center" wrapText="1" shrinkToFit="1"/>
    </xf>
    <xf numFmtId="179" fontId="11" fillId="0" borderId="32" xfId="2" applyNumberFormat="1" applyFont="1" applyFill="1" applyBorder="1" applyAlignment="1">
      <alignment horizontal="center" vertical="center" wrapText="1"/>
    </xf>
    <xf numFmtId="179" fontId="11" fillId="0" borderId="33" xfId="2" applyNumberFormat="1" applyFont="1" applyFill="1" applyBorder="1" applyAlignment="1">
      <alignment horizontal="center" vertical="center" wrapText="1"/>
    </xf>
    <xf numFmtId="181" fontId="10" fillId="0" borderId="32" xfId="2" applyNumberFormat="1" applyFont="1" applyFill="1" applyBorder="1" applyAlignment="1">
      <alignment horizontal="center" vertical="center" wrapText="1"/>
    </xf>
    <xf numFmtId="181" fontId="11" fillId="0" borderId="34" xfId="2" applyNumberFormat="1" applyFont="1" applyFill="1" applyBorder="1" applyAlignment="1">
      <alignment horizontal="center" vertical="center" wrapText="1"/>
    </xf>
    <xf numFmtId="179" fontId="11" fillId="0" borderId="35" xfId="2" applyNumberFormat="1" applyFont="1" applyFill="1" applyBorder="1" applyAlignment="1">
      <alignment horizontal="center" vertical="center" wrapText="1"/>
    </xf>
    <xf numFmtId="41" fontId="14" fillId="0" borderId="36" xfId="2" quotePrefix="1" applyFont="1" applyFill="1" applyBorder="1" applyAlignment="1">
      <alignment horizontal="center" vertical="center" wrapText="1"/>
    </xf>
    <xf numFmtId="41" fontId="14" fillId="0" borderId="0" xfId="2" applyFont="1" applyBorder="1" applyAlignment="1">
      <alignment vertical="center"/>
    </xf>
    <xf numFmtId="182" fontId="14" fillId="0" borderId="0" xfId="1" applyNumberFormat="1" applyFont="1" applyBorder="1" applyAlignment="1">
      <alignment vertical="center"/>
    </xf>
    <xf numFmtId="41" fontId="10" fillId="4" borderId="37" xfId="2" quotePrefix="1" applyFont="1" applyFill="1" applyBorder="1" applyAlignment="1">
      <alignment horizontal="center" vertical="center" wrapText="1"/>
    </xf>
    <xf numFmtId="41" fontId="10" fillId="4" borderId="38" xfId="2" quotePrefix="1" applyFont="1" applyFill="1" applyBorder="1" applyAlignment="1">
      <alignment horizontal="center" vertical="center"/>
    </xf>
    <xf numFmtId="178" fontId="11" fillId="0" borderId="38" xfId="2" quotePrefix="1" applyNumberFormat="1" applyFont="1" applyFill="1" applyBorder="1" applyAlignment="1">
      <alignment horizontal="center" vertical="center"/>
    </xf>
    <xf numFmtId="179" fontId="11" fillId="0" borderId="39" xfId="2" quotePrefix="1" applyNumberFormat="1" applyFont="1" applyFill="1" applyBorder="1" applyAlignment="1">
      <alignment horizontal="center" vertical="center"/>
    </xf>
    <xf numFmtId="179" fontId="11" fillId="0" borderId="40" xfId="2" applyNumberFormat="1" applyFont="1" applyFill="1" applyBorder="1" applyAlignment="1">
      <alignment horizontal="center" vertical="center" shrinkToFit="1"/>
    </xf>
    <xf numFmtId="179" fontId="11" fillId="0" borderId="41" xfId="2" applyNumberFormat="1" applyFont="1" applyFill="1" applyBorder="1" applyAlignment="1">
      <alignment horizontal="center" vertical="center" shrinkToFit="1"/>
    </xf>
    <xf numFmtId="179" fontId="11" fillId="0" borderId="42" xfId="2" applyNumberFormat="1" applyFont="1" applyFill="1" applyBorder="1" applyAlignment="1">
      <alignment horizontal="center" vertical="center" shrinkToFit="1"/>
    </xf>
    <xf numFmtId="180" fontId="11" fillId="5" borderId="43" xfId="2" applyNumberFormat="1" applyFont="1" applyFill="1" applyBorder="1" applyAlignment="1">
      <alignment horizontal="center" vertical="center" wrapText="1" shrinkToFit="1"/>
    </xf>
    <xf numFmtId="181" fontId="11" fillId="0" borderId="44" xfId="2" applyNumberFormat="1" applyFont="1" applyFill="1" applyBorder="1" applyAlignment="1">
      <alignment horizontal="center" vertical="center" wrapText="1" shrinkToFit="1"/>
    </xf>
    <xf numFmtId="179" fontId="11" fillId="0" borderId="45" xfId="2" applyNumberFormat="1" applyFont="1" applyFill="1" applyBorder="1" applyAlignment="1">
      <alignment horizontal="center" vertical="center" wrapText="1"/>
    </xf>
    <xf numFmtId="179" fontId="11" fillId="0" borderId="46" xfId="2" applyNumberFormat="1" applyFont="1" applyFill="1" applyBorder="1" applyAlignment="1">
      <alignment horizontal="center" vertical="center" wrapText="1"/>
    </xf>
    <xf numFmtId="181" fontId="10" fillId="0" borderId="45" xfId="2" applyNumberFormat="1" applyFont="1" applyFill="1" applyBorder="1" applyAlignment="1">
      <alignment horizontal="center" vertical="center" wrapText="1"/>
    </xf>
    <xf numFmtId="181" fontId="11" fillId="0" borderId="47" xfId="2" applyNumberFormat="1" applyFont="1" applyFill="1" applyBorder="1" applyAlignment="1">
      <alignment horizontal="center" vertical="center" wrapText="1"/>
    </xf>
    <xf numFmtId="179" fontId="11" fillId="0" borderId="48" xfId="2" applyNumberFormat="1" applyFont="1" applyFill="1" applyBorder="1" applyAlignment="1">
      <alignment horizontal="center" vertical="center" wrapText="1"/>
    </xf>
    <xf numFmtId="41" fontId="14" fillId="0" borderId="49" xfId="2" quotePrefix="1" applyFont="1" applyFill="1" applyBorder="1" applyAlignment="1">
      <alignment horizontal="center" vertical="center" wrapText="1"/>
    </xf>
    <xf numFmtId="41" fontId="10" fillId="4" borderId="50" xfId="2" quotePrefix="1" applyFont="1" applyFill="1" applyBorder="1" applyAlignment="1">
      <alignment horizontal="center" vertical="center"/>
    </xf>
    <xf numFmtId="178" fontId="11" fillId="0" borderId="51" xfId="2" quotePrefix="1" applyNumberFormat="1" applyFont="1" applyFill="1" applyBorder="1" applyAlignment="1">
      <alignment horizontal="center" vertical="center"/>
    </xf>
    <xf numFmtId="179" fontId="11" fillId="0" borderId="52" xfId="2" quotePrefix="1" applyNumberFormat="1" applyFont="1" applyFill="1" applyBorder="1" applyAlignment="1">
      <alignment horizontal="center" vertical="center"/>
    </xf>
    <xf numFmtId="179" fontId="11" fillId="0" borderId="53" xfId="2" applyNumberFormat="1" applyFont="1" applyFill="1" applyBorder="1" applyAlignment="1">
      <alignment horizontal="center" vertical="center" shrinkToFit="1"/>
    </xf>
    <xf numFmtId="179" fontId="11" fillId="0" borderId="54" xfId="2" applyNumberFormat="1" applyFont="1" applyFill="1" applyBorder="1" applyAlignment="1">
      <alignment horizontal="center" vertical="center" shrinkToFit="1"/>
    </xf>
    <xf numFmtId="179" fontId="11" fillId="0" borderId="55" xfId="2" applyNumberFormat="1" applyFont="1" applyFill="1" applyBorder="1" applyAlignment="1">
      <alignment horizontal="center" vertical="center" shrinkToFit="1"/>
    </xf>
    <xf numFmtId="180" fontId="11" fillId="5" borderId="56" xfId="2" applyNumberFormat="1" applyFont="1" applyFill="1" applyBorder="1" applyAlignment="1">
      <alignment horizontal="center" vertical="center" wrapText="1" shrinkToFit="1"/>
    </xf>
    <xf numFmtId="181" fontId="11" fillId="0" borderId="55" xfId="2" applyNumberFormat="1" applyFont="1" applyFill="1" applyBorder="1" applyAlignment="1">
      <alignment horizontal="center" vertical="center" wrapText="1" shrinkToFit="1"/>
    </xf>
    <xf numFmtId="179" fontId="11" fillId="0" borderId="57" xfId="2" applyNumberFormat="1" applyFont="1" applyFill="1" applyBorder="1" applyAlignment="1">
      <alignment horizontal="center" vertical="center" wrapText="1"/>
    </xf>
    <xf numFmtId="181" fontId="10" fillId="0" borderId="57" xfId="2" applyNumberFormat="1" applyFont="1" applyFill="1" applyBorder="1" applyAlignment="1">
      <alignment horizontal="center" vertical="center" wrapText="1"/>
    </xf>
    <xf numFmtId="181" fontId="11" fillId="0" borderId="58" xfId="2" applyNumberFormat="1" applyFont="1" applyFill="1" applyBorder="1" applyAlignment="1">
      <alignment horizontal="center" vertical="center" wrapText="1"/>
    </xf>
    <xf numFmtId="179" fontId="11" fillId="0" borderId="59" xfId="2" applyNumberFormat="1" applyFont="1" applyFill="1" applyBorder="1" applyAlignment="1">
      <alignment horizontal="center" vertical="center" wrapText="1"/>
    </xf>
    <xf numFmtId="41" fontId="14" fillId="0" borderId="60" xfId="2" quotePrefix="1" applyFont="1" applyFill="1" applyBorder="1" applyAlignment="1">
      <alignment horizontal="center" vertical="center" wrapText="1"/>
    </xf>
    <xf numFmtId="41" fontId="14" fillId="0" borderId="0" xfId="2" applyFont="1" applyFill="1" applyBorder="1" applyAlignment="1">
      <alignment vertical="center"/>
    </xf>
    <xf numFmtId="178" fontId="11" fillId="0" borderId="61" xfId="2" quotePrefix="1" applyNumberFormat="1" applyFont="1" applyFill="1" applyBorder="1" applyAlignment="1">
      <alignment horizontal="center" vertical="center"/>
    </xf>
    <xf numFmtId="179" fontId="11" fillId="0" borderId="62" xfId="2" quotePrefix="1" applyNumberFormat="1" applyFont="1" applyFill="1" applyBorder="1" applyAlignment="1">
      <alignment horizontal="center" vertical="center"/>
    </xf>
    <xf numFmtId="179" fontId="11" fillId="0" borderId="63" xfId="2" applyNumberFormat="1" applyFont="1" applyFill="1" applyBorder="1" applyAlignment="1">
      <alignment horizontal="center" vertical="center" shrinkToFit="1"/>
    </xf>
    <xf numFmtId="179" fontId="11" fillId="0" borderId="64" xfId="2" applyNumberFormat="1" applyFont="1" applyFill="1" applyBorder="1" applyAlignment="1">
      <alignment horizontal="center" vertical="center" shrinkToFit="1"/>
    </xf>
    <xf numFmtId="179" fontId="11" fillId="0" borderId="65" xfId="2" applyNumberFormat="1" applyFont="1" applyFill="1" applyBorder="1" applyAlignment="1">
      <alignment horizontal="center" vertical="center" shrinkToFit="1"/>
    </xf>
    <xf numFmtId="180" fontId="11" fillId="5" borderId="63" xfId="2" applyNumberFormat="1" applyFont="1" applyFill="1" applyBorder="1" applyAlignment="1">
      <alignment horizontal="center" vertical="center" wrapText="1" shrinkToFit="1"/>
    </xf>
    <xf numFmtId="181" fontId="11" fillId="0" borderId="66" xfId="2" applyNumberFormat="1" applyFont="1" applyFill="1" applyBorder="1" applyAlignment="1">
      <alignment horizontal="center" vertical="center" wrapText="1" shrinkToFit="1"/>
    </xf>
    <xf numFmtId="181" fontId="11" fillId="0" borderId="67" xfId="2" applyNumberFormat="1" applyFont="1" applyFill="1" applyBorder="1" applyAlignment="1">
      <alignment horizontal="center" vertical="center" wrapText="1" shrinkToFit="1"/>
    </xf>
    <xf numFmtId="179" fontId="11" fillId="0" borderId="68" xfId="2" quotePrefix="1" applyNumberFormat="1" applyFont="1" applyFill="1" applyBorder="1" applyAlignment="1">
      <alignment horizontal="center" vertical="center"/>
    </xf>
    <xf numFmtId="179" fontId="11" fillId="0" borderId="69" xfId="2" applyNumberFormat="1" applyFont="1" applyFill="1" applyBorder="1" applyAlignment="1">
      <alignment horizontal="center" vertical="center" shrinkToFit="1"/>
    </xf>
    <xf numFmtId="179" fontId="11" fillId="0" borderId="70" xfId="2" applyNumberFormat="1" applyFont="1" applyFill="1" applyBorder="1" applyAlignment="1">
      <alignment horizontal="center" vertical="center" shrinkToFit="1"/>
    </xf>
    <xf numFmtId="179" fontId="11" fillId="0" borderId="44" xfId="2" applyNumberFormat="1" applyFont="1" applyFill="1" applyBorder="1" applyAlignment="1">
      <alignment horizontal="center" vertical="center" shrinkToFit="1"/>
    </xf>
    <xf numFmtId="181" fontId="11" fillId="0" borderId="71" xfId="2" applyNumberFormat="1" applyFont="1" applyFill="1" applyBorder="1" applyAlignment="1">
      <alignment horizontal="center" vertical="center" wrapText="1" shrinkToFit="1"/>
    </xf>
    <xf numFmtId="41" fontId="10" fillId="4" borderId="50" xfId="2" quotePrefix="1" applyFont="1" applyFill="1" applyBorder="1" applyAlignment="1">
      <alignment horizontal="center" vertical="center"/>
    </xf>
    <xf numFmtId="178" fontId="11" fillId="0" borderId="72" xfId="2" quotePrefix="1" applyNumberFormat="1" applyFont="1" applyFill="1" applyBorder="1" applyAlignment="1">
      <alignment horizontal="center" vertical="center"/>
    </xf>
    <xf numFmtId="179" fontId="11" fillId="0" borderId="73" xfId="2" quotePrefix="1" applyNumberFormat="1" applyFont="1" applyFill="1" applyBorder="1" applyAlignment="1">
      <alignment horizontal="center" vertical="center"/>
    </xf>
    <xf numFmtId="179" fontId="11" fillId="0" borderId="74" xfId="2" applyNumberFormat="1" applyFont="1" applyFill="1" applyBorder="1" applyAlignment="1">
      <alignment horizontal="center" vertical="center" shrinkToFit="1"/>
    </xf>
    <xf numFmtId="179" fontId="11" fillId="0" borderId="75" xfId="2" applyNumberFormat="1" applyFont="1" applyFill="1" applyBorder="1" applyAlignment="1">
      <alignment horizontal="center" vertical="center" shrinkToFit="1"/>
    </xf>
    <xf numFmtId="179" fontId="11" fillId="0" borderId="76" xfId="2" applyNumberFormat="1" applyFont="1" applyFill="1" applyBorder="1" applyAlignment="1">
      <alignment horizontal="center" vertical="center" wrapText="1" shrinkToFit="1"/>
    </xf>
    <xf numFmtId="179" fontId="11" fillId="0" borderId="76" xfId="2" applyNumberFormat="1" applyFont="1" applyFill="1" applyBorder="1" applyAlignment="1">
      <alignment horizontal="center" vertical="center" wrapText="1"/>
    </xf>
    <xf numFmtId="181" fontId="10" fillId="0" borderId="76" xfId="2" applyNumberFormat="1" applyFont="1" applyFill="1" applyBorder="1" applyAlignment="1">
      <alignment horizontal="center" vertical="center" wrapText="1"/>
    </xf>
    <xf numFmtId="181" fontId="11" fillId="0" borderId="77" xfId="2" applyNumberFormat="1" applyFont="1" applyFill="1" applyBorder="1" applyAlignment="1">
      <alignment horizontal="center" vertical="center" wrapText="1" shrinkToFit="1"/>
    </xf>
    <xf numFmtId="179" fontId="11" fillId="0" borderId="78" xfId="2" applyNumberFormat="1" applyFont="1" applyFill="1" applyBorder="1" applyAlignment="1">
      <alignment horizontal="center" vertical="center" wrapText="1"/>
    </xf>
    <xf numFmtId="41" fontId="14" fillId="0" borderId="79" xfId="2" quotePrefix="1" applyFont="1" applyFill="1" applyBorder="1" applyAlignment="1">
      <alignment horizontal="center" vertical="center" wrapText="1"/>
    </xf>
    <xf numFmtId="41" fontId="14" fillId="6" borderId="0" xfId="2" applyFont="1" applyFill="1" applyBorder="1" applyAlignment="1">
      <alignment vertical="center"/>
    </xf>
    <xf numFmtId="178" fontId="11" fillId="0" borderId="80" xfId="2" quotePrefix="1" applyNumberFormat="1" applyFont="1" applyFill="1" applyBorder="1" applyAlignment="1">
      <alignment horizontal="center" vertical="center"/>
    </xf>
    <xf numFmtId="179" fontId="11" fillId="0" borderId="81" xfId="2" quotePrefix="1" applyNumberFormat="1" applyFont="1" applyFill="1" applyBorder="1" applyAlignment="1">
      <alignment horizontal="center" vertical="center"/>
    </xf>
    <xf numFmtId="179" fontId="11" fillId="0" borderId="82" xfId="2" applyNumberFormat="1" applyFont="1" applyFill="1" applyBorder="1" applyAlignment="1">
      <alignment horizontal="center" vertical="center" shrinkToFit="1"/>
    </xf>
    <xf numFmtId="179" fontId="11" fillId="0" borderId="83" xfId="2" applyNumberFormat="1" applyFont="1" applyFill="1" applyBorder="1" applyAlignment="1">
      <alignment horizontal="center" vertical="center" shrinkToFit="1"/>
    </xf>
    <xf numFmtId="181" fontId="11" fillId="0" borderId="84" xfId="2" applyNumberFormat="1" applyFont="1" applyFill="1" applyBorder="1" applyAlignment="1">
      <alignment horizontal="center" vertical="center" wrapText="1" shrinkToFit="1"/>
    </xf>
    <xf numFmtId="179" fontId="11" fillId="0" borderId="32" xfId="2" applyNumberFormat="1" applyFont="1" applyFill="1" applyBorder="1" applyAlignment="1">
      <alignment horizontal="center" vertical="center" wrapText="1" shrinkToFit="1"/>
    </xf>
    <xf numFmtId="179" fontId="11" fillId="0" borderId="33" xfId="2" applyNumberFormat="1" applyFont="1" applyFill="1" applyBorder="1" applyAlignment="1">
      <alignment horizontal="center" vertical="center" wrapText="1"/>
    </xf>
    <xf numFmtId="181" fontId="10" fillId="0" borderId="32" xfId="2" applyNumberFormat="1" applyFont="1" applyFill="1" applyBorder="1" applyAlignment="1">
      <alignment horizontal="center" vertical="center" wrapText="1"/>
    </xf>
    <xf numFmtId="181" fontId="11" fillId="0" borderId="56" xfId="2" applyNumberFormat="1" applyFont="1" applyFill="1" applyBorder="1" applyAlignment="1">
      <alignment horizontal="center" vertical="center" wrapText="1" shrinkToFit="1"/>
    </xf>
    <xf numFmtId="179" fontId="11" fillId="0" borderId="35" xfId="2" applyNumberFormat="1" applyFont="1" applyFill="1" applyBorder="1" applyAlignment="1">
      <alignment horizontal="center" vertical="center" wrapText="1"/>
    </xf>
    <xf numFmtId="178" fontId="11" fillId="0" borderId="85" xfId="2" quotePrefix="1" applyNumberFormat="1" applyFont="1" applyFill="1" applyBorder="1" applyAlignment="1">
      <alignment horizontal="center" vertical="center"/>
    </xf>
    <xf numFmtId="179" fontId="11" fillId="0" borderId="86" xfId="2" quotePrefix="1" applyNumberFormat="1" applyFont="1" applyFill="1" applyBorder="1" applyAlignment="1">
      <alignment horizontal="center" vertical="center"/>
    </xf>
    <xf numFmtId="179" fontId="11" fillId="0" borderId="87" xfId="2" applyNumberFormat="1" applyFont="1" applyFill="1" applyBorder="1" applyAlignment="1">
      <alignment horizontal="center" vertical="center" shrinkToFit="1"/>
    </xf>
    <xf numFmtId="179" fontId="11" fillId="0" borderId="88" xfId="2" applyNumberFormat="1" applyFont="1" applyFill="1" applyBorder="1" applyAlignment="1">
      <alignment horizontal="center" vertical="center" shrinkToFit="1"/>
    </xf>
    <xf numFmtId="180" fontId="11" fillId="5" borderId="89" xfId="2" applyNumberFormat="1" applyFont="1" applyFill="1" applyBorder="1" applyAlignment="1">
      <alignment horizontal="center" vertical="center" wrapText="1" shrinkToFit="1"/>
    </xf>
    <xf numFmtId="181" fontId="11" fillId="0" borderId="90" xfId="2" applyNumberFormat="1" applyFont="1" applyFill="1" applyBorder="1" applyAlignment="1">
      <alignment horizontal="center" vertical="center" wrapText="1" shrinkToFit="1"/>
    </xf>
    <xf numFmtId="41" fontId="10" fillId="4" borderId="72" xfId="2" quotePrefix="1" applyFont="1" applyFill="1" applyBorder="1" applyAlignment="1">
      <alignment horizontal="center" vertical="center"/>
    </xf>
    <xf numFmtId="178" fontId="11" fillId="0" borderId="91" xfId="2" quotePrefix="1" applyNumberFormat="1" applyFont="1" applyFill="1" applyBorder="1" applyAlignment="1">
      <alignment horizontal="center" vertical="center"/>
    </xf>
    <xf numFmtId="180" fontId="11" fillId="5" borderId="92" xfId="2" applyNumberFormat="1" applyFont="1" applyFill="1" applyBorder="1" applyAlignment="1">
      <alignment horizontal="center" vertical="center" wrapText="1" shrinkToFit="1"/>
    </xf>
    <xf numFmtId="181" fontId="11" fillId="0" borderId="93" xfId="2" applyNumberFormat="1" applyFont="1" applyFill="1" applyBorder="1" applyAlignment="1">
      <alignment horizontal="center" vertical="center" wrapText="1" shrinkToFit="1"/>
    </xf>
    <xf numFmtId="179" fontId="11" fillId="0" borderId="94" xfId="2" applyNumberFormat="1" applyFont="1" applyFill="1" applyBorder="1" applyAlignment="1">
      <alignment horizontal="center" vertical="center" wrapText="1"/>
    </xf>
    <xf numFmtId="181" fontId="10" fillId="0" borderId="95" xfId="2" applyNumberFormat="1" applyFont="1" applyFill="1" applyBorder="1" applyAlignment="1">
      <alignment horizontal="center" vertical="center" wrapText="1"/>
    </xf>
    <xf numFmtId="181" fontId="11" fillId="0" borderId="96" xfId="2" applyNumberFormat="1" applyFont="1" applyFill="1" applyBorder="1" applyAlignment="1">
      <alignment horizontal="center" vertical="center" wrapText="1" shrinkToFit="1"/>
    </xf>
    <xf numFmtId="179" fontId="11" fillId="0" borderId="97" xfId="2" applyNumberFormat="1" applyFont="1" applyFill="1" applyBorder="1" applyAlignment="1">
      <alignment horizontal="center" vertical="center" wrapText="1"/>
    </xf>
    <xf numFmtId="41" fontId="10" fillId="4" borderId="98" xfId="2" quotePrefix="1" applyFont="1" applyFill="1" applyBorder="1" applyAlignment="1">
      <alignment horizontal="center" vertical="center"/>
    </xf>
    <xf numFmtId="178" fontId="11" fillId="0" borderId="99" xfId="2" quotePrefix="1" applyNumberFormat="1" applyFont="1" applyFill="1" applyBorder="1" applyAlignment="1">
      <alignment horizontal="center" vertical="center"/>
    </xf>
    <xf numFmtId="179" fontId="11" fillId="0" borderId="100" xfId="2" quotePrefix="1" applyNumberFormat="1" applyFont="1" applyFill="1" applyBorder="1" applyAlignment="1">
      <alignment horizontal="center" vertical="center"/>
    </xf>
    <xf numFmtId="179" fontId="11" fillId="0" borderId="101" xfId="2" applyNumberFormat="1" applyFont="1" applyFill="1" applyBorder="1" applyAlignment="1">
      <alignment horizontal="center" vertical="center" shrinkToFit="1"/>
    </xf>
    <xf numFmtId="179" fontId="11" fillId="0" borderId="102" xfId="2" applyNumberFormat="1" applyFont="1" applyFill="1" applyBorder="1" applyAlignment="1">
      <alignment horizontal="center" vertical="center" shrinkToFit="1"/>
    </xf>
    <xf numFmtId="180" fontId="11" fillId="5" borderId="103" xfId="2" applyNumberFormat="1" applyFont="1" applyFill="1" applyBorder="1" applyAlignment="1">
      <alignment horizontal="center" vertical="center" wrapText="1" shrinkToFit="1"/>
    </xf>
    <xf numFmtId="181" fontId="11" fillId="0" borderId="48" xfId="2" applyNumberFormat="1" applyFont="1" applyFill="1" applyBorder="1" applyAlignment="1">
      <alignment horizontal="center" vertical="center" wrapText="1" shrinkToFit="1"/>
    </xf>
    <xf numFmtId="179" fontId="11" fillId="0" borderId="45" xfId="2" applyNumberFormat="1" applyFont="1" applyFill="1" applyBorder="1" applyAlignment="1">
      <alignment horizontal="center" vertical="center" wrapText="1" shrinkToFit="1"/>
    </xf>
    <xf numFmtId="179" fontId="11" fillId="0" borderId="104" xfId="2" applyNumberFormat="1" applyFont="1" applyFill="1" applyBorder="1" applyAlignment="1">
      <alignment horizontal="center" vertical="center" wrapText="1"/>
    </xf>
    <xf numFmtId="181" fontId="10" fillId="0" borderId="104" xfId="2" applyNumberFormat="1" applyFont="1" applyFill="1" applyBorder="1" applyAlignment="1">
      <alignment horizontal="center" vertical="center" wrapText="1"/>
    </xf>
    <xf numFmtId="181" fontId="11" fillId="0" borderId="105" xfId="2" applyNumberFormat="1" applyFont="1" applyFill="1" applyBorder="1" applyAlignment="1">
      <alignment horizontal="center" vertical="center" wrapText="1" shrinkToFit="1"/>
    </xf>
    <xf numFmtId="179" fontId="11" fillId="0" borderId="106" xfId="2" applyNumberFormat="1" applyFont="1" applyFill="1" applyBorder="1" applyAlignment="1">
      <alignment horizontal="center" vertical="center" wrapText="1"/>
    </xf>
    <xf numFmtId="178" fontId="11" fillId="0" borderId="107" xfId="2" quotePrefix="1" applyNumberFormat="1" applyFont="1" applyFill="1" applyBorder="1" applyAlignment="1">
      <alignment horizontal="center" vertical="center"/>
    </xf>
    <xf numFmtId="178" fontId="11" fillId="0" borderId="98" xfId="2" quotePrefix="1" applyNumberFormat="1" applyFont="1" applyFill="1" applyBorder="1" applyAlignment="1">
      <alignment horizontal="center" vertical="center"/>
    </xf>
    <xf numFmtId="179" fontId="11" fillId="0" borderId="46" xfId="2" applyNumberFormat="1" applyFont="1" applyFill="1" applyBorder="1" applyAlignment="1">
      <alignment horizontal="center" vertical="center" wrapText="1"/>
    </xf>
    <xf numFmtId="181" fontId="10" fillId="0" borderId="45" xfId="2" applyNumberFormat="1" applyFont="1" applyFill="1" applyBorder="1" applyAlignment="1">
      <alignment horizontal="center" vertical="center" wrapText="1"/>
    </xf>
    <xf numFmtId="181" fontId="11" fillId="0" borderId="40" xfId="2" applyNumberFormat="1" applyFont="1" applyFill="1" applyBorder="1" applyAlignment="1">
      <alignment horizontal="center" vertical="center" wrapText="1" shrinkToFit="1"/>
    </xf>
    <xf numFmtId="179" fontId="11" fillId="0" borderId="48" xfId="2" applyNumberFormat="1" applyFont="1" applyFill="1" applyBorder="1" applyAlignment="1">
      <alignment horizontal="center" vertical="center" wrapText="1"/>
    </xf>
    <xf numFmtId="41" fontId="10" fillId="4" borderId="108" xfId="2" quotePrefix="1" applyFont="1" applyFill="1" applyBorder="1" applyAlignment="1">
      <alignment horizontal="center" vertical="center"/>
    </xf>
    <xf numFmtId="41" fontId="10" fillId="4" borderId="109" xfId="2" quotePrefix="1" applyFont="1" applyFill="1" applyBorder="1" applyAlignment="1">
      <alignment horizontal="center" vertical="center"/>
    </xf>
    <xf numFmtId="41" fontId="10" fillId="4" borderId="110" xfId="2" quotePrefix="1" applyFont="1" applyFill="1" applyBorder="1" applyAlignment="1">
      <alignment horizontal="center" vertical="center"/>
    </xf>
    <xf numFmtId="179" fontId="10" fillId="4" borderId="110" xfId="2" quotePrefix="1" applyNumberFormat="1" applyFont="1" applyFill="1" applyBorder="1" applyAlignment="1">
      <alignment horizontal="center" vertical="center"/>
    </xf>
    <xf numFmtId="179" fontId="10" fillId="4" borderId="111" xfId="2" quotePrefix="1" applyNumberFormat="1" applyFont="1" applyFill="1" applyBorder="1" applyAlignment="1">
      <alignment horizontal="center" vertical="center"/>
    </xf>
    <xf numFmtId="180" fontId="11" fillId="4" borderId="112" xfId="2" applyNumberFormat="1" applyFont="1" applyFill="1" applyBorder="1" applyAlignment="1">
      <alignment horizontal="center" vertical="center" wrapText="1" shrinkToFit="1"/>
    </xf>
    <xf numFmtId="181" fontId="11" fillId="4" borderId="113" xfId="2" applyNumberFormat="1" applyFont="1" applyFill="1" applyBorder="1" applyAlignment="1">
      <alignment horizontal="center" vertical="center" wrapText="1" shrinkToFit="1"/>
    </xf>
    <xf numFmtId="179" fontId="11" fillId="4" borderId="114" xfId="2" applyNumberFormat="1" applyFont="1" applyFill="1" applyBorder="1" applyAlignment="1">
      <alignment horizontal="center" vertical="center" wrapText="1"/>
    </xf>
    <xf numFmtId="179" fontId="11" fillId="4" borderId="115" xfId="2" applyNumberFormat="1" applyFont="1" applyFill="1" applyBorder="1" applyAlignment="1">
      <alignment horizontal="center" vertical="center" wrapText="1"/>
    </xf>
    <xf numFmtId="181" fontId="10" fillId="4" borderId="114" xfId="2" applyNumberFormat="1" applyFont="1" applyFill="1" applyBorder="1" applyAlignment="1">
      <alignment horizontal="center" vertical="center" wrapText="1"/>
    </xf>
    <xf numFmtId="179" fontId="11" fillId="4" borderId="116" xfId="2" applyNumberFormat="1" applyFont="1" applyFill="1" applyBorder="1" applyAlignment="1">
      <alignment horizontal="center" vertical="center" wrapText="1"/>
    </xf>
    <xf numFmtId="179" fontId="11" fillId="4" borderId="117" xfId="2" applyNumberFormat="1" applyFont="1" applyFill="1" applyBorder="1" applyAlignment="1">
      <alignment horizontal="center" vertical="center" wrapText="1"/>
    </xf>
    <xf numFmtId="41" fontId="14" fillId="6" borderId="118" xfId="2" applyFont="1" applyFill="1" applyBorder="1" applyAlignment="1">
      <alignment vertical="center"/>
    </xf>
    <xf numFmtId="0" fontId="5" fillId="0" borderId="0" xfId="3" applyFont="1" applyAlignment="1">
      <alignment vertical="center"/>
    </xf>
    <xf numFmtId="179" fontId="5" fillId="0" borderId="0" xfId="3" applyNumberFormat="1" applyFont="1" applyAlignment="1">
      <alignment horizontal="center" vertical="center"/>
    </xf>
    <xf numFmtId="179" fontId="5" fillId="0" borderId="0" xfId="3" applyNumberFormat="1" applyFont="1" applyAlignment="1">
      <alignment horizontal="center" vertical="center" shrinkToFit="1"/>
    </xf>
    <xf numFmtId="179" fontId="5" fillId="0" borderId="0" xfId="3" applyNumberFormat="1" applyFont="1" applyAlignment="1">
      <alignment horizontal="center"/>
    </xf>
    <xf numFmtId="179" fontId="5" fillId="0" borderId="0" xfId="3" applyNumberFormat="1" applyFont="1" applyAlignment="1">
      <alignment horizontal="center" shrinkToFit="1"/>
    </xf>
    <xf numFmtId="41" fontId="15" fillId="0" borderId="0" xfId="2" applyFont="1" applyAlignment="1">
      <alignment vertical="center" shrinkToFit="1"/>
    </xf>
    <xf numFmtId="0" fontId="2" fillId="0" borderId="0" xfId="4" applyFont="1" applyAlignment="1">
      <alignment horizontal="center" vertical="center"/>
    </xf>
    <xf numFmtId="41" fontId="5" fillId="0" borderId="0" xfId="4" applyNumberFormat="1" applyFont="1">
      <alignment vertical="center"/>
    </xf>
    <xf numFmtId="0" fontId="5" fillId="0" borderId="0" xfId="4" quotePrefix="1" applyFont="1" applyAlignment="1">
      <alignment horizontal="center" vertical="top"/>
    </xf>
    <xf numFmtId="0" fontId="5" fillId="0" borderId="0" xfId="4" applyFont="1" applyAlignment="1">
      <alignment horizontal="center" vertical="top"/>
    </xf>
    <xf numFmtId="0" fontId="10" fillId="0" borderId="0" xfId="4" applyFont="1">
      <alignment vertical="center"/>
    </xf>
    <xf numFmtId="41" fontId="10" fillId="0" borderId="0" xfId="4" applyNumberFormat="1" applyFont="1">
      <alignment vertical="center"/>
    </xf>
    <xf numFmtId="13" fontId="11" fillId="0" borderId="0" xfId="4" quotePrefix="1" applyNumberFormat="1" applyFont="1" applyAlignment="1">
      <alignment horizontal="center" shrinkToFit="1"/>
    </xf>
    <xf numFmtId="41" fontId="10" fillId="0" borderId="0" xfId="4" applyNumberFormat="1" applyFont="1" applyAlignment="1">
      <alignment vertical="center" shrinkToFit="1"/>
    </xf>
    <xf numFmtId="41" fontId="11" fillId="0" borderId="0" xfId="4" applyNumberFormat="1" applyFont="1">
      <alignment vertical="center"/>
    </xf>
    <xf numFmtId="0" fontId="5" fillId="0" borderId="0" xfId="4" applyFont="1">
      <alignment vertical="center"/>
    </xf>
    <xf numFmtId="0" fontId="5" fillId="0" borderId="0" xfId="4" applyFont="1" applyAlignment="1">
      <alignment vertical="center" shrinkToFit="1"/>
    </xf>
    <xf numFmtId="0" fontId="5" fillId="0" borderId="0" xfId="4" applyFont="1" applyAlignment="1">
      <alignment shrinkToFit="1"/>
    </xf>
    <xf numFmtId="0" fontId="5" fillId="0" borderId="0" xfId="4" applyFont="1" applyAlignment="1"/>
    <xf numFmtId="0" fontId="11" fillId="0" borderId="0" xfId="4" applyFont="1">
      <alignment vertical="center"/>
    </xf>
    <xf numFmtId="0" fontId="11" fillId="0" borderId="0" xfId="4" applyFont="1" applyAlignment="1">
      <alignment horizontal="right" vertical="center"/>
    </xf>
    <xf numFmtId="176" fontId="11" fillId="0" borderId="0" xfId="4" applyNumberFormat="1" applyFont="1" applyAlignment="1">
      <alignment horizontal="left" vertical="center" shrinkToFit="1"/>
    </xf>
    <xf numFmtId="0" fontId="11" fillId="0" borderId="0" xfId="4" applyFont="1" applyAlignment="1">
      <alignment horizontal="right" vertical="center" shrinkToFit="1"/>
    </xf>
    <xf numFmtId="177" fontId="11" fillId="0" borderId="0" xfId="4" applyNumberFormat="1" applyFont="1" applyAlignment="1">
      <alignment horizontal="left" vertical="center" shrinkToFit="1"/>
    </xf>
    <xf numFmtId="0" fontId="11" fillId="0" borderId="0" xfId="4" applyFont="1" applyAlignment="1">
      <alignment vertical="center" shrinkToFit="1"/>
    </xf>
    <xf numFmtId="0" fontId="11" fillId="0" borderId="0" xfId="4" applyFont="1" applyAlignment="1">
      <alignment shrinkToFit="1"/>
    </xf>
    <xf numFmtId="0" fontId="17" fillId="0" borderId="0" xfId="4" applyFont="1">
      <alignment vertical="center"/>
    </xf>
    <xf numFmtId="0" fontId="18" fillId="0" borderId="0" xfId="4" applyFont="1" applyAlignment="1">
      <alignment horizontal="right" vertical="center"/>
    </xf>
    <xf numFmtId="0" fontId="12" fillId="0" borderId="0" xfId="4" applyFont="1" applyAlignment="1">
      <alignment horizontal="right" vertical="center"/>
    </xf>
    <xf numFmtId="3" fontId="11" fillId="7" borderId="0" xfId="4" applyNumberFormat="1" applyFont="1" applyFill="1" applyAlignment="1">
      <alignment horizontal="left" vertical="center" shrinkToFit="1"/>
    </xf>
    <xf numFmtId="3" fontId="11" fillId="7" borderId="0" xfId="4" applyNumberFormat="1" applyFont="1" applyFill="1" applyAlignment="1">
      <alignment horizontal="left" vertical="center"/>
    </xf>
    <xf numFmtId="176" fontId="11" fillId="0" borderId="0" xfId="4" applyNumberFormat="1" applyFont="1" applyAlignment="1">
      <alignment horizontal="right" vertical="center" shrinkToFit="1"/>
    </xf>
    <xf numFmtId="183" fontId="5" fillId="7" borderId="0" xfId="4" applyNumberFormat="1" applyFont="1" applyFill="1" applyAlignment="1">
      <alignment horizontal="left" vertical="center"/>
    </xf>
    <xf numFmtId="0" fontId="19" fillId="0" borderId="0" xfId="4" applyFont="1" applyAlignment="1"/>
    <xf numFmtId="0" fontId="10" fillId="8" borderId="119" xfId="4" applyFont="1" applyFill="1" applyBorder="1" applyAlignment="1">
      <alignment horizontal="center" vertical="center"/>
    </xf>
    <xf numFmtId="0" fontId="10" fillId="8" borderId="2" xfId="4" applyFont="1" applyFill="1" applyBorder="1" applyAlignment="1">
      <alignment horizontal="center" vertical="center"/>
    </xf>
    <xf numFmtId="0" fontId="10" fillId="8" borderId="4" xfId="4" applyFont="1" applyFill="1" applyBorder="1" applyAlignment="1">
      <alignment horizontal="center" vertical="center" shrinkToFit="1"/>
    </xf>
    <xf numFmtId="0" fontId="10" fillId="8" borderId="5" xfId="4" applyFont="1" applyFill="1" applyBorder="1" applyAlignment="1">
      <alignment horizontal="center" vertical="center" shrinkToFit="1"/>
    </xf>
    <xf numFmtId="0" fontId="10" fillId="8" borderId="2" xfId="4" applyFont="1" applyFill="1" applyBorder="1" applyAlignment="1">
      <alignment horizontal="center" vertical="center" shrinkToFit="1"/>
    </xf>
    <xf numFmtId="0" fontId="10" fillId="8" borderId="120" xfId="4" applyFont="1" applyFill="1" applyBorder="1" applyAlignment="1">
      <alignment horizontal="center" vertical="center" wrapText="1" shrinkToFit="1"/>
    </xf>
    <xf numFmtId="0" fontId="10" fillId="8" borderId="121" xfId="4" applyFont="1" applyFill="1" applyBorder="1" applyAlignment="1">
      <alignment horizontal="center" vertical="center" shrinkToFit="1"/>
    </xf>
    <xf numFmtId="0" fontId="10" fillId="8" borderId="122" xfId="4" applyFont="1" applyFill="1" applyBorder="1" applyAlignment="1">
      <alignment horizontal="center" vertical="center" shrinkToFit="1"/>
    </xf>
    <xf numFmtId="0" fontId="10" fillId="8" borderId="122" xfId="4" applyFont="1" applyFill="1" applyBorder="1" applyAlignment="1">
      <alignment horizontal="center" vertical="center" wrapText="1" shrinkToFit="1"/>
    </xf>
    <xf numFmtId="0" fontId="10" fillId="8" borderId="121" xfId="4" applyFont="1" applyFill="1" applyBorder="1" applyAlignment="1">
      <alignment horizontal="center" vertical="center" wrapText="1"/>
    </xf>
    <xf numFmtId="0" fontId="10" fillId="9" borderId="8" xfId="4" applyFont="1" applyFill="1" applyBorder="1" applyAlignment="1">
      <alignment horizontal="center" vertical="center"/>
    </xf>
    <xf numFmtId="0" fontId="10" fillId="9" borderId="6" xfId="4" applyFont="1" applyFill="1" applyBorder="1" applyAlignment="1">
      <alignment horizontal="center" vertical="center"/>
    </xf>
    <xf numFmtId="0" fontId="10" fillId="9" borderId="7" xfId="4" applyFont="1" applyFill="1" applyBorder="1" applyAlignment="1">
      <alignment horizontal="center" vertical="center"/>
    </xf>
    <xf numFmtId="0" fontId="10" fillId="8" borderId="6" xfId="4" applyFont="1" applyFill="1" applyBorder="1" applyAlignment="1">
      <alignment horizontal="center" vertical="center" wrapText="1"/>
    </xf>
    <xf numFmtId="0" fontId="10" fillId="8" borderId="7" xfId="4" applyFont="1" applyFill="1" applyBorder="1" applyAlignment="1">
      <alignment horizontal="center" vertical="center" wrapText="1"/>
    </xf>
    <xf numFmtId="41" fontId="5" fillId="0" borderId="0" xfId="4" applyNumberFormat="1" applyFont="1" applyAlignment="1">
      <alignment horizontal="center" vertical="center"/>
    </xf>
    <xf numFmtId="41" fontId="5" fillId="0" borderId="0" xfId="4" applyNumberFormat="1" applyFont="1" applyAlignment="1">
      <alignment horizontal="center" vertical="center" wrapText="1"/>
    </xf>
    <xf numFmtId="0" fontId="10" fillId="8" borderId="123" xfId="4" applyFont="1" applyFill="1" applyBorder="1" applyAlignment="1">
      <alignment horizontal="center" vertical="center"/>
    </xf>
    <xf numFmtId="0" fontId="10" fillId="8" borderId="124" xfId="4" applyFont="1" applyFill="1" applyBorder="1" applyAlignment="1">
      <alignment horizontal="center" vertical="center" wrapText="1"/>
    </xf>
    <xf numFmtId="0" fontId="10" fillId="8" borderId="125" xfId="4" applyFont="1" applyFill="1" applyBorder="1" applyAlignment="1">
      <alignment horizontal="center" vertical="center" wrapText="1" shrinkToFit="1"/>
    </xf>
    <xf numFmtId="0" fontId="10" fillId="8" borderId="126" xfId="4" applyFont="1" applyFill="1" applyBorder="1" applyAlignment="1">
      <alignment horizontal="center" vertical="center" wrapText="1" shrinkToFit="1"/>
    </xf>
    <xf numFmtId="0" fontId="10" fillId="8" borderId="127" xfId="4" applyFont="1" applyFill="1" applyBorder="1" applyAlignment="1">
      <alignment horizontal="center" vertical="center" wrapText="1" shrinkToFit="1"/>
    </xf>
    <xf numFmtId="0" fontId="10" fillId="8" borderId="128" xfId="4" applyFont="1" applyFill="1" applyBorder="1" applyAlignment="1">
      <alignment horizontal="center" vertical="center" shrinkToFit="1"/>
    </xf>
    <xf numFmtId="0" fontId="10" fillId="8" borderId="129" xfId="4" applyFont="1" applyFill="1" applyBorder="1" applyAlignment="1">
      <alignment horizontal="center" vertical="center" wrapText="1" shrinkToFit="1"/>
    </xf>
    <xf numFmtId="0" fontId="10" fillId="8" borderId="130" xfId="4" applyFont="1" applyFill="1" applyBorder="1" applyAlignment="1">
      <alignment horizontal="center" vertical="center" wrapText="1" shrinkToFit="1"/>
    </xf>
    <xf numFmtId="0" fontId="10" fillId="8" borderId="124" xfId="4" applyFont="1" applyFill="1" applyBorder="1" applyAlignment="1">
      <alignment horizontal="center" vertical="center" wrapText="1" shrinkToFit="1"/>
    </xf>
    <xf numFmtId="0" fontId="10" fillId="8" borderId="131" xfId="4" applyFont="1" applyFill="1" applyBorder="1" applyAlignment="1">
      <alignment horizontal="center" vertical="center" wrapText="1" shrinkToFit="1"/>
    </xf>
    <xf numFmtId="0" fontId="10" fillId="8" borderId="132" xfId="4" applyFont="1" applyFill="1" applyBorder="1" applyAlignment="1">
      <alignment horizontal="center" vertical="center" wrapText="1"/>
    </xf>
    <xf numFmtId="0" fontId="10" fillId="9" borderId="133" xfId="4" applyFont="1" applyFill="1" applyBorder="1" applyAlignment="1">
      <alignment horizontal="center" vertical="center"/>
    </xf>
    <xf numFmtId="0" fontId="10" fillId="9" borderId="134" xfId="4" applyFont="1" applyFill="1" applyBorder="1" applyAlignment="1">
      <alignment horizontal="center" vertical="center"/>
    </xf>
    <xf numFmtId="0" fontId="10" fillId="9" borderId="135" xfId="4" applyFont="1" applyFill="1" applyBorder="1" applyAlignment="1">
      <alignment horizontal="center" vertical="center"/>
    </xf>
    <xf numFmtId="0" fontId="10" fillId="8" borderId="136" xfId="4" applyFont="1" applyFill="1" applyBorder="1" applyAlignment="1">
      <alignment horizontal="center" vertical="center" wrapText="1"/>
    </xf>
    <xf numFmtId="0" fontId="10" fillId="8" borderId="137" xfId="4" applyFont="1" applyFill="1" applyBorder="1" applyAlignment="1">
      <alignment horizontal="center" vertical="center" wrapText="1"/>
    </xf>
    <xf numFmtId="41" fontId="10" fillId="4" borderId="123" xfId="4" quotePrefix="1" applyNumberFormat="1" applyFont="1" applyFill="1" applyBorder="1" applyAlignment="1">
      <alignment horizontal="center" vertical="center"/>
    </xf>
    <xf numFmtId="41" fontId="11" fillId="0" borderId="61" xfId="4" quotePrefix="1" applyNumberFormat="1" applyFont="1" applyBorder="1" applyAlignment="1">
      <alignment horizontal="center" vertical="center"/>
    </xf>
    <xf numFmtId="184" fontId="11" fillId="0" borderId="138" xfId="4" applyNumberFormat="1" applyFont="1" applyBorder="1" applyAlignment="1">
      <alignment horizontal="center" vertical="center" shrinkToFit="1"/>
    </xf>
    <xf numFmtId="184" fontId="11" fillId="6" borderId="64" xfId="4" applyNumberFormat="1" applyFont="1" applyFill="1" applyBorder="1" applyAlignment="1">
      <alignment horizontal="center" vertical="center" shrinkToFit="1"/>
    </xf>
    <xf numFmtId="184" fontId="11" fillId="0" borderId="64" xfId="4" applyNumberFormat="1" applyFont="1" applyBorder="1" applyAlignment="1">
      <alignment horizontal="center" vertical="center" shrinkToFit="1"/>
    </xf>
    <xf numFmtId="3" fontId="11" fillId="0" borderId="139" xfId="4" applyNumberFormat="1" applyFont="1" applyBorder="1" applyAlignment="1">
      <alignment horizontal="center" vertical="center" shrinkToFit="1"/>
    </xf>
    <xf numFmtId="180" fontId="11" fillId="0" borderId="61" xfId="4" applyNumberFormat="1" applyFont="1" applyBorder="1" applyAlignment="1">
      <alignment horizontal="center" vertical="center" wrapText="1" shrinkToFit="1"/>
    </xf>
    <xf numFmtId="181" fontId="11" fillId="0" borderId="140" xfId="4" applyNumberFormat="1" applyFont="1" applyBorder="1" applyAlignment="1">
      <alignment horizontal="center" vertical="center" wrapText="1" shrinkToFit="1"/>
    </xf>
    <xf numFmtId="181" fontId="11" fillId="0" borderId="61" xfId="4" applyNumberFormat="1" applyFont="1" applyBorder="1" applyAlignment="1">
      <alignment horizontal="center" vertical="center" wrapText="1" shrinkToFit="1"/>
    </xf>
    <xf numFmtId="3" fontId="20" fillId="0" borderId="63" xfId="4" applyNumberFormat="1" applyFont="1" applyBorder="1" applyAlignment="1">
      <alignment horizontal="center" vertical="center" wrapText="1" shrinkToFit="1"/>
    </xf>
    <xf numFmtId="179" fontId="11" fillId="0" borderId="140" xfId="4" applyNumberFormat="1" applyFont="1" applyBorder="1" applyAlignment="1">
      <alignment horizontal="center" vertical="center" wrapText="1"/>
    </xf>
    <xf numFmtId="179" fontId="11" fillId="0" borderId="141" xfId="4" applyNumberFormat="1" applyFont="1" applyBorder="1" applyAlignment="1">
      <alignment horizontal="center" vertical="center" wrapText="1"/>
    </xf>
    <xf numFmtId="181" fontId="11" fillId="0" borderId="142" xfId="4" applyNumberFormat="1" applyFont="1" applyBorder="1" applyAlignment="1">
      <alignment horizontal="center" vertical="center" wrapText="1"/>
    </xf>
    <xf numFmtId="181" fontId="11" fillId="0" borderId="143" xfId="4" applyNumberFormat="1" applyFont="1" applyBorder="1" applyAlignment="1">
      <alignment horizontal="center" vertical="center" wrapText="1"/>
    </xf>
    <xf numFmtId="179" fontId="5" fillId="0" borderId="144" xfId="4" applyNumberFormat="1" applyFont="1" applyBorder="1" applyAlignment="1">
      <alignment horizontal="center" vertical="center" wrapText="1"/>
    </xf>
    <xf numFmtId="179" fontId="5" fillId="0" borderId="145" xfId="4" applyNumberFormat="1" applyFont="1" applyBorder="1" applyAlignment="1">
      <alignment horizontal="center" vertical="center" wrapText="1"/>
    </xf>
    <xf numFmtId="41" fontId="14" fillId="0" borderId="0" xfId="4" applyNumberFormat="1" applyFont="1">
      <alignment vertical="center"/>
    </xf>
    <xf numFmtId="41" fontId="14" fillId="0" borderId="0" xfId="4" applyNumberFormat="1" applyFont="1" applyAlignment="1">
      <alignment horizontal="center" vertical="center"/>
    </xf>
    <xf numFmtId="41" fontId="10" fillId="4" borderId="146" xfId="4" quotePrefix="1" applyNumberFormat="1" applyFont="1" applyFill="1" applyBorder="1" applyAlignment="1">
      <alignment horizontal="center" vertical="center"/>
    </xf>
    <xf numFmtId="41" fontId="11" fillId="0" borderId="147" xfId="4" quotePrefix="1" applyNumberFormat="1" applyFont="1" applyBorder="1" applyAlignment="1">
      <alignment horizontal="center" vertical="center"/>
    </xf>
    <xf numFmtId="184" fontId="11" fillId="0" borderId="148" xfId="4" applyNumberFormat="1" applyFont="1" applyBorder="1" applyAlignment="1">
      <alignment horizontal="center" vertical="center" shrinkToFit="1"/>
    </xf>
    <xf numFmtId="184" fontId="11" fillId="6" borderId="149" xfId="4" applyNumberFormat="1" applyFont="1" applyFill="1" applyBorder="1" applyAlignment="1">
      <alignment horizontal="center" vertical="center" shrinkToFit="1"/>
    </xf>
    <xf numFmtId="184" fontId="11" fillId="0" borderId="149" xfId="4" applyNumberFormat="1" applyFont="1" applyBorder="1" applyAlignment="1">
      <alignment horizontal="center" vertical="center" shrinkToFit="1"/>
    </xf>
    <xf numFmtId="3" fontId="11" fillId="0" borderId="150" xfId="4" applyNumberFormat="1" applyFont="1" applyBorder="1" applyAlignment="1">
      <alignment horizontal="center" vertical="center" shrinkToFit="1"/>
    </xf>
    <xf numFmtId="180" fontId="11" fillId="0" borderId="147" xfId="4" applyNumberFormat="1" applyFont="1" applyBorder="1" applyAlignment="1">
      <alignment horizontal="center" vertical="center" wrapText="1" shrinkToFit="1"/>
    </xf>
    <xf numFmtId="181" fontId="11" fillId="0" borderId="151" xfId="4" applyNumberFormat="1" applyFont="1" applyBorder="1" applyAlignment="1">
      <alignment horizontal="center" vertical="center" wrapText="1" shrinkToFit="1"/>
    </xf>
    <xf numFmtId="181" fontId="11" fillId="0" borderId="147" xfId="4" applyNumberFormat="1" applyFont="1" applyBorder="1" applyAlignment="1">
      <alignment horizontal="center" vertical="center" wrapText="1" shrinkToFit="1"/>
    </xf>
    <xf numFmtId="3" fontId="20" fillId="0" borderId="152" xfId="4" applyNumberFormat="1" applyFont="1" applyBorder="1" applyAlignment="1">
      <alignment horizontal="center" vertical="center" wrapText="1" shrinkToFit="1"/>
    </xf>
    <xf numFmtId="179" fontId="11" fillId="0" borderId="151" xfId="4" applyNumberFormat="1" applyFont="1" applyBorder="1" applyAlignment="1">
      <alignment horizontal="center" vertical="center" wrapText="1"/>
    </xf>
    <xf numFmtId="179" fontId="11" fillId="0" borderId="153" xfId="4" applyNumberFormat="1" applyFont="1" applyBorder="1" applyAlignment="1">
      <alignment horizontal="center" vertical="center" wrapText="1"/>
    </xf>
    <xf numFmtId="181" fontId="11" fillId="0" borderId="154" xfId="4" applyNumberFormat="1" applyFont="1" applyBorder="1" applyAlignment="1">
      <alignment horizontal="center" vertical="center" wrapText="1"/>
    </xf>
    <xf numFmtId="181" fontId="11" fillId="0" borderId="155" xfId="4" applyNumberFormat="1" applyFont="1" applyBorder="1" applyAlignment="1">
      <alignment horizontal="center" vertical="center" wrapText="1"/>
    </xf>
    <xf numFmtId="179" fontId="5" fillId="0" borderId="156" xfId="4" applyNumberFormat="1" applyFont="1" applyBorder="1" applyAlignment="1">
      <alignment horizontal="center" vertical="center" wrapText="1"/>
    </xf>
    <xf numFmtId="179" fontId="5" fillId="0" borderId="157" xfId="4" applyNumberFormat="1" applyFont="1" applyBorder="1" applyAlignment="1">
      <alignment horizontal="center" vertical="center" wrapText="1"/>
    </xf>
    <xf numFmtId="41" fontId="10" fillId="4" borderId="158" xfId="4" quotePrefix="1" applyNumberFormat="1" applyFont="1" applyFill="1" applyBorder="1" applyAlignment="1">
      <alignment horizontal="center" vertical="center"/>
    </xf>
    <xf numFmtId="179" fontId="5" fillId="0" borderId="156" xfId="4" applyNumberFormat="1" applyFont="1" applyBorder="1" applyAlignment="1">
      <alignment horizontal="center" vertical="center" wrapText="1"/>
    </xf>
    <xf numFmtId="179" fontId="5" fillId="0" borderId="157" xfId="4" applyNumberFormat="1" applyFont="1" applyBorder="1" applyAlignment="1">
      <alignment horizontal="center" vertical="center" wrapText="1"/>
    </xf>
    <xf numFmtId="185" fontId="14" fillId="0" borderId="0" xfId="4" applyNumberFormat="1" applyFont="1">
      <alignment vertical="center"/>
    </xf>
    <xf numFmtId="41" fontId="10" fillId="10" borderId="37" xfId="4" quotePrefix="1" applyNumberFormat="1" applyFont="1" applyFill="1" applyBorder="1" applyAlignment="1">
      <alignment horizontal="center" vertical="center"/>
    </xf>
    <xf numFmtId="41" fontId="10" fillId="10" borderId="159" xfId="4" quotePrefix="1" applyNumberFormat="1" applyFont="1" applyFill="1" applyBorder="1" applyAlignment="1">
      <alignment horizontal="center" vertical="center"/>
    </xf>
    <xf numFmtId="184" fontId="10" fillId="5" borderId="160" xfId="4" applyNumberFormat="1" applyFont="1" applyFill="1" applyBorder="1" applyAlignment="1">
      <alignment horizontal="center" vertical="center" shrinkToFit="1"/>
    </xf>
    <xf numFmtId="184" fontId="10" fillId="5" borderId="161" xfId="4" applyNumberFormat="1" applyFont="1" applyFill="1" applyBorder="1" applyAlignment="1">
      <alignment horizontal="center" vertical="center" shrinkToFit="1"/>
    </xf>
    <xf numFmtId="184" fontId="10" fillId="5" borderId="162" xfId="4" applyNumberFormat="1" applyFont="1" applyFill="1" applyBorder="1" applyAlignment="1">
      <alignment horizontal="center" vertical="center" shrinkToFit="1"/>
    </xf>
    <xf numFmtId="180" fontId="10" fillId="5" borderId="61" xfId="4" applyNumberFormat="1" applyFont="1" applyFill="1" applyBorder="1" applyAlignment="1">
      <alignment horizontal="center" vertical="center" wrapText="1" shrinkToFit="1"/>
    </xf>
    <xf numFmtId="181" fontId="10" fillId="5" borderId="130" xfId="4" applyNumberFormat="1" applyFont="1" applyFill="1" applyBorder="1" applyAlignment="1">
      <alignment horizontal="center" vertical="center" wrapText="1" shrinkToFit="1"/>
    </xf>
    <xf numFmtId="179" fontId="10" fillId="5" borderId="61" xfId="4" applyNumberFormat="1" applyFont="1" applyFill="1" applyBorder="1" applyAlignment="1">
      <alignment horizontal="center" vertical="center" wrapText="1" shrinkToFit="1"/>
    </xf>
    <xf numFmtId="3" fontId="10" fillId="5" borderId="163" xfId="4" applyNumberFormat="1" applyFont="1" applyFill="1" applyBorder="1" applyAlignment="1">
      <alignment horizontal="center" vertical="center" shrinkToFit="1"/>
    </xf>
    <xf numFmtId="179" fontId="10" fillId="5" borderId="140" xfId="4" applyNumberFormat="1" applyFont="1" applyFill="1" applyBorder="1" applyAlignment="1">
      <alignment horizontal="center" vertical="center" wrapText="1"/>
    </xf>
    <xf numFmtId="179" fontId="10" fillId="5" borderId="164" xfId="4" applyNumberFormat="1" applyFont="1" applyFill="1" applyBorder="1" applyAlignment="1">
      <alignment horizontal="center" vertical="center" wrapText="1"/>
    </xf>
    <xf numFmtId="179" fontId="10" fillId="5" borderId="142" xfId="4" applyNumberFormat="1" applyFont="1" applyFill="1" applyBorder="1" applyAlignment="1">
      <alignment horizontal="center" vertical="center" wrapText="1"/>
    </xf>
    <xf numFmtId="179" fontId="10" fillId="5" borderId="143" xfId="4" applyNumberFormat="1" applyFont="1" applyFill="1" applyBorder="1" applyAlignment="1">
      <alignment horizontal="center" vertical="center" wrapText="1"/>
    </xf>
    <xf numFmtId="179" fontId="10" fillId="5" borderId="165" xfId="4" applyNumberFormat="1" applyFont="1" applyFill="1" applyBorder="1" applyAlignment="1">
      <alignment horizontal="center" vertical="center" wrapText="1"/>
    </xf>
    <xf numFmtId="179" fontId="10" fillId="5" borderId="166" xfId="4" applyNumberFormat="1" applyFont="1" applyFill="1" applyBorder="1" applyAlignment="1">
      <alignment horizontal="center" vertical="center" wrapText="1"/>
    </xf>
    <xf numFmtId="41" fontId="14" fillId="6" borderId="0" xfId="4" applyNumberFormat="1" applyFont="1" applyFill="1">
      <alignment vertical="center"/>
    </xf>
    <xf numFmtId="41" fontId="10" fillId="10" borderId="167" xfId="4" quotePrefix="1" applyNumberFormat="1" applyFont="1" applyFill="1" applyBorder="1" applyAlignment="1">
      <alignment horizontal="center" vertical="center"/>
    </xf>
    <xf numFmtId="41" fontId="10" fillId="10" borderId="168" xfId="4" quotePrefix="1" applyNumberFormat="1" applyFont="1" applyFill="1" applyBorder="1" applyAlignment="1">
      <alignment horizontal="center" vertical="center"/>
    </xf>
    <xf numFmtId="41" fontId="10" fillId="10" borderId="169" xfId="4" quotePrefix="1" applyNumberFormat="1" applyFont="1" applyFill="1" applyBorder="1" applyAlignment="1">
      <alignment horizontal="center" vertical="center"/>
    </xf>
    <xf numFmtId="41" fontId="10" fillId="10" borderId="110" xfId="4" quotePrefix="1" applyNumberFormat="1" applyFont="1" applyFill="1" applyBorder="1" applyAlignment="1">
      <alignment horizontal="center" vertical="center"/>
    </xf>
    <xf numFmtId="41" fontId="10" fillId="10" borderId="111" xfId="4" quotePrefix="1" applyNumberFormat="1" applyFont="1" applyFill="1" applyBorder="1" applyAlignment="1">
      <alignment horizontal="center" vertical="center"/>
    </xf>
    <xf numFmtId="180" fontId="10" fillId="10" borderId="170" xfId="4" applyNumberFormat="1" applyFont="1" applyFill="1" applyBorder="1" applyAlignment="1">
      <alignment horizontal="center" vertical="center" wrapText="1" shrinkToFit="1"/>
    </xf>
    <xf numFmtId="181" fontId="10" fillId="10" borderId="169" xfId="4" applyNumberFormat="1" applyFont="1" applyFill="1" applyBorder="1" applyAlignment="1">
      <alignment horizontal="center" vertical="center" wrapText="1" shrinkToFit="1"/>
    </xf>
    <xf numFmtId="179" fontId="10" fillId="10" borderId="170" xfId="4" applyNumberFormat="1" applyFont="1" applyFill="1" applyBorder="1" applyAlignment="1">
      <alignment horizontal="center" vertical="center" wrapText="1" shrinkToFit="1"/>
    </xf>
    <xf numFmtId="3" fontId="10" fillId="10" borderId="171" xfId="4" applyNumberFormat="1" applyFont="1" applyFill="1" applyBorder="1" applyAlignment="1">
      <alignment horizontal="center" vertical="center" shrinkToFit="1"/>
    </xf>
    <xf numFmtId="179" fontId="10" fillId="10" borderId="169" xfId="4" applyNumberFormat="1" applyFont="1" applyFill="1" applyBorder="1" applyAlignment="1">
      <alignment horizontal="center" vertical="center" wrapText="1"/>
    </xf>
    <xf numFmtId="179" fontId="10" fillId="10" borderId="172" xfId="4" applyNumberFormat="1" applyFont="1" applyFill="1" applyBorder="1" applyAlignment="1">
      <alignment horizontal="center" vertical="center" wrapText="1"/>
    </xf>
    <xf numFmtId="179" fontId="10" fillId="10" borderId="114" xfId="4" applyNumberFormat="1" applyFont="1" applyFill="1" applyBorder="1" applyAlignment="1">
      <alignment horizontal="center" vertical="center" wrapText="1"/>
    </xf>
    <xf numFmtId="179" fontId="10" fillId="10" borderId="173" xfId="4" applyNumberFormat="1" applyFont="1" applyFill="1" applyBorder="1" applyAlignment="1">
      <alignment horizontal="center" vertical="center" wrapText="1"/>
    </xf>
    <xf numFmtId="179" fontId="10" fillId="10" borderId="174" xfId="4" applyNumberFormat="1" applyFont="1" applyFill="1" applyBorder="1" applyAlignment="1">
      <alignment horizontal="center" vertical="center" wrapText="1"/>
    </xf>
    <xf numFmtId="179" fontId="10" fillId="10" borderId="175" xfId="4" applyNumberFormat="1" applyFont="1" applyFill="1" applyBorder="1" applyAlignment="1">
      <alignment horizontal="center" vertical="center" wrapText="1"/>
    </xf>
    <xf numFmtId="2" fontId="5" fillId="0" borderId="0" xfId="4" applyNumberFormat="1" applyFont="1" applyAlignment="1"/>
    <xf numFmtId="0" fontId="10" fillId="9" borderId="120" xfId="4" applyFont="1" applyFill="1" applyBorder="1" applyAlignment="1">
      <alignment horizontal="center" vertical="center" wrapText="1" shrinkToFit="1"/>
    </xf>
    <xf numFmtId="0" fontId="10" fillId="9" borderId="176" xfId="4" applyFont="1" applyFill="1" applyBorder="1" applyAlignment="1">
      <alignment horizontal="center" vertical="center"/>
    </xf>
    <xf numFmtId="0" fontId="10" fillId="9" borderId="177" xfId="4" applyFont="1" applyFill="1" applyBorder="1" applyAlignment="1">
      <alignment horizontal="center" vertical="center"/>
    </xf>
    <xf numFmtId="0" fontId="10" fillId="9" borderId="178" xfId="4" applyFont="1" applyFill="1" applyBorder="1" applyAlignment="1">
      <alignment horizontal="center" vertical="center"/>
    </xf>
    <xf numFmtId="0" fontId="10" fillId="9" borderId="179" xfId="4" applyFont="1" applyFill="1" applyBorder="1" applyAlignment="1">
      <alignment horizontal="center" vertical="center"/>
    </xf>
    <xf numFmtId="0" fontId="10" fillId="8" borderId="130" xfId="4" applyFont="1" applyFill="1" applyBorder="1" applyAlignment="1">
      <alignment horizontal="center" vertical="center" wrapText="1"/>
    </xf>
    <xf numFmtId="0" fontId="10" fillId="9" borderId="129" xfId="4" applyFont="1" applyFill="1" applyBorder="1" applyAlignment="1">
      <alignment horizontal="center" vertical="center" wrapText="1" shrinkToFit="1"/>
    </xf>
    <xf numFmtId="0" fontId="8" fillId="9" borderId="180" xfId="4" applyFont="1" applyFill="1" applyBorder="1" applyAlignment="1">
      <alignment horizontal="center" vertical="center" wrapText="1"/>
    </xf>
    <xf numFmtId="0" fontId="8" fillId="9" borderId="181" xfId="4" applyFont="1" applyFill="1" applyBorder="1" applyAlignment="1">
      <alignment horizontal="center" vertical="center" wrapText="1"/>
    </xf>
    <xf numFmtId="0" fontId="8" fillId="9" borderId="72" xfId="4" applyFont="1" applyFill="1" applyBorder="1" applyAlignment="1">
      <alignment horizontal="center" vertical="center" wrapText="1"/>
    </xf>
    <xf numFmtId="0" fontId="8" fillId="9" borderId="182" xfId="4" applyFont="1" applyFill="1" applyBorder="1" applyAlignment="1">
      <alignment horizontal="center" vertical="center" wrapText="1"/>
    </xf>
    <xf numFmtId="181" fontId="11" fillId="0" borderId="124" xfId="4" applyNumberFormat="1" applyFont="1" applyBorder="1" applyAlignment="1">
      <alignment horizontal="center" vertical="center" wrapText="1" shrinkToFit="1"/>
    </xf>
    <xf numFmtId="179" fontId="11" fillId="0" borderId="61" xfId="4" applyNumberFormat="1" applyFont="1" applyBorder="1" applyAlignment="1">
      <alignment horizontal="center" vertical="center" wrapText="1"/>
    </xf>
    <xf numFmtId="179" fontId="11" fillId="0" borderId="107" xfId="4" applyNumberFormat="1" applyFont="1" applyBorder="1" applyAlignment="1">
      <alignment horizontal="center" vertical="center" wrapText="1"/>
    </xf>
    <xf numFmtId="181" fontId="11" fillId="0" borderId="183" xfId="4" applyNumberFormat="1" applyFont="1" applyBorder="1" applyAlignment="1">
      <alignment horizontal="center" vertical="center" wrapText="1"/>
    </xf>
    <xf numFmtId="179" fontId="11" fillId="0" borderId="183" xfId="4" applyNumberFormat="1" applyFont="1" applyBorder="1" applyAlignment="1">
      <alignment horizontal="center" vertical="center" wrapText="1"/>
    </xf>
    <xf numFmtId="179" fontId="5" fillId="0" borderId="184" xfId="4" applyNumberFormat="1" applyFont="1" applyBorder="1" applyAlignment="1">
      <alignment horizontal="center" vertical="center" wrapText="1"/>
    </xf>
    <xf numFmtId="179" fontId="5" fillId="0" borderId="145" xfId="4" applyNumberFormat="1" applyFont="1" applyBorder="1" applyAlignment="1">
      <alignment horizontal="center" vertical="center" wrapText="1"/>
    </xf>
    <xf numFmtId="181" fontId="11" fillId="0" borderId="185" xfId="4" applyNumberFormat="1" applyFont="1" applyBorder="1" applyAlignment="1">
      <alignment horizontal="center" vertical="center" wrapText="1"/>
    </xf>
    <xf numFmtId="179" fontId="11" fillId="0" borderId="185" xfId="4" applyNumberFormat="1" applyFont="1" applyBorder="1" applyAlignment="1">
      <alignment horizontal="center" vertical="center" wrapText="1"/>
    </xf>
    <xf numFmtId="179" fontId="5" fillId="0" borderId="186" xfId="4" applyNumberFormat="1" applyFont="1" applyBorder="1" applyAlignment="1">
      <alignment horizontal="center" vertical="center" wrapText="1"/>
    </xf>
    <xf numFmtId="181" fontId="11" fillId="0" borderId="27" xfId="4" applyNumberFormat="1" applyFont="1" applyBorder="1" applyAlignment="1">
      <alignment horizontal="center" vertical="center" wrapText="1" shrinkToFit="1"/>
    </xf>
    <xf numFmtId="181" fontId="11" fillId="0" borderId="187" xfId="4" applyNumberFormat="1" applyFont="1" applyBorder="1" applyAlignment="1">
      <alignment horizontal="center" vertical="center" wrapText="1"/>
    </xf>
    <xf numFmtId="179" fontId="11" fillId="0" borderId="187" xfId="4" applyNumberFormat="1" applyFont="1" applyBorder="1" applyAlignment="1">
      <alignment horizontal="center" vertical="center" wrapText="1"/>
    </xf>
    <xf numFmtId="184" fontId="10" fillId="5" borderId="140" xfId="4" applyNumberFormat="1" applyFont="1" applyFill="1" applyBorder="1" applyAlignment="1">
      <alignment horizontal="center" vertical="center" shrinkToFit="1"/>
    </xf>
    <xf numFmtId="184" fontId="10" fillId="5" borderId="188" xfId="4" applyNumberFormat="1" applyFont="1" applyFill="1" applyBorder="1" applyAlignment="1">
      <alignment horizontal="center" vertical="center" shrinkToFit="1"/>
    </xf>
    <xf numFmtId="184" fontId="10" fillId="5" borderId="189" xfId="4" applyNumberFormat="1" applyFont="1" applyFill="1" applyBorder="1" applyAlignment="1">
      <alignment horizontal="center" vertical="center" shrinkToFit="1"/>
    </xf>
    <xf numFmtId="3" fontId="10" fillId="10" borderId="170" xfId="4" applyNumberFormat="1" applyFont="1" applyFill="1" applyBorder="1" applyAlignment="1">
      <alignment horizontal="center" vertical="center" shrinkToFit="1"/>
    </xf>
    <xf numFmtId="179" fontId="10" fillId="10" borderId="170" xfId="4" applyNumberFormat="1" applyFont="1" applyFill="1" applyBorder="1" applyAlignment="1">
      <alignment horizontal="center" vertical="center" wrapText="1"/>
    </xf>
    <xf numFmtId="179" fontId="10" fillId="10" borderId="190" xfId="4" applyNumberFormat="1" applyFont="1" applyFill="1" applyBorder="1" applyAlignment="1">
      <alignment horizontal="center" vertical="center" wrapText="1"/>
    </xf>
    <xf numFmtId="179" fontId="10" fillId="10" borderId="191" xfId="4" applyNumberFormat="1" applyFont="1" applyFill="1" applyBorder="1" applyAlignment="1">
      <alignment horizontal="center" vertical="center" wrapText="1"/>
    </xf>
    <xf numFmtId="179" fontId="10" fillId="10" borderId="192" xfId="4" applyNumberFormat="1" applyFont="1" applyFill="1" applyBorder="1" applyAlignment="1">
      <alignment horizontal="center" vertical="center" wrapText="1"/>
    </xf>
  </cellXfs>
  <cellStyles count="5">
    <cellStyle name="쉼표 [0]" xfId="1" builtinId="6"/>
    <cellStyle name="쉼표 [0] 3 2 4" xfId="2" xr:uid="{412C9F7F-9C66-4978-99EC-83B48A7B7C6A}"/>
    <cellStyle name="표준" xfId="0" builtinId="0"/>
    <cellStyle name="표준 2" xfId="4" xr:uid="{14E4C5CA-7F6B-43C8-A673-E1F1B0AD0E67}"/>
    <cellStyle name="표준_가오물량A" xfId="3" xr:uid="{A9318F3D-4B95-4FED-960F-76DAC1CBD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44368;&#46041;&#54788;&#511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omi-my.sharepoint.com/personal/jjh_woomi_onmicrosoft_com/Documents/Microsoft%20Teams%20&#52292;&#54021;%20&#54028;&#51068;/01.(&#51060;&#52380;&#51473;&#47532;2&#52264;)%20&#53440;&#50892;&#53356;&#47112;&#51064;%20&#49444;&#52824;%20&#48143;%20&#54644;&#52404;&#44277;&#49324;%20&#48156;&#51452;&#51032;&#47280;&#49436;(&#52572;&#51333;)%202.xlsx" TargetMode="External"/><Relationship Id="rId1" Type="http://schemas.openxmlformats.org/officeDocument/2006/relationships/externalLinkPath" Target="https://woomi-my.sharepoint.com/personal/jjh_woomi_onmicrosoft_com/Documents/Microsoft%20Teams%20&#52292;&#54021;%20&#54028;&#51068;/01.(&#51060;&#52380;&#51473;&#47532;2&#52264;)%20&#53440;&#50892;&#53356;&#47112;&#51064;%20&#49444;&#52824;%20&#48143;%20&#54644;&#52404;&#44277;&#49324;%20&#48156;&#51452;&#51032;&#47280;&#49436;(&#52572;&#51333;)%20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50504;&#50577;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0857;&#49345;\&#44592;&#49696;&#44060;&#48156;&#54016;%20&#44277;&#50976;&#54260;&#45908;(2010&#45380;)\&#24464;&#37912;&#20116;\&#44396;&#44396;&#45380;&#51088;&#47308;\&#49373;&#49328;&#44284;&#50696;&#49328;(99-05-25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us\d\hb\&#49340;&#49328;1&#51648;&#44396;(&#49892;&#49884;)\&#51452;&#44277;&#49688;&#47049;\&#51068;&#50948;&#45824;&#44032;98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648;&#51008;\&#51452;&#53469;&#44277;&#49324;&#54016;%20(d)\WINDOWS\TEMP\WINDOWS\TEMP\&#51473;&#50669;&#54924;&#51032;\96&#45380;10&#50900;\&#44288;&#47532;&#48376;&#48512;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D\1-1WORK\2&#49688;&#50896;&#48124;&#51088;&#50669;&#49324;2\&#51068;&#48152;&#53664;&#47785;&#44148;&#52629;\&#52509;&#44292;&#50896;&#44032;&#44228;&#49328;&#49436;1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y%20Documents/03(&#49345;)/&#50689;&#46041;&#49464;&#48652;&#46976;&#49828;(6&#50900;)/&#50689;&#46041;&#49464;&#48652;&#46976;&#49828;(&#45236;).xls" TargetMode="External"/><Relationship Id="rId1" Type="http://schemas.openxmlformats.org/officeDocument/2006/relationships/externalLinkPath" Target="/My%20Documents/03(&#49345;)/&#50689;&#46041;&#49464;&#48652;&#46976;&#49828;(6&#50900;)/&#50689;&#46041;&#49464;&#48652;&#46976;&#49828;(&#452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KDS\PROJECT\&#52628;%20&#54413;%20&#47161;\&#52628;&#54413;&#52572;&#5133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-my.sharepoint.com/&#50641;&#49472;DATA/&#54861;&#51452;&#51076;/Book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44608;&#50857;&#44592;\&#50641;&#49472;\GUMI4B2\&#44396;&#48120;4&#45800;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&#44608;&#50857;&#44592;\&#50641;&#49472;\GUMI4B2\&#44396;&#48120;4&#45800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7784;\&#44277;&#50976;&#48169;\&#49892;&#54665;&#50696;&#49328;\&#49345;&#48393;\&#44277;&#536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008;&#50689;\&#49569;&#54028;&#44396;\LJK-LAST\TOWER\&#48169;&#5050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6041;&#54872;\&#44032;&#50724;&#51648;&#44396;\imsi\&#51116;&#54805;&#51060;%20&#44732;\&#49688;&#47049;&#49328;&#52636;\&#47592;&#54848;&#4427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48373;\&#49436;&#50872;&#45824;&#44277;&#53685;&#48708;\My%20Documents\&#49436;&#44396;&#52397;\&#51088;&#44552;&#44288;&#47532;\&#52397;&#44396;&#4943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&#51060;&#54788;&#51333;/&#44592;&#48376;&#50577;&#49885;/&#44148;&#52629;/&#48516;&#45817;%20PARK%20VIEW/PROPOSAL/ELEC/345KV/EULJOO/EU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file\haus\excellent\&#49892;&#44204;&#51201;\&#48716;&#46972;&#53944;\&#46020;&#44257;E-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4113151\&#54408;&#51656;&#48372;&#51613;&#44284;\&#48169;&#51652;&#44512;\&#54408;&#51656;&#54924;&#51032;\WINDOWS\TEMP\WINDOWS\TEMP\WINDOWS\Temporary%20Internet%20Files\789ATLDN\IEXPLORE\CACHE\MSOFFICE\EXCEL\&#49373;&#49328;&#54924;&#51032;\&#44277;&#51109;&#51204;&#5240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5\RW&#51109;&#44592;(990510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333;&#50896;&#52264;&#51109;\&#44277;&#50857;&#51088;&#47308;&#48169;\MSOFFICE\HEXCEL\P\DAECHAG\&#45824;&#44148;&#5106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36;&#54872;\My%20Documents\WINDOWS\Temporary%20Internet%20Files\4J8XE5Q7\WINDOWS\Temporary%20Internet%20Files\cache4\&#52264;&#51060;&#48516;&#49437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05&#54728;&#44032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&#44053;&#46041;&#54785;/&#44148;&#52629;/&#52392;&#45800;&#50672;&#44396;&#46041;/PROPOSAL/ELEC/345KV/EULJOO/EU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omi-my.sharepoint.com/personal/moonhong27_woomi_onmicrosoft_com/Documents/Microsoft%20Teams%20&#52292;&#54021;%20&#54028;&#51068;/01.%20(&#48512;&#49328;&#51109;&#50504;)%20&#44148;&#49444;&#50857;%20&#47532;&#54532;&#53944;%20&#51076;&#45824;,%20&#49444;&#52824;,%20&#54644;&#52404;%20&#48156;&#51452;&#51032;&#47280;&#49436;_&#49688;&#51221;.xlsx" TargetMode="External"/><Relationship Id="rId1" Type="http://schemas.openxmlformats.org/officeDocument/2006/relationships/externalLinkPath" Target="https://woomi-my.sharepoint.com/personal/moonhong27_woomi_onmicrosoft_com/Documents/Microsoft%20Teams%20&#52292;&#54021;%20&#54028;&#51068;/01.%20(&#48512;&#49328;&#51109;&#50504;)%20&#44148;&#49444;&#50857;%20&#47532;&#54532;&#53944;%20&#51076;&#45824;,%20&#49444;&#52824;,%20&#54644;&#52404;%20&#48156;&#51452;&#51032;&#47280;&#49436;_&#4968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7. 현장관리비 "/>
      <sheetName val="6. 안전관리비"/>
      <sheetName val="집계표"/>
      <sheetName val="유림골조"/>
      <sheetName val="내   역"/>
      <sheetName val="N賃率-職"/>
      <sheetName val="공통비(전체)"/>
      <sheetName val="노무비"/>
      <sheetName val="P.M 별"/>
      <sheetName val="주요공사"/>
      <sheetName val="VXXXXXXX"/>
      <sheetName val="단가표"/>
      <sheetName val="일반부표"/>
      <sheetName val="코드"/>
      <sheetName val="단가기준"/>
      <sheetName val="부대공Ⅱ"/>
      <sheetName val="국내총괄"/>
      <sheetName val="시중노임단가"/>
      <sheetName val="내역서(기존내역-수정금지)"/>
      <sheetName val="대전(세창동)"/>
      <sheetName val="소일위대가코드표"/>
      <sheetName val="Sheet2"/>
      <sheetName val="주관사업"/>
      <sheetName val="변경내역"/>
      <sheetName val="총요약서"/>
      <sheetName val="설직재-1"/>
      <sheetName val="Sheet1"/>
      <sheetName val="15100"/>
      <sheetName val="반포2차"/>
      <sheetName val="공급&amp;미분양"/>
      <sheetName val="일위대가"/>
      <sheetName val="금액내역서"/>
      <sheetName val="날개벽수량표"/>
      <sheetName val="상반기손익차2총괄"/>
      <sheetName val="영업소실적"/>
      <sheetName val="마감사양"/>
      <sheetName val="내역서"/>
      <sheetName val="공통비총괄표"/>
      <sheetName val="마찰손실"/>
      <sheetName val="수주실적0709"/>
      <sheetName val="공사비산출내역"/>
      <sheetName val="갑지(추정)"/>
      <sheetName val="정보"/>
      <sheetName val="전체내역서"/>
      <sheetName val="Sheet1 (2)"/>
      <sheetName val="기계공사"/>
      <sheetName val="단면 (2)"/>
      <sheetName val="cp1"/>
      <sheetName val="마산월령동골조물량변경"/>
      <sheetName val="금액결정"/>
      <sheetName val="10월실적마감"/>
      <sheetName val="7월실적마감"/>
      <sheetName val="8월실적마감"/>
      <sheetName val="9월실적마감"/>
      <sheetName val="2.대외공문"/>
      <sheetName val="분당임차변경"/>
      <sheetName val="원가계산 (2)"/>
      <sheetName val="설계내역서"/>
      <sheetName val="내역서-수정본"/>
      <sheetName val="TOWER 12TON"/>
      <sheetName val="TOWER 10TON"/>
      <sheetName val="부산제일극장"/>
      <sheetName val="청산공사"/>
      <sheetName val="내역"/>
      <sheetName val="부속동"/>
      <sheetName val="개요"/>
      <sheetName val="소요자재"/>
      <sheetName val="ITEM"/>
      <sheetName val="기계"/>
      <sheetName val="Sheet3"/>
      <sheetName val="정부노임단가"/>
      <sheetName val="매각(6)"/>
      <sheetName val="수목표준대가"/>
      <sheetName val="공통부대비"/>
      <sheetName val="공사비"/>
      <sheetName val="예산명세서"/>
      <sheetName val="설계명세서"/>
      <sheetName val="자료입력"/>
      <sheetName val="사업부배부A"/>
      <sheetName val="매입가격"/>
      <sheetName val="경산"/>
      <sheetName val="설비2차"/>
      <sheetName val="간접비총괄"/>
      <sheetName val="Sheet2 (2)"/>
      <sheetName val="일위대가표"/>
      <sheetName val="노임이"/>
      <sheetName val="냉천부속동"/>
      <sheetName val="시설물기초"/>
      <sheetName val="JUCKEYK"/>
      <sheetName val="견적서"/>
      <sheetName val="2공구산출내역"/>
      <sheetName val="CTEMCOST"/>
      <sheetName val="배수내역"/>
      <sheetName val="2000년1차"/>
      <sheetName val="6호기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Total"/>
      <sheetName val="2.냉난방설비공사"/>
      <sheetName val="FRP PIPING 일위대가"/>
      <sheetName val="내역서2안"/>
      <sheetName val="2.1  노무비 평균단가산출"/>
      <sheetName val="데이타"/>
      <sheetName val="참조자료"/>
      <sheetName val="패널"/>
      <sheetName val="3단계"/>
      <sheetName val="2단계"/>
      <sheetName val="교통대책내역"/>
      <sheetName val="원가계산서(남측)"/>
      <sheetName val="공사손익"/>
      <sheetName val="고자현황"/>
      <sheetName val="COST"/>
      <sheetName val="단가조사"/>
      <sheetName val="대비"/>
      <sheetName val="9509"/>
      <sheetName val="입찰안"/>
      <sheetName val="미수금현황"/>
      <sheetName val="실행내역"/>
      <sheetName val="직노"/>
      <sheetName val="예가표"/>
      <sheetName val="유림총괄"/>
      <sheetName val="도급견적가"/>
      <sheetName val="COVER"/>
      <sheetName val="건물"/>
      <sheetName val="0_갑지"/>
      <sheetName val="8_현장관리비"/>
      <sheetName val="7_안전관리비"/>
      <sheetName val="건축내역"/>
      <sheetName val="돈암사업"/>
      <sheetName val="공사비예산서_토목분_"/>
      <sheetName val="01"/>
      <sheetName val="수정시산표"/>
      <sheetName val="산출내역서집계표"/>
      <sheetName val="국내조달(통합-1)"/>
      <sheetName val="계수시트"/>
      <sheetName val="수입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실행철강하도"/>
      <sheetName val="대여현황"/>
      <sheetName val="기초목"/>
      <sheetName val="계수원본(99.2.28)"/>
      <sheetName val="삼보지질"/>
      <sheetName val="구의33고"/>
      <sheetName val="수지표"/>
      <sheetName val="020114"/>
      <sheetName val="0111월"/>
      <sheetName val="공동"/>
      <sheetName val="MAIN"/>
      <sheetName val="npv"/>
      <sheetName val="보고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봉천제출"/>
      <sheetName val="파일의이용"/>
      <sheetName val="금융비용"/>
      <sheetName val="비교1"/>
      <sheetName val="업무분장"/>
      <sheetName val="B1(반포1차)"/>
      <sheetName val="견적"/>
      <sheetName val="6맨홀H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입찰"/>
      <sheetName val="현경"/>
      <sheetName val="품셈"/>
      <sheetName val="본공사"/>
      <sheetName val="적상기초자료"/>
      <sheetName val="갑지"/>
      <sheetName val="DATA1"/>
      <sheetName val="단독"/>
      <sheetName val="설계"/>
      <sheetName val="변경서식"/>
      <sheetName val="은행"/>
      <sheetName val="시중노임"/>
      <sheetName val="금액,품셈"/>
      <sheetName val="pier(각형)"/>
      <sheetName val="수리결과"/>
      <sheetName val="투찰"/>
      <sheetName val="결과조달"/>
      <sheetName val="설계명세"/>
      <sheetName val="을-ATYPE"/>
      <sheetName val="평형공사비"/>
      <sheetName val="단가"/>
      <sheetName val="수수료율표"/>
      <sheetName val="호실data"/>
      <sheetName val="단가산출"/>
      <sheetName val="산출근거"/>
      <sheetName val="소화실적"/>
      <sheetName val="내역서(당초변경)"/>
      <sheetName val="공량산출서"/>
      <sheetName val="96까지"/>
      <sheetName val="97년"/>
      <sheetName val="98이후"/>
      <sheetName val="6PILE  (돌출)"/>
      <sheetName val="수량집계"/>
      <sheetName val="대비표(토공1안)"/>
      <sheetName val="예산서"/>
      <sheetName val="물량내역서"/>
      <sheetName val="Sens&amp;Anal"/>
      <sheetName val="부표총괄"/>
      <sheetName val="국산화"/>
      <sheetName val="경비"/>
      <sheetName val="00노임기준"/>
      <sheetName val="교각별철근수량집계표"/>
      <sheetName val="구조물공"/>
      <sheetName val="부대공"/>
      <sheetName val="배수공"/>
      <sheetName val="토공"/>
      <sheetName val="포장공"/>
      <sheetName val="연결임시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변압기 및 발전기 용량"/>
      <sheetName val="작업년월"/>
      <sheetName val="세부내역"/>
      <sheetName val="시중노임(공사)"/>
      <sheetName val="납부내역"/>
      <sheetName val="빈"/>
      <sheetName val="현장현황"/>
      <sheetName val="터파기및재료"/>
      <sheetName val="DATA"/>
      <sheetName val="공사비집계"/>
      <sheetName val="토목"/>
      <sheetName val="명세서"/>
      <sheetName val="중기 부표"/>
      <sheetName val="대비표"/>
      <sheetName val="운영비산정가정"/>
      <sheetName val="익산"/>
      <sheetName val="7.수지"/>
      <sheetName val="추가예산"/>
      <sheetName val="목록"/>
      <sheetName val="금융"/>
      <sheetName val="총물량"/>
      <sheetName val="1월"/>
      <sheetName val="간접비"/>
      <sheetName val="을지"/>
      <sheetName val="가설개략"/>
      <sheetName val="인사자료총집계"/>
      <sheetName val="건축2"/>
      <sheetName val="misc"/>
      <sheetName val="견적내역"/>
      <sheetName val="국내"/>
      <sheetName val="조명시설"/>
      <sheetName val="물량내역"/>
      <sheetName val="ABUT수량-A1"/>
      <sheetName val="소방기계"/>
      <sheetName val="차액보증"/>
      <sheetName val="개산공사비"/>
      <sheetName val="스케즐"/>
      <sheetName val="9GNG운반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기초일위"/>
      <sheetName val="횡배수관집현황(2공구)"/>
      <sheetName val="세금자료"/>
      <sheetName val="요율"/>
      <sheetName val="식재가격"/>
      <sheetName val="식재총괄"/>
      <sheetName val="AJ005"/>
      <sheetName val="손익차9월2"/>
      <sheetName val="DATE"/>
      <sheetName val="목차"/>
      <sheetName val="형틀물량집계"/>
      <sheetName val="포설물량(8회분)"/>
      <sheetName val="집수정(600-700)"/>
      <sheetName val="TRE TABLE"/>
      <sheetName val="결재판(삭제하지말아주세요)"/>
      <sheetName val="O＆P"/>
      <sheetName val="자  재"/>
      <sheetName val="건축외주"/>
      <sheetName val="인상효1"/>
      <sheetName val="설계명세서(전송장비분)"/>
      <sheetName val="EQT-ESTN"/>
      <sheetName val="AL공사(원)"/>
      <sheetName val="단"/>
      <sheetName val="1차 내역서"/>
      <sheetName val="3.건축(현장안)"/>
      <sheetName val="일위_파일"/>
      <sheetName val="현장관리비"/>
      <sheetName val="현장경비"/>
      <sheetName val="공문"/>
      <sheetName val="10ADIT05"/>
      <sheetName val="하치장수불부"/>
      <sheetName val="외주"/>
      <sheetName val="코드표"/>
      <sheetName val="STAND98"/>
      <sheetName val="STAND20"/>
      <sheetName val="BEND LOSS"/>
      <sheetName val="cal"/>
      <sheetName val="인천제철"/>
      <sheetName val="자료"/>
      <sheetName val="6공구(당초)"/>
      <sheetName val="증감대비"/>
      <sheetName val="토목주소"/>
      <sheetName val="프랜트면허"/>
      <sheetName val="토사(PE)"/>
      <sheetName val="연돌일위집계"/>
      <sheetName val="공통가설공사"/>
      <sheetName val="판가반영"/>
      <sheetName val="가시설"/>
      <sheetName val="부대"/>
      <sheetName val="부안일위"/>
      <sheetName val="도기류"/>
      <sheetName val="품셈TABLE"/>
      <sheetName val="0000"/>
      <sheetName val="상제품매출(원가)1~10월"/>
      <sheetName val="예약현황"/>
      <sheetName val="소개"/>
      <sheetName val="투자비"/>
      <sheetName val="각사별공사비분개 "/>
      <sheetName val="식재인부"/>
      <sheetName val="일위대가(가설)"/>
      <sheetName val="1차설계변경내역"/>
      <sheetName val="항목(1)"/>
      <sheetName val="BOOK4"/>
      <sheetName val="전문품의"/>
      <sheetName val="을"/>
      <sheetName val="wall"/>
      <sheetName val="ⴭⴭⴭⴭⴭ"/>
      <sheetName val="이토변실(A3-LINE)"/>
      <sheetName val="집계"/>
      <sheetName val="안전장치"/>
      <sheetName val="BLOCK(1)"/>
      <sheetName val="수량산출서"/>
      <sheetName val="자재(원원+원대)"/>
      <sheetName val="단위수량"/>
      <sheetName val="갑지1"/>
      <sheetName val="실행"/>
      <sheetName val="건축공사실행"/>
      <sheetName val="건축원가"/>
      <sheetName val="구조부재산출서"/>
      <sheetName val="회사정보"/>
      <sheetName val="가격조사서"/>
      <sheetName val="금광1터널"/>
      <sheetName val="장기미처리(업체)"/>
      <sheetName val="장기미처리(센터)"/>
      <sheetName val="사업비총괄표"/>
      <sheetName val="총내역"/>
      <sheetName val="분류표"/>
      <sheetName val="MEED"/>
      <sheetName val="납부서"/>
      <sheetName val="70%"/>
      <sheetName val="인건비"/>
      <sheetName val="물가시세표"/>
      <sheetName val="A조"/>
      <sheetName val="A갑지"/>
      <sheetName val="개인DATA"/>
      <sheetName val="기준단가"/>
      <sheetName val="공사비 내역 (가)"/>
      <sheetName val="계약동호배치도"/>
      <sheetName val="공비대비"/>
      <sheetName val="마스터원본"/>
      <sheetName val="피벗테이블데이터분석"/>
      <sheetName val="평균높이산출근거"/>
      <sheetName val="횡배수관위치조서"/>
      <sheetName val="기본사항"/>
      <sheetName val="공사진행"/>
      <sheetName val="부하계산"/>
      <sheetName val="MACRO(전선관)"/>
      <sheetName val="EUPDAT2"/>
      <sheetName val="공사내역"/>
      <sheetName val="시설물일위"/>
      <sheetName val="1.기성청구공문양식"/>
      <sheetName val="2.기성청구갑지"/>
      <sheetName val="경비원 "/>
      <sheetName val="실행간접비"/>
      <sheetName val="입력부분"/>
      <sheetName val="색인구역"/>
      <sheetName val="현장관리비데이타"/>
      <sheetName val="입찰내역서"/>
      <sheetName val="잡비산출"/>
      <sheetName val="수공기"/>
      <sheetName val="중기"/>
      <sheetName val="안양1공구_건축"/>
      <sheetName val="건설노임"/>
      <sheetName val="데리네이타현황"/>
      <sheetName val="토공(우물통,기타)_"/>
      <sheetName val="단가_(2)"/>
      <sheetName val="6PILE__(돌출)"/>
      <sheetName val="변압기_및_발전기_용량"/>
      <sheetName val="단위단가"/>
      <sheetName val="원가계산서"/>
      <sheetName val="A-1"/>
      <sheetName val="시장성초안camera"/>
      <sheetName val="환산"/>
      <sheetName val="인원자료"/>
      <sheetName val="정산내역"/>
      <sheetName val="사통"/>
      <sheetName val="XXXXXXXX"/>
      <sheetName val="입적표"/>
      <sheetName val="수량산출서 갑지"/>
      <sheetName val="총괄갑 "/>
      <sheetName val="4-1. 매출원가 손익계획 집계표"/>
      <sheetName val="4.2유효폭의 계산"/>
      <sheetName val="시행대비_(2)1"/>
      <sheetName val="7__현장관리비_1"/>
      <sheetName val="6__안전관리비1"/>
      <sheetName val="내___역1"/>
      <sheetName val="P_M_별1"/>
      <sheetName val="Sheet1_(2)1"/>
      <sheetName val="단면_(2)1"/>
      <sheetName val="WEIGHT_LIST1"/>
      <sheetName val="산#2-1_(2)1"/>
      <sheetName val="계수원본(99_2_28)1"/>
      <sheetName val="2_냉난방설비공사1"/>
      <sheetName val="7_자동제어공사1"/>
      <sheetName val="04_011"/>
      <sheetName val="2_대외공문1"/>
      <sheetName val="TOWER_12TON1"/>
      <sheetName val="TOWER_10TON1"/>
      <sheetName val="원가계산_(2)1"/>
      <sheetName val="Sheet2_(2)1"/>
      <sheetName val="FRP_PIPING_일위대가1"/>
      <sheetName val="2_1__노무비_평균단가산출1"/>
      <sheetName val="15_문제점1"/>
      <sheetName val="7_수지"/>
      <sheetName val="중기_부표"/>
      <sheetName val="UG_COM-8"/>
      <sheetName val="UG_COM-11"/>
      <sheetName val="UG_COM-7"/>
      <sheetName val="UG_COM-6"/>
      <sheetName val="UG_COM-5"/>
      <sheetName val="UG_COM-4"/>
      <sheetName val="UG_COM-3"/>
      <sheetName val="UG_COM-2"/>
      <sheetName val="UG_COM-1"/>
      <sheetName val="UG_COM-12"/>
      <sheetName val="TRE_TABLE"/>
      <sheetName val="자__재"/>
      <sheetName val="1차_내역서"/>
      <sheetName val="3_건축(현장안)"/>
      <sheetName val="BEND_LOSS"/>
      <sheetName val="각사별공사비분개_"/>
      <sheetName val="공사비_내역_(가)"/>
      <sheetName val="첨부#2.Cash Flow(현장작성)"/>
      <sheetName val="SG"/>
      <sheetName val="총괄"/>
      <sheetName val="부관수량집계"/>
      <sheetName val="EE-PROP"/>
      <sheetName val="유림콘도"/>
      <sheetName val="1.설계조건"/>
      <sheetName val="MOTOR"/>
      <sheetName val="대운산출"/>
      <sheetName val="부대내역"/>
      <sheetName val="#2_일위대가목록"/>
      <sheetName val="배수내역 (2)"/>
      <sheetName val="C.배수관공"/>
      <sheetName val="PAD TR보호대기초"/>
      <sheetName val="가로등기초"/>
      <sheetName val="HANDHOLE(2)"/>
      <sheetName val="시설일위"/>
      <sheetName val="조명일위"/>
      <sheetName val="백호우계수"/>
      <sheetName val="적심사표"/>
      <sheetName val="실행원가내역"/>
      <sheetName val="전기"/>
      <sheetName val="유효폭의 계산"/>
      <sheetName val="TIE-IN"/>
      <sheetName val="간접비계산"/>
      <sheetName val="전체"/>
      <sheetName val="화전내"/>
      <sheetName val="계정과목 등"/>
      <sheetName val="공통가설"/>
      <sheetName val="표지 (2)"/>
      <sheetName val="96정변2"/>
      <sheetName val="환경관리"/>
      <sheetName val="XL4Poppy"/>
      <sheetName val="1062-X방향 "/>
      <sheetName val="첨"/>
      <sheetName val="I一般比"/>
      <sheetName val="수량산출"/>
      <sheetName val="수로단위수량"/>
      <sheetName val="#검토내역(상세)"/>
      <sheetName val="오산갈곳"/>
      <sheetName val="GAEYO"/>
      <sheetName val="시멘트"/>
      <sheetName val="건축-물가변동"/>
      <sheetName val="교대시점"/>
      <sheetName val="5사남"/>
      <sheetName val="수정계획3"/>
      <sheetName val="도근좌표"/>
      <sheetName val="NP-총정리"/>
      <sheetName val="일용노임단가"/>
      <sheetName val="IW-LIST"/>
      <sheetName val="새공통(96임금인상기준)"/>
      <sheetName val="설비단가표"/>
      <sheetName val="기본일위"/>
      <sheetName val="NOTE"/>
      <sheetName val="시행대비_(2)2"/>
      <sheetName val="7__현장관리비_2"/>
      <sheetName val="6__안전관리비2"/>
      <sheetName val="내___역2"/>
      <sheetName val="P_M_별2"/>
      <sheetName val="Sheet1_(2)2"/>
      <sheetName val="단면_(2)2"/>
      <sheetName val="WEIGHT_LIST2"/>
      <sheetName val="산#2-1_(2)2"/>
      <sheetName val="계수원본(99_2_28)2"/>
      <sheetName val="2_냉난방설비공사2"/>
      <sheetName val="7_자동제어공사2"/>
      <sheetName val="04_012"/>
      <sheetName val="2_대외공문2"/>
      <sheetName val="TOWER_12TON2"/>
      <sheetName val="TOWER_10TON2"/>
      <sheetName val="원가계산_(2)2"/>
      <sheetName val="Sheet2_(2)2"/>
      <sheetName val="FRP_PIPING_일위대가2"/>
      <sheetName val="2_1__노무비_평균단가산출2"/>
      <sheetName val="15_문제점2"/>
      <sheetName val="6PILE__(돌출)1"/>
      <sheetName val="토공(우물통,기타)_1"/>
      <sheetName val="단가_(2)1"/>
      <sheetName val="변압기_및_발전기_용량1"/>
      <sheetName val="중기_부표1"/>
      <sheetName val="7_수지1"/>
      <sheetName val="UG_COM-81"/>
      <sheetName val="UG_COM-111"/>
      <sheetName val="UG_COM-71"/>
      <sheetName val="UG_COM-61"/>
      <sheetName val="UG_COM-51"/>
      <sheetName val="UG_COM-41"/>
      <sheetName val="UG_COM-31"/>
      <sheetName val="UG_COM-21"/>
      <sheetName val="UG_COM-13"/>
      <sheetName val="UG_COM-121"/>
      <sheetName val="TRE_TABLE1"/>
      <sheetName val="자__재1"/>
      <sheetName val="1차_내역서1"/>
      <sheetName val="3_건축(현장안)1"/>
      <sheetName val="BEND_LOSS1"/>
      <sheetName val="각사별공사비분개_1"/>
      <sheetName val="공사비_내역_(가)1"/>
      <sheetName val="1_기성청구공문양식"/>
      <sheetName val="2_기성청구갑지"/>
      <sheetName val="경비원_"/>
      <sheetName val="수량산출서_갑지"/>
      <sheetName val="4-1__매출원가_손익계획_집계표"/>
      <sheetName val="4_2유효폭의_계산"/>
      <sheetName val="첨부#2_Cash_Flow(현장작성)"/>
      <sheetName val="표지_(2)"/>
      <sheetName val="총괄갑_"/>
      <sheetName val="1_설계조건"/>
      <sheetName val="유효폭의_계산"/>
      <sheetName val="PAD_TR보호대기초"/>
      <sheetName val="C_배수관공"/>
      <sheetName val="배수내역_(2)"/>
      <sheetName val="1062-X방향_"/>
      <sheetName val="0"/>
      <sheetName val="B"/>
      <sheetName val="음료실행"/>
      <sheetName val="원형1호맨홀토공수량"/>
      <sheetName val="gyun"/>
      <sheetName val="시점교대"/>
      <sheetName val="FAB별"/>
      <sheetName val="CONCRETE"/>
      <sheetName val="실수량산출"/>
      <sheetName val="98NS-N"/>
      <sheetName val="가설공사비"/>
      <sheetName val="단위중량"/>
      <sheetName val="도급원가"/>
      <sheetName val="BOJUNGGM"/>
      <sheetName val="유첨3.적용기준"/>
      <sheetName val="tggwan(mac)"/>
      <sheetName val="Cash2"/>
      <sheetName val="Z"/>
      <sheetName val="1-11조직표"/>
      <sheetName val="배수통관(좌)"/>
      <sheetName val="입력시트"/>
      <sheetName val="목표세부명세"/>
      <sheetName val="수량산_x0000_"/>
      <sheetName val="신청서"/>
      <sheetName val="삭제금지단가"/>
      <sheetName val="공사투입계획(변경결의)19.9"/>
      <sheetName val="노무비 월별지급현황19.9"/>
      <sheetName val="갑지(외주기성)19.9"/>
      <sheetName val="1N"/>
      <sheetName val="별제권_정리담보권"/>
      <sheetName val="L_RPTB10_01"/>
      <sheetName val="표지"/>
      <sheetName val="이자율"/>
      <sheetName val="분전함신설"/>
      <sheetName val="접지1종"/>
      <sheetName val="Rate"/>
      <sheetName val="95TOTREV"/>
      <sheetName val="CAL1"/>
      <sheetName val="지급자재"/>
      <sheetName val="STEEL BOX 단면설계(SEC.8)"/>
      <sheetName val="간접"/>
      <sheetName val="가로등내역서"/>
      <sheetName val="공정"/>
      <sheetName val="현장"/>
      <sheetName val="캔개발배경"/>
      <sheetName val="시장"/>
      <sheetName val="일정표"/>
      <sheetName val="물량표"/>
      <sheetName val="웅진교-S2"/>
      <sheetName val="환경기계공정표 (3)"/>
      <sheetName val="형틀"/>
      <sheetName val="망미동"/>
      <sheetName val="하부철근수량"/>
      <sheetName val="Mc1"/>
      <sheetName val="골조공사"/>
      <sheetName val="인건비 "/>
      <sheetName val="철콘공사"/>
      <sheetName val="파이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손익분석"/>
      <sheetName val="CTEMCOST"/>
      <sheetName val="ELECTRIC"/>
      <sheetName val="SG"/>
      <sheetName val="현금흐름"/>
      <sheetName val="COL"/>
      <sheetName val="수입"/>
      <sheetName val="손익"/>
      <sheetName val="관로내역원"/>
      <sheetName val="SUMMARY"/>
      <sheetName val="PAINT"/>
      <sheetName val="자바라1"/>
      <sheetName val="C-A(취합)파리"/>
      <sheetName val="원가계산서"/>
      <sheetName val="손익기01"/>
      <sheetName val="Sheet1"/>
      <sheetName val="동선(을)"/>
      <sheetName val="A4288"/>
      <sheetName val="예가표"/>
      <sheetName val="수정시산표"/>
      <sheetName val="주택"/>
      <sheetName val="주택(백만원)"/>
      <sheetName val="신공항A-9(원가수정)"/>
      <sheetName val="KUNGDEVI"/>
      <sheetName val="전계가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실행내역"/>
      <sheetName val="현장관리비"/>
      <sheetName val="시멘트"/>
      <sheetName val="감독1130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공사개요"/>
      <sheetName val="내역"/>
      <sheetName val="단가"/>
      <sheetName val="APT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일위대가표"/>
      <sheetName val="유림골조"/>
      <sheetName val="산근"/>
      <sheetName val="여흥"/>
      <sheetName val="DATA"/>
      <sheetName val="실적공사"/>
      <sheetName val="업무처리전"/>
      <sheetName val="JUCKEYK"/>
      <sheetName val="#REF"/>
      <sheetName val="기성청구 공문"/>
      <sheetName val="IW-LIST"/>
      <sheetName val="6PILE  (돌출)"/>
      <sheetName val="호프"/>
      <sheetName val="노임단가"/>
      <sheetName val="공통비총괄표"/>
      <sheetName val="방배동내역(리라)"/>
      <sheetName val="37개월"/>
      <sheetName val="b_balju (2)"/>
      <sheetName val="b_gunmul"/>
      <sheetName val="  한국 AMP ASP-23 판매가격  "/>
      <sheetName val="ABUT수량-A1"/>
      <sheetName val="갑지(추정)"/>
      <sheetName val="견적의뢰"/>
      <sheetName val="중기조종사 단위단가"/>
      <sheetName val="982월원안"/>
      <sheetName val="내역서"/>
      <sheetName val="TR제작사양"/>
      <sheetName val="노무비"/>
      <sheetName val="기계경비(시간당)"/>
      <sheetName val="램머"/>
      <sheetName val="화의-현금흐름"/>
      <sheetName val="주형"/>
      <sheetName val="sum1 (2)"/>
      <sheetName val="총괄내역서"/>
      <sheetName val="감가상각"/>
      <sheetName val="Variables"/>
      <sheetName val="제조원가 원단위 분석"/>
      <sheetName val="종합표양식(품의 &amp; 입고)_2"/>
      <sheetName val="상각스케쥴(조정)"/>
      <sheetName val="금융비용"/>
      <sheetName val="원가관리 (동월대비)"/>
      <sheetName val="요약"/>
      <sheetName val="45,46"/>
      <sheetName val="2연암거"/>
      <sheetName val="경사수로집계표"/>
      <sheetName val="경사수로"/>
      <sheetName val="진입교량"/>
      <sheetName val="익월수주전망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적격"/>
      <sheetName val="Sheet13"/>
      <sheetName val="Sheet14"/>
      <sheetName val="woo(mac)"/>
      <sheetName val="A-4"/>
      <sheetName val="2-2.매출분석"/>
      <sheetName val="RECIMAKE"/>
      <sheetName val="A-100전제"/>
      <sheetName val="몰드시스템 리스트"/>
      <sheetName val="정비손익"/>
      <sheetName val="200"/>
      <sheetName val="기본DATA"/>
      <sheetName val="MIJIBI"/>
      <sheetName val="원가(통신)"/>
      <sheetName val="장기대여금1"/>
      <sheetName val="Total"/>
      <sheetName val="조명시설"/>
      <sheetName val="SIL98"/>
      <sheetName val="재료"/>
      <sheetName val="MIBK원단위"/>
      <sheetName val="Proposal"/>
      <sheetName val="실행철강하도"/>
      <sheetName val="물량표"/>
      <sheetName val="Calen"/>
      <sheetName val="Borrower"/>
      <sheetName val="7 (2)"/>
      <sheetName val="역T형"/>
      <sheetName val="수주현황2월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입찰내역서"/>
      <sheetName val="단가산출"/>
      <sheetName val="공통부대관리"/>
      <sheetName val="표지"/>
      <sheetName val="설비원가"/>
      <sheetName val="추가예산"/>
      <sheetName val="점수계산1-2"/>
      <sheetName val="일위대가"/>
      <sheetName val="대비표"/>
      <sheetName val="골조시행"/>
      <sheetName val="SM1-09"/>
      <sheetName val="SM2-09"/>
      <sheetName val="BD-09"/>
      <sheetName val="CAUDIT"/>
      <sheetName val="개발비자산성검토"/>
      <sheetName val="단가표"/>
      <sheetName val="총내역서"/>
      <sheetName val="세부내역서"/>
      <sheetName val="설계명세서"/>
      <sheetName val="전신환매도율"/>
      <sheetName val="경비"/>
      <sheetName val="Sheet1 (2)"/>
      <sheetName val="물량표(신)"/>
      <sheetName val="대공종"/>
      <sheetName val="영동(D)"/>
      <sheetName val="3.바닥판설계"/>
      <sheetName val="적용건축"/>
      <sheetName val="집행내역"/>
      <sheetName val="단가(반정3교-원주)"/>
      <sheetName val="원가계산하도"/>
      <sheetName val="CC16-내역서"/>
      <sheetName val="Y-WORK"/>
      <sheetName val="SO416"/>
      <sheetName val="가공MH"/>
      <sheetName val="08년(Form1)"/>
      <sheetName val="XZLC004_PART2"/>
      <sheetName val="XZLC003_PART1"/>
      <sheetName val="품셈TABLE"/>
      <sheetName val="참조"/>
      <sheetName val="미드수량"/>
      <sheetName val="DATE"/>
      <sheetName val="현장지지물물량"/>
      <sheetName val="손익현황"/>
      <sheetName val="현황CODE"/>
      <sheetName val="지점장"/>
      <sheetName val="부서코드표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ADR"/>
      <sheetName val="INPUT"/>
      <sheetName val="조경"/>
      <sheetName val="12년 CF(9월)"/>
      <sheetName val="TRE TABLE"/>
      <sheetName val="C3"/>
      <sheetName val="자재단가"/>
      <sheetName val="신공"/>
      <sheetName val="2.총괄표"/>
      <sheetName val="LinerWt"/>
      <sheetName val="산출근거"/>
      <sheetName val="일위(토목)"/>
      <sheetName val="RE9604"/>
      <sheetName val="평가제외"/>
      <sheetName val="13월별BS"/>
      <sheetName val="부하계산서"/>
      <sheetName val="하수급견적대비"/>
      <sheetName val="재고현황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발행제기"/>
      <sheetName val="2.대외공문"/>
      <sheetName val="97년추정손익계산서"/>
      <sheetName val="表21 净利润调节表"/>
      <sheetName val="업무연락"/>
      <sheetName val="Ethylene"/>
      <sheetName val="월별매출"/>
      <sheetName val="ChlorAlkali"/>
      <sheetName val="VXXXXXXX"/>
      <sheetName val="실행간접비용"/>
      <sheetName val="회사정보"/>
      <sheetName val="입찰내역 발주처 양식"/>
      <sheetName val="_x0018__x0000_"/>
      <sheetName val=""/>
      <sheetName val="2.주요계수총괄"/>
      <sheetName val="현금"/>
      <sheetName val="슬래브"/>
      <sheetName val="slipsumpR"/>
      <sheetName val="참조시트"/>
      <sheetName val="D-623D"/>
      <sheetName val="BQMPALOC"/>
      <sheetName val="입찰보고"/>
      <sheetName val="품셈표"/>
      <sheetName val="갑근세납세필증명원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건축내역"/>
      <sheetName val="입출재고현황 (2)"/>
      <sheetName val="504전기실 동부하-L"/>
      <sheetName val="Sheet15"/>
      <sheetName val="Sheet9"/>
      <sheetName val="DUT-BAT1"/>
      <sheetName val="주현(해보)"/>
      <sheetName val="주현(영광)"/>
      <sheetName val="공사비예산서(토목분)"/>
      <sheetName val="음료실행"/>
      <sheetName val="교각계산"/>
      <sheetName val="직재"/>
      <sheetName val="PAD TR보호대기초"/>
      <sheetName val="HANDHOLE(2)"/>
      <sheetName val="가로등기초"/>
      <sheetName val="BEST"/>
      <sheetName val="통장출금액"/>
      <sheetName val="카메라"/>
      <sheetName val="실적"/>
      <sheetName val="BAND(200)"/>
      <sheetName val="OUTER AREA(겹침없음)"/>
      <sheetName val="EG-09"/>
      <sheetName val="M3산출"/>
      <sheetName val="EL 표면적"/>
      <sheetName val="양식(직판용)"/>
      <sheetName val="감가상각비"/>
      <sheetName val="部署名"/>
      <sheetName val="車両別燃費及び油類単価"/>
      <sheetName val="퇴충"/>
      <sheetName val="1_종합손익(도급)1"/>
      <sheetName val="推移グラフ"/>
      <sheetName val="FAB"/>
      <sheetName val="조정내역"/>
      <sheetName val="Year"/>
      <sheetName val="인원계획-미화"/>
      <sheetName val="Prices"/>
      <sheetName val="CF6"/>
      <sheetName val="양식3"/>
      <sheetName val="P.M 별"/>
      <sheetName val="FRQ"/>
      <sheetName val="기준"/>
      <sheetName val="자금추ȕ"/>
      <sheetName val="05년말(건재)"/>
      <sheetName val="물량표S"/>
      <sheetName val="원가서"/>
      <sheetName val="부대공"/>
      <sheetName val="Project Brief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요약PL"/>
      <sheetName val="수지"/>
      <sheetName val="자금운용계획표"/>
      <sheetName val="0001new"/>
      <sheetName val="cp-e1"/>
      <sheetName val="PIPE"/>
      <sheetName val="FLANGE"/>
      <sheetName val="VALVE"/>
      <sheetName val="한강운반비"/>
      <sheetName val="동절기투입(자재)"/>
      <sheetName val="Sheet4"/>
      <sheetName val="시산표"/>
      <sheetName val="월별예산"/>
      <sheetName val="목록"/>
      <sheetName val="중기"/>
      <sheetName val="연돌일위집계"/>
      <sheetName val="Training"/>
      <sheetName val="General"/>
      <sheetName val="Instructions"/>
      <sheetName val="People"/>
      <sheetName val="Quality"/>
      <sheetName val="Risk"/>
      <sheetName val="부속동"/>
      <sheetName val="FB25JN"/>
      <sheetName val="YES-T"/>
      <sheetName val="MEMORY"/>
      <sheetName val="터파기및재료"/>
      <sheetName val="찍기"/>
      <sheetName val="단가일람"/>
      <sheetName val="단위량당중기"/>
      <sheetName val="수량집계표(舊)"/>
      <sheetName val="단면 (2)"/>
      <sheetName val="BOX-1510"/>
      <sheetName val="A"/>
      <sheetName val="Facility Information"/>
      <sheetName val="주차"/>
      <sheetName val="도"/>
      <sheetName val="의정부문예회관변경내역"/>
      <sheetName val="GAEYO"/>
      <sheetName val="내역표지"/>
      <sheetName val="건축2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KAM설비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공사비증감"/>
      <sheetName val="내역(한신APT)"/>
      <sheetName val="공사내역"/>
      <sheetName val="1. 시공측량"/>
      <sheetName val="_x005f_x0018__x005f_x0000_"/>
      <sheetName val="자재목록"/>
      <sheetName val="경비2내역"/>
      <sheetName val="공통비(전체)"/>
      <sheetName val="토목공사"/>
      <sheetName val="새공통(96임금인상기준)"/>
      <sheetName val="비교1"/>
      <sheetName val="유림총괄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전도품의"/>
      <sheetName val="정부노임단가"/>
      <sheetName val="일위(PN)"/>
      <sheetName val="1.본사계정별"/>
      <sheetName val="철골공사"/>
      <sheetName val="구성비"/>
      <sheetName val="품목"/>
      <sheetName val="상가지급현황"/>
      <sheetName val="22철거수량"/>
      <sheetName val="분전함신설"/>
      <sheetName val="접지1종"/>
      <sheetName val="시화점실행"/>
      <sheetName val="설치원가"/>
      <sheetName val="설계명세서(선로)"/>
      <sheetName val="Sheet5"/>
      <sheetName val="납부내역총괄표 (수정)"/>
      <sheetName val="3본사"/>
      <sheetName val="98지급계획"/>
      <sheetName val="전선 및 전선관"/>
      <sheetName val="P-산#1-1(WOWA1)"/>
      <sheetName val="합천내역"/>
      <sheetName val="전기단가조사서"/>
      <sheetName val="原価センタ"/>
      <sheetName val="Data Validation"/>
      <sheetName val="연습"/>
      <sheetName val="_x0018_?"/>
      <sheetName val="근거 및 가정"/>
      <sheetName val="2 카드채권(대출포함)"/>
      <sheetName val="수종별수량 (2)"/>
      <sheetName val="구간별수량"/>
      <sheetName val="설산1.나"/>
      <sheetName val="본사S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기초"/>
      <sheetName val="재무상태표"/>
      <sheetName val="본문"/>
      <sheetName val="일위대가(계측기설치)"/>
      <sheetName val="감액총괄표"/>
      <sheetName val="9GNG운반"/>
      <sheetName val="배수공"/>
      <sheetName val="BID"/>
      <sheetName val="식재품셈"/>
      <sheetName val="118.세금과공과"/>
      <sheetName val="수선비"/>
      <sheetName val="총괄표"/>
      <sheetName val="125PIECE"/>
      <sheetName val="노동부"/>
      <sheetName val="수량산출"/>
      <sheetName val="판가반영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ETC"/>
      <sheetName val="95하U$가격"/>
      <sheetName val="3.6.2남양주택배"/>
      <sheetName val="Manual"/>
      <sheetName val="Back Data 1"/>
      <sheetName val="__"/>
      <sheetName val="슬래԰"/>
      <sheetName val="슬래"/>
      <sheetName val="슬래렀"/>
      <sheetName val="슬래㰀"/>
      <sheetName val="슬래밀"/>
      <sheetName val="선급비용"/>
      <sheetName val="슬래　"/>
      <sheetName val="1월 예산"/>
      <sheetName val="슬래尀"/>
      <sheetName val="슬래⠀"/>
      <sheetName val="슬래"/>
      <sheetName val="슬래堌"/>
      <sheetName val="슬래䰀"/>
      <sheetName val="11월"/>
      <sheetName val="슬래簀"/>
      <sheetName val="슬래퀀"/>
      <sheetName val="슬래뀀"/>
      <sheetName val="슬래瀀"/>
      <sheetName val="슬래鰀"/>
      <sheetName val="BD%_70s"/>
      <sheetName val="특외대"/>
      <sheetName val=" 견적서"/>
      <sheetName val="#1) 투자 구분"/>
      <sheetName val="명단원자료(이전)"/>
      <sheetName val="전체철근집계"/>
      <sheetName val="접대비"/>
      <sheetName val="해외 기술훈련비 (합계)"/>
      <sheetName val="최소가치(간편)-회계"/>
      <sheetName val="회사제시"/>
      <sheetName val="소총괄표"/>
      <sheetName val="아파트연면적비율(참고1)"/>
      <sheetName val="Weekly Progress(계장)"/>
      <sheetName val="부하(성남)"/>
      <sheetName val="화전내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기초정보"/>
      <sheetName val="입찰내역_발주처_양식"/>
      <sheetName val="Data_Validation"/>
      <sheetName val="품목코드표"/>
      <sheetName val="부서별집계표"/>
      <sheetName val="금년실적"/>
      <sheetName val="Utility Usage YTN TOWER"/>
      <sheetName val="B-1.기본정보"/>
      <sheetName val="RAW"/>
      <sheetName val="Bond"/>
      <sheetName val="원본"/>
      <sheetName val="Facility_Information"/>
      <sheetName val="要員用master"/>
      <sheetName val="TB"/>
      <sheetName val="PL"/>
      <sheetName val="CS"/>
      <sheetName val="공정"/>
      <sheetName val="Master"/>
      <sheetName val="Macro1"/>
      <sheetName val="설문 평가"/>
      <sheetName val="예산계정INDEX"/>
      <sheetName val="환율change"/>
      <sheetName val="일반관리비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1_종합손익(도급)4"/>
      <sheetName val="대투_보관자료 변경"/>
      <sheetName val="내수자재"/>
      <sheetName val="약품공급2"/>
      <sheetName val="기둥(원형)"/>
      <sheetName val="sheet6"/>
      <sheetName val="선평원내역"/>
      <sheetName val="개산공사비"/>
      <sheetName val="원가1"/>
      <sheetName val="원가2"/>
      <sheetName val="U_TYPE_1_"/>
      <sheetName val="수량산출내역1115"/>
      <sheetName val="실행기성 갑지"/>
      <sheetName val="Eq. Mobilization"/>
      <sheetName val="소야공정계획표"/>
      <sheetName val="견적"/>
      <sheetName val="설치자재"/>
      <sheetName val="表21_净利润夐#奜#"/>
      <sheetName val="MAT"/>
      <sheetName val="최적단면"/>
      <sheetName val="날개수량1.5"/>
      <sheetName val="98수문일위"/>
      <sheetName val="종단계산"/>
      <sheetName val="산출근거(S4)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Code"/>
      <sheetName val="전기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기초자료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준검 내역서"/>
      <sheetName val="수목단가"/>
      <sheetName val="시설수량표"/>
      <sheetName val="식재수량표"/>
      <sheetName val="TYPE-1"/>
      <sheetName val="설계조건"/>
      <sheetName val="2013.2월 연결대상"/>
      <sheetName val="BS_Package_내부거래"/>
      <sheetName val="PL_Package_내부거래"/>
      <sheetName val="손익실적"/>
      <sheetName val="손익실적(매출원가)"/>
      <sheetName val="당년사별실적"/>
      <sheetName val="VXXXX"/>
      <sheetName val="탄산"/>
      <sheetName val="IS"/>
      <sheetName val="배수내역"/>
      <sheetName val="을-ATYPE"/>
      <sheetName val="기계경비"/>
      <sheetName val="조도계산서 (도서)"/>
      <sheetName val="기계"/>
      <sheetName val="정화조"/>
      <sheetName val="토목"/>
      <sheetName val="F 월별기성수금현황 "/>
      <sheetName val="FitOutConfCentre"/>
      <sheetName val="수량산출서 갑지"/>
      <sheetName val="MTP"/>
      <sheetName val="갑지"/>
      <sheetName val="부산제일극장"/>
      <sheetName val="6월 공嚺㓶가"/>
      <sheetName val="대전-교대(A1-A2)"/>
      <sheetName val="CAT_5"/>
      <sheetName val="제-노임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N賃率-職"/>
      <sheetName val="터널전기"/>
      <sheetName val="Rev. Recon 1"/>
      <sheetName val="1.고객불만건수"/>
      <sheetName val="1.변경범위"/>
      <sheetName val="CF表示組替表"/>
      <sheetName val="선택창"/>
      <sheetName val="외주현황.wq1"/>
      <sheetName val="RE"/>
      <sheetName val="FP"/>
      <sheetName val="FA-LISTING"/>
      <sheetName val="대투_보관자료_변경"/>
      <sheetName val="토목주소"/>
      <sheetName val="프랜트면허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고정자산-회사제시"/>
      <sheetName val="해외_기술훈련비_(합계)"/>
      <sheetName val="118_세금과공과"/>
      <sheetName val="I一般比"/>
      <sheetName val="予算実績管理現況"/>
      <sheetName val="추정pl"/>
      <sheetName val="분석가정"/>
      <sheetName val="배열수식"/>
      <sheetName val="일위대가목차"/>
      <sheetName val="1"/>
      <sheetName val="EP0618"/>
      <sheetName val="KEY CODE"/>
      <sheetName val="설비등록׃⼫"/>
      <sheetName val="설비등록_x0010__x0000_"/>
      <sheetName val="2-1.강사료,교통비 지급명세"/>
      <sheetName val="13.포장용역비표준"/>
      <sheetName val="9.가공부자재표준"/>
      <sheetName val="8.ROLL표준(TSW)"/>
      <sheetName val="4.톤당조관량표준"/>
      <sheetName val="5.조관부자재표준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1. 작성방식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Index"/>
      <sheetName val="compare2"/>
      <sheetName val="Krw"/>
      <sheetName val="BS"/>
      <sheetName val="C1.3.1"/>
      <sheetName val="부대공Ⅱ"/>
      <sheetName val="입찰내역 Ĉ_x0000__x0000_ᇆ"/>
      <sheetName val="입찰내역 Ĉ_x0000__x0000_ᇆ"/>
      <sheetName val="정보화기기매출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현용"/>
      <sheetName val="현장"/>
      <sheetName val="MH_생산"/>
      <sheetName val="구분List"/>
      <sheetName val="기본"/>
      <sheetName val="10월_vs_12월_채권잔액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상품입력"/>
      <sheetName val="월별자료"/>
      <sheetName val="기초정보 코드"/>
      <sheetName val="계좌정보"/>
      <sheetName val="1월~9월"/>
      <sheetName val="sum_x0008__x0000__x000d__x0000__x0006__x0000_"/>
      <sheetName val="Ѐ܀ऀ܀؀਀؀Ԁ̀Ѐ̀Ѐࠀ܀ఀ؀܀"/>
      <sheetName val="숨김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입찰내역_발주처_양식1"/>
      <sheetName val="근거_및_가정"/>
      <sheetName val="09~10년_매출계획1"/>
      <sheetName val="2_카드채권(대출포함)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1_차입금"/>
      <sheetName val="2_주요계수총괄1"/>
      <sheetName val="Data_Validation1"/>
      <sheetName val="1_본사계정별1"/>
      <sheetName val="부대시행1_(2)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PAD_TR보호대기초"/>
      <sheetName val="1월_예산"/>
      <sheetName val="_견적서"/>
      <sheetName val="해외_기술훈련비_(합계)1"/>
      <sheetName val="#1)_투자_구분"/>
      <sheetName val="1__시공측량"/>
      <sheetName val="수종별수량_(2)"/>
      <sheetName val="Utility_Usage_YTN_TOWER"/>
      <sheetName val="B-1_기본정보"/>
      <sheetName val="설산1_나"/>
      <sheetName val="?"/>
      <sheetName val="설문_평가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표시트"/>
      <sheetName val="カテゴリ表"/>
      <sheetName val="카드채권(대출포함)"/>
      <sheetName val="공통"/>
      <sheetName val="T6-6(7)"/>
      <sheetName val="안산기계장치"/>
      <sheetName val="공시용PL"/>
      <sheetName val="97손익계획"/>
      <sheetName val="가정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그룹자료"/>
      <sheetName val="임율자료"/>
      <sheetName val="A(Rev.3)"/>
      <sheetName val="중기일위대가"/>
      <sheetName val="전기자료"/>
      <sheetName val="Sheet10"/>
      <sheetName val="호남본"/>
      <sheetName val="일위대가(목록)"/>
      <sheetName val="재료비"/>
      <sheetName val="협가표"/>
      <sheetName val="지장물C"/>
      <sheetName val="기성현황집계표"/>
      <sheetName val="6호기"/>
      <sheetName val="BATCH"/>
      <sheetName val="특수선일위대가"/>
      <sheetName val="1-1"/>
      <sheetName val="견적내역서"/>
      <sheetName val="wall"/>
      <sheetName val="시험장S자로가로등공사"/>
      <sheetName val="총괄집계표"/>
      <sheetName val="합계표"/>
      <sheetName val="견적을지"/>
      <sheetName val="Sheet17"/>
      <sheetName val="_x0018__"/>
      <sheetName val="공통비_x0000__x0000_ʯ"/>
      <sheetName val="공통비_x0000_í遘̩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선택지"/>
      <sheetName val="Congfig"/>
      <sheetName val="Bank code"/>
      <sheetName val="총수율"/>
      <sheetName val="11"/>
      <sheetName val="Drop-down RAW"/>
      <sheetName val="1공구산출내역서"/>
      <sheetName val="BSD (2)"/>
      <sheetName val="아산추가1220"/>
      <sheetName val="1.수인터널"/>
      <sheetName val="드롭다운"/>
      <sheetName val="support"/>
      <sheetName val="000000"/>
      <sheetName val="목록!"/>
      <sheetName val="마스터0919"/>
      <sheetName val="공시용CF"/>
      <sheetName val="BM_NEW2"/>
      <sheetName val="pg15"/>
      <sheetName val="2.6 三无 (2)"/>
      <sheetName val="노임단가(공사)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7_공사비집_x0000__x0000_Ā_x0000__x0005__x0000_翸_x0000_"/>
      <sheetName val="가설공사내역"/>
      <sheetName val="401"/>
      <sheetName val="첨부#2.Cash Flow(현장작성)"/>
      <sheetName val="M&amp;Q Lead"/>
      <sheetName val="코드관리"/>
      <sheetName val="4.1 월별 에너지 사용량"/>
      <sheetName val="_x005f_x005f_x005f_x0018__x005f_x005f_x005f_x0000_"/>
      <sheetName val="_x005f_x0018_?"/>
      <sheetName val="슬래_xd800_"/>
      <sheetName val="월간공정표(04월))"/>
      <sheetName val="교량하부공"/>
      <sheetName val="1~9 하중계산"/>
      <sheetName val="정공공사"/>
      <sheetName val="입찰내역 Ĉ"/>
      <sheetName val="3.일반사상"/>
      <sheetName val="月度設定"/>
      <sheetName val="외부자료"/>
      <sheetName val="Exchange rate"/>
      <sheetName val="euc"/>
      <sheetName val="필요면적"/>
      <sheetName val="STANDARD"/>
      <sheetName val="한계원가"/>
      <sheetName val="시스템 개요 유효값"/>
      <sheetName val="단기차입금(200006)"/>
      <sheetName val="有型区分分类"/>
      <sheetName val="업무 분류(Category)"/>
      <sheetName val="작성양식"/>
      <sheetName val="유효성검사"/>
      <sheetName val="7상품수"/>
      <sheetName val="수정양식"/>
      <sheetName val="#1 Basic"/>
      <sheetName val="만기"/>
      <sheetName val="월별비교(물리)"/>
      <sheetName val="CODE生成机"/>
      <sheetName val="조직필터"/>
      <sheetName val="산자사 운전용품"/>
      <sheetName val="DB"/>
      <sheetName val="기성"/>
      <sheetName val="BQ"/>
      <sheetName val="Basic"/>
      <sheetName val="집계"/>
      <sheetName val="OUTER_A՜_x0000_缀_x0000__x0000__x0000_尀빙끯"/>
      <sheetName val="산출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항목(1)"/>
      <sheetName val="BOOK4"/>
      <sheetName val="증감대비"/>
      <sheetName val="공종단가"/>
      <sheetName val="오류항목"/>
      <sheetName val="기본일위"/>
      <sheetName val="유리단가"/>
      <sheetName val="gr_val"/>
      <sheetName val="gr_sum"/>
      <sheetName val="sum_x0008_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__한국_AMP_ASP-23_판매가격__4"/>
      <sheetName val="제조원가_원단위_분석4"/>
      <sheetName val="종합표양식(품의_&amp;_입고)_24"/>
      <sheetName val="기성청구_공문5"/>
      <sheetName val="b_balju_(2)4"/>
      <sheetName val="중기조종사_단위단가4"/>
      <sheetName val="6PILE__(돌출)4"/>
      <sheetName val="원가관리_(동월대비)4"/>
      <sheetName val="2-2_매출분석4"/>
      <sheetName val="몰드시스템_리스트4"/>
      <sheetName val="7_(2)4"/>
      <sheetName val="11_외화채무증권(AFS,HTM)084"/>
      <sheetName val="13_감액TEST_084"/>
      <sheetName val="Sheet1_(2)4"/>
      <sheetName val="12년_CF(9월)4"/>
      <sheetName val="sum1_(2)4"/>
      <sheetName val="2_대외공문4"/>
      <sheetName val="表21_净利润调节表4"/>
      <sheetName val="3_바닥판설계4"/>
      <sheetName val="2_총괄표4"/>
      <sheetName val="입찰내역_발주처_양식2"/>
      <sheetName val="2_주요계수총괄2"/>
      <sheetName val="입출재고현황_(2)2"/>
      <sheetName val="Project_Brief2"/>
      <sheetName val="504전기실_동부하-L4"/>
      <sheetName val="TRE_TABLE2"/>
      <sheetName val="단면_(2)2"/>
      <sheetName val="OUTER_AREA(겹침없음)4"/>
      <sheetName val="EL_표면적4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Process_List3"/>
      <sheetName val="제시_손익계산서3"/>
      <sheetName val="업무연락_(2)3"/>
      <sheetName val="M_7회차_담금_계획3"/>
      <sheetName val="01_02월_성과급4"/>
      <sheetName val="09~10년_매출계획2"/>
      <sheetName val="97_사업추정(WEKI)2"/>
      <sheetName val="팀별_실적3"/>
      <sheetName val="팀별_실적_(환산)3"/>
      <sheetName val="6월_공정외주2"/>
      <sheetName val="Tong_hop2"/>
      <sheetName val="95_1_1이후취득자산(숨기기상태)2"/>
      <sheetName val="1_MDF1공장2"/>
      <sheetName val="Facility_Information2"/>
      <sheetName val="P_M_별3"/>
      <sheetName val="Data_Validation2"/>
      <sheetName val="PAD_TR보호대기초1"/>
      <sheetName val="1__시공측량1"/>
      <sheetName val="1_본사계정별2"/>
      <sheetName val="납부내역총괄표_(수정)1"/>
      <sheetName val="근거_및_가정1"/>
      <sheetName val="2_카드채권(대출포함)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4__Inj_투자상세내역3"/>
      <sheetName val="3__Blow_투자_상세내역3"/>
      <sheetName val="Jul-Sep_Actual_cost_(2)1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3_ISo_YTD3"/>
      <sheetName val="E_法规NC3"/>
      <sheetName val="Données_LMU3"/>
      <sheetName val="Brazil_Sovereign3"/>
      <sheetName val="Resumen_Costo3"/>
      <sheetName val="Fixed_ZBB3"/>
      <sheetName val="5_13"/>
      <sheetName val="Extract_Loss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Base_de_Dados3"/>
      <sheetName val="Testing_Template_Guidance3"/>
      <sheetName val="Test_Programs3"/>
      <sheetName val="Dados_BLP3"/>
      <sheetName val="Controls_data5"/>
      <sheetName val="FJJX_Bud_IB2"/>
      <sheetName val="look-up_data2"/>
      <sheetName val="JOB_PROFILE_-_LAS3"/>
      <sheetName val="ARdistr_(2)3"/>
      <sheetName val="Prd_Hierarchy(产品层级)2"/>
      <sheetName val="Com_(2PK)2"/>
      <sheetName val="Prd_Hierarchy(产品层次)2"/>
      <sheetName val="Project_Code2"/>
      <sheetName val="15년_BL_사계2"/>
      <sheetName val="_손익기01_XL2"/>
      <sheetName val="drop_down_list2"/>
      <sheetName val="[손익기01_XL_x005f_x0000__x005f_x0000_DePara2"/>
      <sheetName val="[손익기01_XL2"/>
      <sheetName val="Income_Stmt2"/>
      <sheetName val="Quarterly_LBO_Model2"/>
      <sheetName val="_손익기01_XL_x005f_x0000__x005f_x0000_DePara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3YP2016-Bottom_up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Master_Data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_x005f_x0018__"/>
      <sheetName val="전기요금 산출내역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TOWER 12TON"/>
      <sheetName val="TOWER 10TON"/>
      <sheetName val="JIB CRANE,HOIST"/>
      <sheetName val="1TL종점(1)"/>
      <sheetName val="640ꠌ᜹렀㣃씃"/>
      <sheetName val="640ꠏ᜹쀀씃"/>
      <sheetName val="Basic Information"/>
      <sheetName val="504전기실_x0000__x0000__x0001_Ԁ_x0000_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생산성(2차)"/>
      <sheetName val="요약(1차)"/>
      <sheetName val="자금_제_x0000__x0000_Ԁ_x0000_"/>
      <sheetName val="01_02월_성B_x0000_"/>
      <sheetName val="C1ㅇ"/>
      <sheetName val="단가조정"/>
      <sheetName val="자판실행"/>
      <sheetName val="工완성공사율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부대내역"/>
      <sheetName val="NKC (final)"/>
      <sheetName val="날개벽수량표"/>
      <sheetName val="관리자"/>
      <sheetName val="받을어음"/>
      <sheetName val="구분 Table"/>
      <sheetName val="역T형옹벽(3.0)"/>
      <sheetName val="외상매출금현황-수정분 A2"/>
      <sheetName val="상불"/>
      <sheetName val="Assign"/>
      <sheetName val="합잔_역사"/>
      <sheetName val="01현금및현금성자산(ok)"/>
      <sheetName val="진행 DATA (2)"/>
      <sheetName val="_x005f_x005f_x005f_x0000__x005f_x005f_x005f_x0000_"/>
      <sheetName val="견적 맵"/>
      <sheetName val="Cntmrs"/>
      <sheetName val="JT3.0견적-구1"/>
      <sheetName val="Dropbox 목록"/>
      <sheetName val="기초단가"/>
      <sheetName val="파일의이용"/>
      <sheetName val="부대공사총괄"/>
      <sheetName val="건축공사집계표"/>
      <sheetName val="방배동내역 (총괄)"/>
      <sheetName val="기준재고"/>
      <sheetName val="수액원료4"/>
      <sheetName val="운반"/>
      <sheetName val="NG Item"/>
      <sheetName val="문의내용 카테고리 분류(수정X)"/>
      <sheetName val="네고14"/>
      <sheetName val="관리1"/>
      <sheetName val="연체리스료"/>
      <sheetName val="대차대조표-공시형"/>
      <sheetName val="VNHA"/>
      <sheetName val="hiddenSheet"/>
      <sheetName val="날개벽(시점좌측)"/>
      <sheetName val="미계약2"/>
      <sheetName val="_x005f_x0000_"/>
      <sheetName val="기타수지&amp;특별손익_ﹴÕ"/>
      <sheetName val="지급제한자"/>
      <sheetName val="Sheet475"/>
      <sheetName val="Diesel Price "/>
      <sheetName val="$bhp"/>
      <sheetName val="업무분장 "/>
      <sheetName val="7300-1000.11"/>
      <sheetName val="7300-1000_11"/>
      <sheetName val="기준Data"/>
      <sheetName val="PJT 현황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(참조)"/>
      <sheetName val="Investment Category"/>
      <sheetName val="1월"/>
      <sheetName val="회사전체"/>
      <sheetName val="_x005f_x005f_x005f_x0000__x005f"/>
      <sheetName val="소주(苏州)"/>
      <sheetName val="XREF"/>
      <sheetName val="Asset9809CAK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Classification_分类4"/>
      <sheetName val="tab_STATUS_DO_PROCESSO_4"/>
      <sheetName val="Perf__Plan__Diário14"/>
      <sheetName val="In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control sheet"/>
      <sheetName val="대환취급"/>
      <sheetName val="SS20"/>
      <sheetName val="SS10"/>
      <sheetName val="504전기실_Ç_x0000_Ԁ_x0000_瀀"/>
      <sheetName val="504전기실_Ç_x0000_Ԁ_x0000_退"/>
      <sheetName val="504전기실_壇멿︀ⳕԯ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1_차입금2"/>
      <sheetName val="부대시행1_(2)2"/>
      <sheetName val="3_6_2남양주택배2"/>
      <sheetName val="설산1_나2"/>
      <sheetName val="철거산출근거"/>
      <sheetName val="NCR_HEC_6 Opens"/>
      <sheetName val="NCR_HEC_4 Open &amp; Vendor_2 Opens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첨부#2_Cash_Flow(현장작성)"/>
      <sheetName val="7_공사비집Ā翸"/>
      <sheetName val="Bank_code"/>
      <sheetName val="Drop-down_RAW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이름표"/>
      <sheetName val="건축갑지"/>
      <sheetName val="건축내역서"/>
      <sheetName val="견적보고서"/>
      <sheetName val="토공(우물통,기타) "/>
      <sheetName val="Macro3"/>
      <sheetName val="6F8"/>
      <sheetName val="STRAT_PLAN_WKSHT1"/>
      <sheetName val="Sales_Plan_&amp;_other1"/>
      <sheetName val="drop_downs"/>
      <sheetName val="Basic_Information"/>
      <sheetName val="산자사_운전용품"/>
      <sheetName val="업무_분류(Category)"/>
      <sheetName val="3_일반사상"/>
      <sheetName val="Exchange_rate"/>
      <sheetName val="#1_Basic"/>
      <sheetName val="생산"/>
      <sheetName val="수량산출서 (2)"/>
      <sheetName val="국내_x0000__x0000_"/>
      <sheetName val="단가조사표"/>
      <sheetName val="Project Count"/>
      <sheetName val="Index1"/>
      <sheetName val="손익계산서"/>
      <sheetName val="대구은행"/>
      <sheetName val="원재료"/>
      <sheetName val="비품"/>
      <sheetName val="PF 현황(11년12월)"/>
      <sheetName val="Sensitivity and GC Value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공기연장현황"/>
      <sheetName val="_x005f_x005f_x005f_x005f_x005f_x005f_x005f_x0018__x005f"/>
      <sheetName val="_x005f_x005f_x005f_x0018__"/>
      <sheetName val="무형자산 LS11"/>
      <sheetName val="Global"/>
      <sheetName val="3.공통공사대비"/>
      <sheetName val="2002년12월"/>
      <sheetName val="현장관리비 산출내역"/>
      <sheetName val="일일투입집계표"/>
      <sheetName val="평가데이터"/>
      <sheetName val="001"/>
      <sheetName val="노원열병합  건축공사기성내역서"/>
      <sheetName val="7_공사비집"/>
      <sheetName val="원가관리_(동월대-_x0000_Ԁ"/>
      <sheetName val="증감내역서"/>
      <sheetName val="FAB별"/>
      <sheetName val="__Dscljh_c_EXCEL________1_96__2"/>
      <sheetName val="tifico"/>
      <sheetName val="합산목표(감가+5_x0000__x0000_Ԁ_x0000_䀀"/>
      <sheetName val="_Cash_Flow(자_x0000__x0000_"/>
      <sheetName val="간접비"/>
      <sheetName val="6PILE__(Y_x0000__x0000_"/>
      <sheetName val="6PILE__(剙_x0010__x0000_"/>
      <sheetName val="입찰내역 _x0000__x0000__x0000__x0001_Ԁ_x0000_"/>
      <sheetName val="상반기손익차2총괄"/>
      <sheetName val="master(ZH)"/>
      <sheetName val="91"/>
      <sheetName val="생산1-2"/>
      <sheetName val="생산1-1"/>
      <sheetName val="매출계획"/>
      <sheetName val="품의서개정(갑)"/>
      <sheetName val="10.예산 및 원가 계획(02년)"/>
      <sheetName val="2_주요계수총괄3"/>
      <sheetName val="Project_Brief3"/>
      <sheetName val="P_M_별4"/>
      <sheetName val="단면_(2)3"/>
      <sheetName val="Facility_Information3"/>
      <sheetName val="1_본사계정별3"/>
      <sheetName val="전선_및_전선관2"/>
      <sheetName val="Utility_Usage_YTN_TOWER2"/>
      <sheetName val="118_세금과공과3"/>
      <sheetName val="Back_Data_13"/>
      <sheetName val="_견적서2"/>
      <sheetName val="해외_기술훈련비_(합계)3"/>
      <sheetName val="1월_예산2"/>
      <sheetName val="#1)_투자_구분2"/>
      <sheetName val="B-1_기본정보2"/>
      <sheetName val="설문_평가2"/>
      <sheetName val="대투_보관자료_변경2"/>
      <sheetName val="실행기성_갑지2"/>
      <sheetName val="Eq__Mobilization1"/>
      <sheetName val="날개수량1_51"/>
      <sheetName val="G_R300경비1"/>
      <sheetName val="AS포장복구_1"/>
      <sheetName val="설_계1"/>
      <sheetName val="준검_내역서1"/>
      <sheetName val="2013_2월_연결대상2"/>
      <sheetName val="조도계산서_(도서)1"/>
      <sheetName val="F_월별기성수금현황_1"/>
      <sheetName val="수량산출서_갑지1"/>
      <sheetName val="외주현황_wq12"/>
      <sheetName val="KEY_CODE2"/>
      <sheetName val="6월_공嚺㓶가1"/>
      <sheetName val="Rev__Recon_11"/>
      <sheetName val="1_고객불만건수1"/>
      <sheetName val="1_변경범위1"/>
      <sheetName val="2-1_강사료,교통비_지급명세2"/>
      <sheetName val="13_포장용역비표준2"/>
      <sheetName val="9_가공부자재표준2"/>
      <sheetName val="8_ROLL표준(TSW)2"/>
      <sheetName val="4_톤당조관량표준2"/>
      <sheetName val="5_조관부자재표준2"/>
      <sheetName val="1__작성방식1"/>
      <sheetName val="2-2_투자2"/>
      <sheetName val="Proj__Fin_2"/>
      <sheetName val="ITS_Assumptions1"/>
      <sheetName val="Master_Data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7_Utility_Analysis1"/>
      <sheetName val="Operational_Activities1"/>
      <sheetName val="C1_3_11"/>
      <sheetName val="기초정보_코드1"/>
      <sheetName val="A(Rev_3)1"/>
      <sheetName val="표)CFT장_조직별_배분1"/>
      <sheetName val="20180214_P&amp;T1"/>
      <sheetName val="Ref__중점_추진_과제별_상세1"/>
      <sheetName val="2_6_三无_(2)1"/>
      <sheetName val="Worker_List1"/>
      <sheetName val="GB-IC_Villingen_GG1"/>
      <sheetName val="1~9_하중계산"/>
      <sheetName val="504전기실Ԁ"/>
      <sheetName val="BSD_(2)"/>
      <sheetName val="시스템_개요_유효값"/>
      <sheetName val="전기요금_산출내역"/>
      <sheetName val="TOWER_12TON"/>
      <sheetName val="TOWER_10TON"/>
      <sheetName val="JIB_CRANE,HOIST"/>
      <sheetName val="_x005f_x0000__㴐ኰ"/>
      <sheetName val="_x005f_x0000__움ᕕ"/>
      <sheetName val="2_실행ﶻ"/>
      <sheetName val="통က_x0000_"/>
      <sheetName val="공통부대비"/>
      <sheetName val="체신주조서"/>
      <sheetName val="1.설계기준"/>
      <sheetName val="첨부1-2. 증감사유내역서(을)"/>
      <sheetName val="총 원가계산"/>
      <sheetName val="신당동집계표"/>
      <sheetName val="식재총괄"/>
      <sheetName val="공사"/>
      <sheetName val="제조원가_원단ၒ_x0000__x0000__x0000_"/>
      <sheetName val="제조원가_원단_x0010__x0000_༘֜"/>
      <sheetName val="제조원가_원단_x0000_ī_x0000_"/>
      <sheetName val="단가산출서"/>
      <sheetName val="원가관리_(동월대-"/>
      <sheetName val="OUTER_A՜"/>
      <sheetName val="자금_제"/>
      <sheetName val="집계확_x0000_"/>
      <sheetName val="단면치수"/>
      <sheetName val="2.FM Fee_2차년도"/>
      <sheetName val="3.감가장비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____"/>
      <sheetName val="Ref. Spec Review 양식"/>
      <sheetName val="Ref. 시험항목 테이블"/>
      <sheetName val="Ref. Search Result 테이블"/>
      <sheetName val="견적서"/>
      <sheetName val="이자"/>
      <sheetName val="조도"/>
      <sheetName val="유효성 목록"/>
      <sheetName val="드롭다운(수정금지)"/>
      <sheetName val="설계내역양식"/>
      <sheetName val="물가대비표"/>
      <sheetName val="ALK_Chi tiết công nợ"/>
      <sheetName val="Parem"/>
      <sheetName val="CHITIET VL-NC-TT1p"/>
      <sheetName val="TONGKE3p"/>
      <sheetName val="골조"/>
      <sheetName val="4월25일실행"/>
      <sheetName val="경계석,골재외 (2)"/>
      <sheetName val="참고3.DATA"/>
      <sheetName val="PH 5"/>
      <sheetName val="bar chart-rev"/>
      <sheetName val="1.설계조건"/>
      <sheetName val="공통비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입찰내역 _x0000_⊍_x0000__x0000_∀的"/>
      <sheetName val="1_종합손익(주택,绘ÿ헾⽊"/>
      <sheetName val="sum "/>
      <sheetName val="제조원가_원단_x0000_좏_x0000__x0000_"/>
      <sheetName val="제조원가_원단_x0000_泀_x0000__x0000_"/>
      <sheetName val="경상직원"/>
      <sheetName val="Ⅴ-2.공종별내역"/>
      <sheetName val="P-J"/>
      <sheetName val="本月预计"/>
      <sheetName val="1)추진현황"/>
      <sheetName val="매출회전"/>
      <sheetName val="TMPA"/>
      <sheetName val="소방사항"/>
      <sheetName val="방배2E"/>
      <sheetName val="_x005f_x0000__"/>
      <sheetName val="504전기실"/>
      <sheetName val="철거공사1"/>
      <sheetName val="Planilha_relts??eos7"/>
      <sheetName val="Menu_Link"/>
      <sheetName val="간접경상비"/>
      <sheetName val="23기-3분기결산PL"/>
      <sheetName val="경영비율 "/>
      <sheetName val="계정정보"/>
      <sheetName val="기준정보基准信息参考"/>
      <sheetName val="FORM4"/>
      <sheetName val="FORM1"/>
      <sheetName val="FORM2"/>
      <sheetName val="FORM3"/>
      <sheetName val="FORM5"/>
      <sheetName val="FORM10"/>
      <sheetName val="FORM15"/>
      <sheetName val="FORM16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Sheet16"/>
      <sheetName val="B05"/>
      <sheetName val="B07"/>
      <sheetName val="A02"/>
      <sheetName val="A04"/>
      <sheetName val="A13"/>
      <sheetName val="B08"/>
      <sheetName val="B10"/>
      <sheetName val="공사비지급"/>
      <sheetName val="SPT vs PHI"/>
      <sheetName val="main"/>
      <sheetName val="무역한도관리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사업단위"/>
      <sheetName val="품목리스트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기본사항"/>
      <sheetName val="20년 동일기간 소테마"/>
      <sheetName val="연결조정사항(2019)"/>
      <sheetName val="TLoss"/>
      <sheetName val="0304"/>
      <sheetName val="예총"/>
      <sheetName val="Bank_code1"/>
      <sheetName val="Drop-down_RAW1"/>
      <sheetName val="Basic_Information1"/>
      <sheetName val="Exchange_rate1"/>
      <sheetName val="NG_Item"/>
      <sheetName val="Ref__Spec_Review_양식"/>
      <sheetName val="Ref__시험항목_테이블"/>
      <sheetName val="Ref__Search_Result_테이블"/>
      <sheetName val="07.01"/>
      <sheetName val="1__작성방식2"/>
      <sheetName val="표)CFT장_조직별_배분2"/>
      <sheetName val="20180214_P&amp;T2"/>
      <sheetName val="Ref__중점_추진_과제별_상세2"/>
      <sheetName val="Bank_code2"/>
      <sheetName val="Drop-down_RAW2"/>
      <sheetName val="Basic_Information2"/>
      <sheetName val="Exchange_rate2"/>
      <sheetName val="진행_DATA_(2)1"/>
      <sheetName val="Ref__Spec_Review_양식1"/>
      <sheetName val="Ref__시험항목_테이블1"/>
      <sheetName val="Ref__Search_Result_테이블1"/>
      <sheetName val="NG_Item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M&amp;Q_Lead1"/>
      <sheetName val="sum"/>
      <sheetName val="OH_"/>
      <sheetName val="경영비율_"/>
      <sheetName val="Dropbox_목록"/>
      <sheetName val="카테고리 분류 (수정X)"/>
      <sheetName val="퇴직사유"/>
      <sheetName val="변동률산출"/>
      <sheetName val="완성차 미수금"/>
      <sheetName val="504전기실__x0000_Ԁ_x0000_"/>
      <sheetName val="504전기실__x0000_Ԁ_x0000_က"/>
      <sheetName val="PAD_TR보호대기초3"/>
      <sheetName val="1__시공측량3"/>
      <sheetName val="근거_및_가정3"/>
      <sheetName val="설산1_나3"/>
      <sheetName val="1_차입금3"/>
      <sheetName val="수종별수량_(2)3"/>
      <sheetName val="납부내역총괄표_(수정)3"/>
      <sheetName val="부대시행1_(2)3"/>
      <sheetName val="3_6_2남양주택배3"/>
      <sheetName val="Weekly_Progress(계장)3"/>
      <sheetName val="입찰내역_Ĉ1"/>
      <sheetName val="1_수인터널1"/>
      <sheetName val="NCR_HEC_6_Opens"/>
      <sheetName val="NCR_HEC_4_Open_&amp;_Vendor_2_Opens"/>
      <sheetName val="JT3_0견적-구1"/>
      <sheetName val="방배동내역_(총괄)"/>
      <sheetName val="암거날개벽"/>
      <sheetName val="합산목표(감가+5"/>
      <sheetName val="504전기실_Ç"/>
      <sheetName val="▶ 일일출역 집계_20210819143316"/>
      <sheetName val="견적 (2)"/>
      <sheetName val="ITB COST"/>
      <sheetName val="类别"/>
      <sheetName val="(실사조정)총괄"/>
      <sheetName val="T13(P68~72,78)"/>
      <sheetName val="종합표양식(품의좲_xdd02_쒥⠀쮎_x001d__x0000__x0000_"/>
      <sheetName val="직종부호"/>
      <sheetName val="CERTIFICATE"/>
      <sheetName val="기본값"/>
      <sheetName val="F4-F7"/>
      <sheetName val="Supplement2"/>
      <sheetName val="3.판관비명세서"/>
      <sheetName val="단기대여금"/>
      <sheetName val="장기대여금"/>
      <sheetName val="운영경비 세부작성근거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⑤항목별2"/>
      <sheetName val="산출기준(파견전산실)"/>
      <sheetName val="보빈규격"/>
      <sheetName val="__한국_AMP_ASP-23_판매가격_롟"/>
      <sheetName val="기타코드"/>
      <sheetName val="2014"/>
      <sheetName val="2018"/>
      <sheetName val="유림콘도"/>
      <sheetName val="97노임단가"/>
      <sheetName val="입력란"/>
      <sheetName val="자료입력"/>
      <sheetName val="입찰내역 "/>
      <sheetName val="통က"/>
      <sheetName val="제조원가_원단"/>
      <sheetName val="제조원가_원단_x0010_"/>
      <sheetName val="토지평가조서(발송용)"/>
      <sheetName val=" Drop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책임준비금"/>
      <sheetName val="CIP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제조원가_원단_x0000_ǻ_x0000_"/>
      <sheetName val="Process Li"/>
      <sheetName val="sum_x0008__x0000_ _x0000__x0006__x0000_"/>
      <sheetName val="슬래?"/>
      <sheetName val="_x005f_x0000__x005f"/>
      <sheetName val="[손익기01_XL_x0000__x0000_DePara10"/>
      <sheetName val="_손익기01_XL_x0000__x0000_DePara10"/>
      <sheetName val="_손익기01_XL_x0000__x05"/>
      <sheetName val="_손익기01_XL_x0000__x4"/>
      <sheetName val="_손익기01_XL_x0000__x5"/>
      <sheetName val="_손익기01_XL_x0000__x6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단양 00 아파트-세부내역"/>
      <sheetName val="토지조서(원본)"/>
      <sheetName val="입찰내역"/>
      <sheetName val="물가정보"/>
      <sheetName val="정부노임"/>
      <sheetName val="OH_Cost경비(배부呸2닑"/>
      <sheetName val="경영혁신본부"/>
      <sheetName val="MTP1"/>
      <sheetName val="anaysis_sheet"/>
      <sheetName val="주관사업"/>
      <sheetName val="4Q주석"/>
      <sheetName val="다목적갑"/>
      <sheetName val="Warranty"/>
      <sheetName val="실행내역서 "/>
      <sheetName val="수량이동"/>
      <sheetName val="L형옹벽"/>
      <sheetName val="Quantity"/>
      <sheetName val="TTL"/>
      <sheetName val="돈암사업"/>
      <sheetName val="_x005f_x005f_x005f_x0018_"/>
      <sheetName val="2)단가비교표"/>
      <sheetName val="SHEET"/>
      <sheetName val="6PILE__(돌출_x0000_"/>
      <sheetName val="제조원가_원단_x0000_궰_x0000__x0000_"/>
      <sheetName val="제조원가_원단_x0000_聏_x0000__x0000_"/>
      <sheetName val="참고(3)고정비"/>
      <sheetName val="Rate Analysis"/>
      <sheetName val="EE-PROP"/>
      <sheetName val="집계표(OPTION)"/>
      <sheetName val="일위"/>
      <sheetName val="1) MALL"/>
      <sheetName val="DRUM"/>
      <sheetName val="장비명"/>
      <sheetName val="Ext. Stone-P"/>
      <sheetName val="원형1호맨홀토공수량"/>
      <sheetName val="본사공가현황"/>
      <sheetName val="96보완계획7.12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Process Li 鸴"/>
      <sheetName val="ENE-CAL"/>
      <sheetName val="제주환경순환센터"/>
      <sheetName val="영업보증금"/>
      <sheetName val="SS215065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설비등록ၒ_x0000_"/>
      <sheetName val="가설전기별첨"/>
      <sheetName val="@공통코드"/>
      <sheetName val="예산관리대장"/>
      <sheetName val="Xunit (단위환산)"/>
      <sheetName val="기준표"/>
      <sheetName val="2.Consideration sheet"/>
      <sheetName val="3. Export"/>
      <sheetName val="목록구분"/>
      <sheetName val="금액집계(리포트)"/>
      <sheetName val="HERO01"/>
      <sheetName val="인건비"/>
      <sheetName val="04_4월말_합병시_지분변동차액"/>
      <sheetName val="2007"/>
      <sheetName val="GL"/>
      <sheetName val="2003FX"/>
      <sheetName val="G2설비도급"/>
      <sheetName val="CAL1"/>
      <sheetName val="Cash2"/>
      <sheetName val="Z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유류대_현황1"/>
      <sheetName val="1__템플릿1"/>
      <sheetName val="2__작성_참고사항1"/>
      <sheetName val="mapping_(2)1"/>
      <sheetName val="Ref_1"/>
      <sheetName val="2_3_Projects_Status1"/>
      <sheetName val="Consolidated_Project_List1"/>
      <sheetName val="Fixed_Cost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3__Training_&amp;_travel"/>
      <sheetName val="Manage_to_Sustain"/>
      <sheetName val="Meeting_List"/>
      <sheetName val="Packages_Info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2_FM_Fee_2차년도"/>
      <sheetName val="3_감가장비"/>
      <sheetName val="B"/>
      <sheetName val="member design"/>
      <sheetName val="design criteria"/>
      <sheetName val="working load at the btm ft."/>
      <sheetName val="plan&amp;section of foundation"/>
      <sheetName val="SRS_월별_BS1"/>
      <sheetName val="평가&amp;선급_미지급1"/>
      <sheetName val="EXC_IND"/>
      <sheetName val="COLOR별_인쇄"/>
      <sheetName val="Mot_So_Thuat_Ngu_EN-VI1"/>
      <sheetName val="Project_Brief4"/>
      <sheetName val="2_주요계수총괄4"/>
      <sheetName val="단면_(2)4"/>
      <sheetName val="P_M_별5"/>
      <sheetName val="1__시공측량4"/>
      <sheetName val="Facility_Information4"/>
      <sheetName val="1_본사계정별4"/>
      <sheetName val="PAD_TR보호대기초4"/>
      <sheetName val="근거_및_가정4"/>
      <sheetName val="118_세금과공과4"/>
      <sheetName val="수종별수량_(2)4"/>
      <sheetName val="납부내역총괄표_(수정)4"/>
      <sheetName val="Weekly_Progress(계장)4"/>
      <sheetName val="설산1_나4"/>
      <sheetName val="1_차입금4"/>
      <sheetName val="전선_및_전선관3"/>
      <sheetName val="해외_기술훈련비_(합계)4"/>
      <sheetName val="설문_평가3"/>
      <sheetName val="부대시행1_(2)4"/>
      <sheetName val="3_6_2남양주택배4"/>
      <sheetName val="Back_Data_14"/>
      <sheetName val="_견적서3"/>
      <sheetName val="1월_예산3"/>
      <sheetName val="#1)_투자_구분3"/>
      <sheetName val="실행기성_갑지3"/>
      <sheetName val="Eq__Mobilization2"/>
      <sheetName val="Utility_Usage_YTN_TOWER3"/>
      <sheetName val="수량산출서_갑지2"/>
      <sheetName val="B-1_기본정보3"/>
      <sheetName val="대투_보관자료_변경3"/>
      <sheetName val="KEY_CODE3"/>
      <sheetName val="준검_내역서2"/>
      <sheetName val="2013_2월_연결대상3"/>
      <sheetName val="G_R300경비2"/>
      <sheetName val="AS포장복구_2"/>
      <sheetName val="설_계2"/>
      <sheetName val="외주현황_wq1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날개수량1_52"/>
      <sheetName val="Rev__Recon_12"/>
      <sheetName val="1_고객불만건수2"/>
      <sheetName val="1_변경범위2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F_월별기성수금현황_2"/>
      <sheetName val="조도계산서_(도서)2"/>
      <sheetName val="C1_3_12"/>
      <sheetName val="7_Utility_Analysis2"/>
      <sheetName val="Operational_Activities2"/>
      <sheetName val="6월_공嚺㓶가2"/>
      <sheetName val="기초정보_코드2"/>
      <sheetName val="1__작성방식3"/>
      <sheetName val="A(Rev_3)2"/>
      <sheetName val="BSD_(2)1"/>
      <sheetName val="표)CFT장_조직별_배분3"/>
      <sheetName val="20180214_P&amp;T3"/>
      <sheetName val="Ref__중점_추진_과제별_상세3"/>
      <sheetName val="2_6_三无_(2)2"/>
      <sheetName val="Worker_List2"/>
      <sheetName val="GB-IC_Villingen_GG2"/>
      <sheetName val="입찰내역_Ĉ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M&amp;Q_Lead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4_1_월별_에너지_사용량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방배동내역_(총괄)1"/>
      <sheetName val="Bank_code3"/>
      <sheetName val="Drop-down_RAW3"/>
      <sheetName val="첨부#2_Cash_Flow(현장작성)1"/>
      <sheetName val="진행_DATA_(2)2"/>
      <sheetName val="견적_맵1"/>
      <sheetName val="JT3_0견적-구11"/>
      <sheetName val="Dropbox_목록1"/>
      <sheetName val="3_공통공사대비"/>
      <sheetName val="현장관리비_산출내역"/>
      <sheetName val="1_수인터널2"/>
      <sheetName val="#1_Basic2"/>
      <sheetName val="산자사_운전용품1"/>
      <sheetName val="Exchange_rate3"/>
      <sheetName val="업무_분류(Category)1"/>
      <sheetName val="3_일반사상1"/>
      <sheetName val="Basic_Information3"/>
      <sheetName val="NG_Item2"/>
      <sheetName val="시스템_개요_유효값1"/>
      <sheetName val="STRAT_PLAN_WKSHT3"/>
      <sheetName val="Sales_Plan_&amp;_other3"/>
      <sheetName val="drop_downs2"/>
      <sheetName val="NKC_(final)1"/>
      <sheetName val="토공(우물통,기타)_"/>
      <sheetName val="전기요금_산출내역1"/>
      <sheetName val="TOWER_12TON2"/>
      <sheetName val="TOWER_10TON2"/>
      <sheetName val="JIB_CRANE,HOIST2"/>
      <sheetName val="구분_Table1"/>
      <sheetName val="역T형옹벽(3_0)1"/>
      <sheetName val="외상매출금현황-수정분_A21"/>
      <sheetName val="문의내용_카테고리_분류(수정X)1"/>
      <sheetName val="Diesel_Price_1"/>
      <sheetName val="업무분장_1"/>
      <sheetName val="7300-1000_112"/>
      <sheetName val="PJT_현황1"/>
      <sheetName val="참고)_기준정보1"/>
      <sheetName val="Long_Term_Prices1"/>
      <sheetName val="control_sheet1"/>
      <sheetName val="NCR_HEC_6_Opens1"/>
      <sheetName val="NCR_HEC_4_Open_&amp;_Vendor_2_Open1"/>
      <sheetName val="첨부1-2__증감사유내역서(을)"/>
      <sheetName val="Ref__Spec_Review_양식2"/>
      <sheetName val="Ref__시험항목_테이블2"/>
      <sheetName val="Ref__Search_Result_테이블2"/>
      <sheetName val="10_예산_및_원가_계획(02년)"/>
      <sheetName val="입찰내역_Ԁ"/>
      <sheetName val="Project_Count1"/>
      <sheetName val="PF_현황(11년12월)1"/>
      <sheetName val="Sensitivity_and_GC_Value1"/>
      <sheetName val="무형자산_LS11"/>
      <sheetName val="ALK_Chi_tiết_công_nợ"/>
      <sheetName val="CHITIET_VL-NC-TT1p"/>
      <sheetName val="유효성_목록"/>
      <sheetName val="총_원가계산"/>
      <sheetName val="1_설계기준"/>
      <sheetName val="6PILE__(剙"/>
      <sheetName val="참고3_DATA"/>
      <sheetName val="입찰내역_⊍∀的"/>
      <sheetName val="Ⅴ-2_공종별내역"/>
      <sheetName val="경계석,골재외_(2)"/>
      <sheetName val="경영비율_1"/>
      <sheetName val="카테고리_분류_(수정X)"/>
      <sheetName val="SPT_vs_PHI"/>
      <sheetName val="07_01"/>
      <sheetName val="20년_동일기간_소테마"/>
      <sheetName val="3_판관비명세서"/>
      <sheetName val="제조원가_원단༘֜"/>
      <sheetName val="▶_일일출역_집계_20210819143316"/>
      <sheetName val="sum_"/>
      <sheetName val="UPA(Part_C,D,E,G,H)"/>
      <sheetName val="UPA(Part_F)"/>
      <sheetName val="일위대가_(Part_C,D,E,G,H)"/>
      <sheetName val="4월_매출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완성차_미수금"/>
      <sheetName val="견적_(2)"/>
      <sheetName val="ITB_COST"/>
      <sheetName val="입찰내역_"/>
      <sheetName val="종합표양식(품의좲쒥⠀쮎"/>
      <sheetName val="Process_Li"/>
      <sheetName val="_㴐ኰ"/>
      <sheetName val="_움ᕕ"/>
      <sheetName val="단양_00_아파트-세부내역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운영경비_세부작성근거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실행내역서_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96보완계획7_12"/>
      <sheetName val="Salary(해외)"/>
      <sheetName val="database"/>
      <sheetName val="KPIs- TTP, PTP, People Turnover"/>
      <sheetName val="部门"/>
      <sheetName val="1월 목표"/>
      <sheetName val="FILIAL MINAS"/>
      <sheetName val="info for drop box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SOP_Freshness1"/>
      <sheetName val="Dimension_IN_Sheet1!D19121"/>
      <sheetName val="Dimension_IN_19121"/>
      <sheetName val="辅助表格"/>
      <sheetName val="10 麦汁CIP清洗标准水量"/>
      <sheetName val="BU"/>
      <sheetName val="Tipo Viaje"/>
      <sheetName val="Flota y Personal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DESBAST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제임스짐 예상매출 for 2023B"/>
      <sheetName val="건축개요_"/>
      <sheetName val="TEMP2"/>
      <sheetName val="종합표양식(품의_&amp;¾_x0000__x0000__x0000__x0000_漁ן"/>
      <sheetName val="매출내역"/>
      <sheetName val="Name"/>
      <sheetName val="Essbase"/>
      <sheetName val="_Cash_Flo_x0000__x0000__x0000__x0000__x0000_"/>
      <sheetName val="DHEQSUPT"/>
      <sheetName val="Requirement(Work Crew)"/>
      <sheetName val="총괄표_전체"/>
      <sheetName val="총괄표_기본"/>
      <sheetName val="총괄표_확장"/>
      <sheetName val="_x005f_x0000__x00_x0000__x0000__x0000_"/>
      <sheetName val="투입계획서(변경)"/>
      <sheetName val="기안"/>
      <sheetName val="지하시설물작성"/>
      <sheetName val="사다리"/>
      <sheetName val="연간점유"/>
      <sheetName val="업무계획1"/>
      <sheetName val="CO"/>
      <sheetName val="표준공사비-조명제외x10%up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Noncurrent assets"/>
      <sheetName val="2장(1사업부)ERP"/>
      <sheetName val="1-11조직표"/>
      <sheetName val="97 사업추정(W؀_x0001__x0000__x0000_"/>
      <sheetName val="7_공사비집_x0000_跇˜_x0000__x0000__x0000_Ā_x0000_"/>
      <sheetName val="표건"/>
      <sheetName val="表21_净利润釘×㜀࠷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 refreshError="1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 refreshError="1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 refreshError="1"/>
      <sheetData sheetId="2227" refreshError="1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 refreshError="1"/>
      <sheetData sheetId="2273" refreshError="1"/>
      <sheetData sheetId="2274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/>
      <sheetData sheetId="2710" refreshError="1"/>
      <sheetData sheetId="2711" refreshError="1"/>
      <sheetData sheetId="2712" refreshError="1"/>
      <sheetData sheetId="2713" refreshError="1"/>
      <sheetData sheetId="2714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/>
      <sheetData sheetId="3044"/>
      <sheetData sheetId="3045"/>
      <sheetData sheetId="3046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/>
      <sheetData sheetId="3064" refreshError="1"/>
      <sheetData sheetId="3065" refreshError="1"/>
      <sheetData sheetId="3066" refreshError="1"/>
      <sheetData sheetId="3067" refreshError="1"/>
      <sheetData sheetId="3068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 refreshError="1"/>
      <sheetData sheetId="3171" refreshError="1"/>
      <sheetData sheetId="3172" refreshError="1"/>
      <sheetData sheetId="3173" refreshError="1"/>
      <sheetData sheetId="3174"/>
      <sheetData sheetId="3175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 refreshError="1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/>
      <sheetData sheetId="3618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/>
      <sheetData sheetId="4300"/>
      <sheetData sheetId="4301"/>
      <sheetData sheetId="4302" refreshError="1"/>
      <sheetData sheetId="4303" refreshError="1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 refreshError="1"/>
      <sheetData sheetId="4502" refreshError="1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/>
      <sheetData sheetId="4610"/>
      <sheetData sheetId="461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/>
      <sheetData sheetId="5349"/>
      <sheetData sheetId="5350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/>
      <sheetData sheetId="5380"/>
      <sheetData sheetId="5381"/>
      <sheetData sheetId="5382" refreshError="1"/>
      <sheetData sheetId="5383" refreshError="1"/>
      <sheetData sheetId="5384" refreshError="1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/>
      <sheetData sheetId="5428"/>
      <sheetData sheetId="5429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/>
      <sheetData sheetId="5468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 refreshError="1"/>
      <sheetData sheetId="5858" refreshError="1"/>
      <sheetData sheetId="5859" refreshError="1"/>
      <sheetData sheetId="5860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 refreshError="1"/>
      <sheetData sheetId="5982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 refreshError="1"/>
      <sheetData sheetId="7261" refreshError="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 refreshError="1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/>
      <sheetData sheetId="7327"/>
      <sheetData sheetId="7328"/>
      <sheetData sheetId="7329"/>
      <sheetData sheetId="7330"/>
      <sheetData sheetId="7331"/>
      <sheetData sheetId="7332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내역서"/>
      <sheetName val="산출서"/>
      <sheetName val="발주수량 검토"/>
      <sheetName val="첨부"/>
      <sheetName val="작업수당"/>
      <sheetName val="임대기간"/>
      <sheetName val="타워크레인 건널다리"/>
      <sheetName val="골조공사공정표"/>
      <sheetName val="골조 일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부대시설"/>
      <sheetName val="Apt내역"/>
      <sheetName val="1안가"/>
      <sheetName val="첨부6"/>
      <sheetName val="세금자료"/>
      <sheetName val="갑지(추정)"/>
      <sheetName val="자금운영"/>
      <sheetName val="유림콘도"/>
      <sheetName val="세대구분목록"/>
      <sheetName val="식재인부"/>
      <sheetName val="0226"/>
      <sheetName val="부산제일극장"/>
      <sheetName val="유림골조"/>
      <sheetName val="Inv_sum"/>
      <sheetName val="공사개요"/>
      <sheetName val="내역"/>
      <sheetName val="CTEMCOST"/>
      <sheetName val="품종별월계"/>
      <sheetName val="EE-PROP"/>
      <sheetName val="Eq. Mobilization"/>
      <sheetName val="내   역"/>
      <sheetName val="일위대가(가설)"/>
      <sheetName val="집계표"/>
      <sheetName val="목표세부명세"/>
      <sheetName val="Sheet1"/>
      <sheetName val="기성내역서(을지)"/>
      <sheetName val="건축집계"/>
      <sheetName val="Baby일위대가"/>
      <sheetName val="총사업비명세"/>
      <sheetName val="보고서"/>
      <sheetName val="안양2"/>
      <sheetName val="일반부표"/>
      <sheetName val="금융"/>
      <sheetName val="Eq__Mobilization"/>
      <sheetName val="내___역"/>
      <sheetName val="1062-X방향 "/>
      <sheetName val="조명시설"/>
      <sheetName val="공통비총괄표"/>
      <sheetName val="Sheet2"/>
      <sheetName val="Sheet1 (2)"/>
      <sheetName val="TTL"/>
      <sheetName val="코드"/>
      <sheetName val="2공구산출내역"/>
      <sheetName val="DHEQSUPT"/>
      <sheetName val="영업소실적"/>
      <sheetName val="FAB별"/>
      <sheetName val="3단계"/>
      <sheetName val="2단계"/>
      <sheetName val="전기"/>
      <sheetName val="★도급내역"/>
      <sheetName val="공비대비"/>
      <sheetName val="변경내역"/>
      <sheetName val="운반"/>
      <sheetName val="마산월령동골조물량변경"/>
      <sheetName val="기성내역"/>
      <sheetName val="DRUM"/>
      <sheetName val="VXXXXXXX"/>
      <sheetName val="형틀공사"/>
      <sheetName val="F4-F7"/>
      <sheetName val="교각계산"/>
      <sheetName val="일위대가"/>
      <sheetName val="회사정보"/>
      <sheetName val="갑지"/>
      <sheetName val="ENE-CAL"/>
      <sheetName val="중기 부표"/>
      <sheetName val="배수내역"/>
      <sheetName val="BID"/>
      <sheetName val="SG"/>
      <sheetName val="건축공사"/>
      <sheetName val=" FURNACE현설"/>
      <sheetName val="품셈TABLE"/>
      <sheetName val="상반기손익차2총괄"/>
      <sheetName val="수정시산표"/>
      <sheetName val="I. Assumptions"/>
      <sheetName val="cp1"/>
      <sheetName val="기계설비"/>
      <sheetName val="B"/>
      <sheetName val="A"/>
      <sheetName val="Standards"/>
      <sheetName val="카메라"/>
      <sheetName val="업무일지"/>
      <sheetName val="목록"/>
      <sheetName val="간접비"/>
      <sheetName val="4.2유효폭의 계산"/>
      <sheetName val="회신현황_주간업무보고 첨부"/>
      <sheetName val="연습"/>
      <sheetName val="내역 (2)"/>
      <sheetName val="DATA"/>
      <sheetName val="1.기성청구공문양식"/>
      <sheetName val="2.기성청구갑지"/>
      <sheetName val="경비원 "/>
      <sheetName val="U-TYPE(1)"/>
      <sheetName val="원가계산"/>
      <sheetName val="수량산출"/>
      <sheetName val="드롭다운"/>
      <sheetName val="드롭 다운"/>
      <sheetName val="드롭다운1"/>
      <sheetName val="분개장"/>
      <sheetName val="N賃率-職"/>
      <sheetName val="수리결과"/>
      <sheetName val="내역서"/>
      <sheetName val="본공사"/>
      <sheetName val="조건표"/>
      <sheetName val="설계"/>
      <sheetName val="부대내역"/>
      <sheetName val="인사자료총집계"/>
      <sheetName val="설계명세"/>
      <sheetName val="공통부대비"/>
      <sheetName val="기계경비 (2)"/>
      <sheetName val="토목공사"/>
      <sheetName val="단가표"/>
      <sheetName val="이름정의"/>
      <sheetName val="개산공사비"/>
      <sheetName val="발전기"/>
      <sheetName val="간선"/>
      <sheetName val="P-J"/>
      <sheetName val="산출근거"/>
      <sheetName val="#REF"/>
      <sheetName val="금액내역서"/>
      <sheetName val="설계명세서"/>
      <sheetName val="말뚝지지력산정"/>
      <sheetName val="사진"/>
      <sheetName val="사진 (2)"/>
      <sheetName val="주관사업"/>
      <sheetName val=""/>
      <sheetName val="부하계산서"/>
      <sheetName val="토공"/>
      <sheetName val="Sheet17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여과지동"/>
      <sheetName val="기초자료"/>
      <sheetName val="자재단가"/>
      <sheetName val="파이프류"/>
      <sheetName val="주안3차A-A"/>
      <sheetName val="Total"/>
      <sheetName val="견적정보"/>
      <sheetName val="차액보증"/>
      <sheetName val="예총"/>
      <sheetName val="입찰안"/>
      <sheetName val="결재서류"/>
      <sheetName val="원가서"/>
      <sheetName val="9GNG운반"/>
      <sheetName val="표지"/>
      <sheetName val="실행(ALT1)"/>
      <sheetName val="실행(표지,갑,을)"/>
      <sheetName val="확약서"/>
      <sheetName val="연결관암거"/>
      <sheetName val="신우"/>
      <sheetName val="정보"/>
      <sheetName val="실행대비_(2)"/>
      <sheetName val="유림총괄"/>
      <sheetName val="부하(성남)"/>
      <sheetName val="대치판정"/>
      <sheetName val="견적서"/>
      <sheetName val="확산동"/>
      <sheetName val="시화점실행"/>
      <sheetName val="실행철강하도"/>
      <sheetName val="노임"/>
      <sheetName val="할증"/>
      <sheetName val="실행내역"/>
      <sheetName val="현장관리비"/>
      <sheetName val="정부노임단가"/>
      <sheetName val="분석"/>
      <sheetName val="노임단가"/>
      <sheetName val="주경기-오배수"/>
      <sheetName val="공사"/>
      <sheetName val="입찰견적보고서"/>
      <sheetName val="코드표"/>
      <sheetName val="공정분류"/>
      <sheetName val="잡철물"/>
      <sheetName val="견적을지"/>
      <sheetName val="돈암사업"/>
      <sheetName val="음료실행"/>
      <sheetName val="일위대가(1)"/>
      <sheetName val="노임이"/>
      <sheetName val="단중"/>
      <sheetName val="프랜트면허"/>
      <sheetName val="토목주소"/>
      <sheetName val="APT"/>
      <sheetName val="본사인상전"/>
      <sheetName val="울산자동제어"/>
      <sheetName val="변경비교-을"/>
      <sheetName val="감액총괄표"/>
      <sheetName val="금호"/>
      <sheetName val="MATRLDATA"/>
      <sheetName val="소비자가"/>
      <sheetName val="실행내역서(DCU)"/>
      <sheetName val="CAPVC"/>
      <sheetName val="설계내역서"/>
      <sheetName val="CONCRETE"/>
      <sheetName val="Y-WORK"/>
      <sheetName val="EQT-ESTN"/>
      <sheetName val="1차 내역서"/>
      <sheetName val="교통대책내역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동원인원"/>
      <sheetName val="일위대가 "/>
      <sheetName val="덕전리"/>
      <sheetName val="실행"/>
      <sheetName val="FRP PIPING 일위대가"/>
      <sheetName val="단열-자재"/>
      <sheetName val="단가목록"/>
      <sheetName val="PAINT"/>
      <sheetName val="바이오"/>
      <sheetName val="냉천부속동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대림경상68억"/>
      <sheetName val="소방사항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정산ISSUE(T)"/>
      <sheetName val="블럭 손익"/>
      <sheetName val="개인별 순위표"/>
      <sheetName val="터널조도"/>
      <sheetName val="물량산출근거"/>
      <sheetName val="1. H2SO4_SUPPLY"/>
      <sheetName val="Contact Point"/>
      <sheetName val="건축(을)"/>
      <sheetName val="98수문일위"/>
      <sheetName val="TYPE-A"/>
      <sheetName val="DATE"/>
      <sheetName val="변경집계표"/>
      <sheetName val="그래프용Data"/>
      <sheetName val="견적조건"/>
      <sheetName val="5.세운W-A"/>
      <sheetName val="2. 주요공지（主要公告）"/>
      <sheetName val=" 견적서"/>
      <sheetName val="기준FACTOR"/>
      <sheetName val="단가조사"/>
      <sheetName val="WOC95467"/>
      <sheetName val="PLC B-M"/>
      <sheetName val="제-노임"/>
      <sheetName val="제직재"/>
      <sheetName val="직재"/>
      <sheetName val="일위"/>
      <sheetName val="건축내역"/>
      <sheetName val="실행갑지"/>
      <sheetName val="자동제어"/>
      <sheetName val="철근량"/>
      <sheetName val="직접비"/>
      <sheetName val="A-7-1LINE(수량)"/>
      <sheetName val="주요측점"/>
      <sheetName val="산출내역서집계표"/>
      <sheetName val="터파기및재료"/>
      <sheetName val="소방전기산출조서"/>
      <sheetName val="자료"/>
      <sheetName val="대비"/>
      <sheetName val="단가"/>
      <sheetName val="날개벽수량표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남양내역"/>
      <sheetName val="증감내역서"/>
      <sheetName val="변경실행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PI"/>
      <sheetName val="토공사B동추가"/>
      <sheetName val="계정"/>
      <sheetName val="콘크리트타설집계표"/>
      <sheetName val="프로젝트"/>
      <sheetName val="을지"/>
      <sheetName val="cable-data"/>
      <sheetName val=" 12,13라인 급탕열교환기 교체공사.xlsx"/>
      <sheetName val="도급"/>
      <sheetName val="지입자재집계표"/>
      <sheetName val="항목"/>
      <sheetName val="산출내역서"/>
      <sheetName val="집계표(수배전제조구매)"/>
      <sheetName val="（10）EDS AP设备"/>
      <sheetName val="준검 내역서"/>
      <sheetName val="COVER"/>
      <sheetName val="품종_품명"/>
      <sheetName val="본실행경비"/>
      <sheetName val="06 일위대가목록"/>
      <sheetName val="사다리"/>
      <sheetName val="공사예산하조서(O.K)"/>
      <sheetName val="Summary"/>
      <sheetName val="ITEM"/>
      <sheetName val="대비표"/>
      <sheetName val="설비"/>
      <sheetName val="wall"/>
      <sheetName val="원형1호맨홀토공수량"/>
      <sheetName val="기초일위"/>
      <sheetName val="C1.공사개요"/>
      <sheetName val="배수관공"/>
      <sheetName val="내역서-전기"/>
      <sheetName val="간접"/>
      <sheetName val="위생설비"/>
      <sheetName val="견적대비표"/>
      <sheetName val="부대입찰 내역서"/>
      <sheetName val="간선계산"/>
      <sheetName val="가실행 내역서"/>
      <sheetName val="Sheet3"/>
      <sheetName val="노무비"/>
      <sheetName val="기초단가"/>
      <sheetName val="1.취수장"/>
      <sheetName val="경영상태"/>
      <sheetName val="포장공"/>
      <sheetName val="00노임기준"/>
      <sheetName val="점자블럭연간단가"/>
      <sheetName val="잔수량(작성)"/>
      <sheetName val="토목내역"/>
      <sheetName val="1.능률현황"/>
      <sheetName val="건1"/>
      <sheetName val="2.호선별예상실적"/>
      <sheetName val="망미"/>
      <sheetName val="대공종"/>
      <sheetName val="기본사항"/>
      <sheetName val="유형분류"/>
      <sheetName val="GRDBS"/>
      <sheetName val="FANDBS"/>
      <sheetName val="GRDATA"/>
      <sheetName val="SHAFTDBSE"/>
      <sheetName val="가격조사서"/>
      <sheetName val="감가상각비"/>
      <sheetName val="지수"/>
      <sheetName val="세부내역서"/>
      <sheetName val="산근"/>
      <sheetName val="기본정보"/>
      <sheetName val="정리내역"/>
      <sheetName val="예산 세부사항"/>
      <sheetName val="단위수량"/>
      <sheetName val="기계경비"/>
      <sheetName val="관리,공감"/>
      <sheetName val="골조시행"/>
      <sheetName val="시운전연료"/>
      <sheetName val="입찰내역 발주처 양식"/>
      <sheetName val="간접경상비"/>
      <sheetName val="C_d"/>
      <sheetName val="GAEYO"/>
      <sheetName val="2000년1차"/>
      <sheetName val="입찰"/>
      <sheetName val="현경"/>
      <sheetName val="구리토평1전기"/>
      <sheetName val="추가예산"/>
      <sheetName val="消防报警安装物量"/>
      <sheetName val="문학간접"/>
      <sheetName val="QandAJunior"/>
      <sheetName val="ELECTRIC"/>
      <sheetName val="BM_NEW2"/>
      <sheetName val="SG-INT"/>
      <sheetName val="물가대비표"/>
      <sheetName val="급여대장"/>
      <sheetName val="증감대비"/>
      <sheetName val="load"/>
      <sheetName val="data spec"/>
      <sheetName val="상하차비용(기계상차)"/>
      <sheetName val="수간보호"/>
      <sheetName val="운반비"/>
      <sheetName val="연수원"/>
      <sheetName val="실행단가철(ems코드적용)"/>
      <sheetName val="열지마시오"/>
      <sheetName val="부서코드표"/>
      <sheetName val="세금계산서"/>
      <sheetName val="평3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단가산출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총물량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P.M 별"/>
      <sheetName val="ITB COST"/>
      <sheetName val="01"/>
      <sheetName val="수정계획3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2.냉난방설비공사"/>
      <sheetName val="4-10"/>
      <sheetName val="计算书"/>
      <sheetName val="일위대가표"/>
      <sheetName val="Xunit (단위환산)"/>
      <sheetName val="6동"/>
      <sheetName val="비교1"/>
      <sheetName val="Summary (공종별)"/>
      <sheetName val="삼성전기"/>
      <sheetName val="주식"/>
      <sheetName val="실행대비"/>
      <sheetName val="투찰추정"/>
      <sheetName val="학생내역"/>
      <sheetName val="Front"/>
      <sheetName val="간지"/>
      <sheetName val="영동(D)"/>
      <sheetName val="공동"/>
      <sheetName val="단독"/>
      <sheetName val="BQMPALOC"/>
      <sheetName val="공문"/>
      <sheetName val="TOWER 12TON"/>
      <sheetName val="TOWER 10TON"/>
      <sheetName val="울산시산표"/>
      <sheetName val="스포회원매출"/>
      <sheetName val="계정code"/>
      <sheetName val="입력전확인사항"/>
      <sheetName val="부위명 (2)"/>
      <sheetName val="행사보고06.20"/>
      <sheetName val="제경비"/>
      <sheetName val="Eq__Mobilization1"/>
      <sheetName val="내___역1"/>
      <sheetName val="Sheet1_(2)"/>
      <sheetName val="1062-X방향_"/>
      <sheetName val="I__Assumptions"/>
      <sheetName val="NOTE"/>
      <sheetName val="Cash2"/>
      <sheetName val="Z"/>
      <sheetName val="95신규호표"/>
      <sheetName val="Input"/>
      <sheetName val="실행예산SHEET도장재검토"/>
      <sheetName val="현장분류"/>
      <sheetName val="입찰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합비(99-05-25)"/>
      <sheetName val="생산계획(99-05-25)"/>
      <sheetName val="단가"/>
      <sheetName val="조선용암면"/>
      <sheetName val="터파기및재료"/>
      <sheetName val="자재관리현황표"/>
      <sheetName val="10동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단위중량"/>
      <sheetName val="조명시설"/>
      <sheetName val="샘플표지"/>
      <sheetName val="사통"/>
      <sheetName val="소업1교"/>
      <sheetName val="총괄내역서"/>
      <sheetName val="반응조"/>
      <sheetName val="갑지"/>
      <sheetName val="6PILE  _돌출_"/>
      <sheetName val="옹벽조금수정"/>
      <sheetName val="내역서"/>
      <sheetName val="공사비집계"/>
      <sheetName val="진주방향"/>
      <sheetName val="입찰안"/>
      <sheetName val="토공 갑지"/>
      <sheetName val="3BL공동구 수량"/>
      <sheetName val="#REF"/>
      <sheetName val="가설건물"/>
      <sheetName val="부안일위"/>
      <sheetName val="약품설비"/>
      <sheetName val="해전배수"/>
      <sheetName val="수문일1"/>
      <sheetName val="결과조달"/>
      <sheetName val="노임단가"/>
      <sheetName val="본선 토공 분배표"/>
      <sheetName val="포장공자재집계표"/>
      <sheetName val="2.단면가정 "/>
      <sheetName val="업무처리전"/>
      <sheetName val="DATE"/>
      <sheetName val="원형1호맨홀토공수량"/>
      <sheetName val="안산기계장치"/>
      <sheetName val="견적의뢰서"/>
      <sheetName val="2000년1차"/>
      <sheetName val="2000전체분"/>
      <sheetName val="200"/>
      <sheetName val="참조"/>
      <sheetName val="물가시세"/>
      <sheetName val="신당동집계표"/>
      <sheetName val="내역표지"/>
      <sheetName val="8.PILE  (돌출)"/>
      <sheetName val="빗물받이(910-510-410)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D200"/>
      <sheetName val="ELECTRIC"/>
      <sheetName val="SCHEDULE"/>
      <sheetName val="U-TYPE(1)"/>
      <sheetName val="수로집계"/>
      <sheetName val="공사비증감"/>
      <sheetName val="가격조사서"/>
      <sheetName val="말뚝지지력산정"/>
      <sheetName val="총 괄 표"/>
      <sheetName val="Sheet2"/>
      <sheetName val="S.중기사용료"/>
      <sheetName val="97노임단가"/>
      <sheetName val="입력란"/>
      <sheetName val="일위대가"/>
      <sheetName val="공문"/>
      <sheetName val="COVER"/>
      <sheetName val="Sheet1 (2)"/>
      <sheetName val="간지(1)"/>
      <sheetName val="1,2,3,4,5단위수량"/>
      <sheetName val="Sheet4"/>
      <sheetName val="2공구산출내역"/>
      <sheetName val="수량산출내역1115"/>
      <sheetName val="단면 (2)"/>
      <sheetName val="연돌일위집계"/>
      <sheetName val="금액내역서"/>
      <sheetName val="인사자료총집계"/>
      <sheetName val="산출내역서"/>
      <sheetName val="실행철강하도"/>
      <sheetName val="포장물량집계"/>
      <sheetName val="예가표"/>
      <sheetName val="원가"/>
      <sheetName val="실정보고"/>
      <sheetName val="갑지1"/>
      <sheetName val="DATA98"/>
      <sheetName val="단면A-A(TR)"/>
      <sheetName val="목표세부명세"/>
      <sheetName val="교각계산"/>
      <sheetName val="세대구분"/>
      <sheetName val="2호맨홀공제수량"/>
      <sheetName val="간 지1"/>
      <sheetName val="DATA2000"/>
      <sheetName val="식재"/>
      <sheetName val="시설물"/>
      <sheetName val="식재출력용"/>
      <sheetName val="유지관리"/>
      <sheetName val="단가"/>
      <sheetName val="배수관산출"/>
      <sheetName val="수안보-MBR1"/>
      <sheetName val="3.공통공사대비"/>
      <sheetName val="견적서(토공)"/>
      <sheetName val="BID"/>
      <sheetName val="1062-X방향 "/>
      <sheetName val="발주설계서(당초)"/>
      <sheetName val="고창방향"/>
      <sheetName val="오동"/>
      <sheetName val="대조"/>
      <sheetName val="나한"/>
      <sheetName val="1. 설계조건 2.단면가정 3. 하중계산"/>
      <sheetName val="DATA 입력란"/>
      <sheetName val="000000"/>
      <sheetName val="SIL98"/>
      <sheetName val="간선계산"/>
      <sheetName val="공사비증감(P4) "/>
      <sheetName val="내역"/>
      <sheetName val="집계표"/>
      <sheetName val="BOX 본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배수내역"/>
      <sheetName val="실행"/>
      <sheetName val="일위대가(계측기설치)"/>
      <sheetName val="기성내역"/>
      <sheetName val="4.2유효폭의 계산"/>
      <sheetName val="입찰"/>
      <sheetName val="현경"/>
      <sheetName val="40단가산출서"/>
      <sheetName val="40집계"/>
      <sheetName val="6PILE 과속방지턱집계표!$K$12 (돌출)"/>
      <sheetName val="경상비"/>
      <sheetName val="공사내역"/>
      <sheetName val="날개벽(시점좌측)"/>
      <sheetName val="제출내역 (2)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1NYS(당)"/>
      <sheetName val="프랜트면허"/>
      <sheetName val="토목주소"/>
      <sheetName val="archi(본사)"/>
      <sheetName val="대비"/>
      <sheetName val="6PILE__(돌출)"/>
      <sheetName val="산출근거"/>
      <sheetName val="1TL종점(1)"/>
      <sheetName val="ABUT수량-A1"/>
      <sheetName val="교각정보"/>
      <sheetName val="기기리스트"/>
      <sheetName val="실행예산"/>
      <sheetName val="주식"/>
      <sheetName val="3.하중산정4.지지력"/>
      <sheetName val="관로토공집계표"/>
      <sheetName val="기자재비"/>
      <sheetName val="수량3"/>
      <sheetName val="본부소개"/>
      <sheetName val="밸브설치"/>
      <sheetName val="민자토목설변1차"/>
      <sheetName val="슬래브"/>
      <sheetName val="일위대가목록"/>
      <sheetName val="골재및자재집계표"/>
      <sheetName val="수문보고"/>
      <sheetName val="할증 "/>
      <sheetName val="내역(전체)"/>
      <sheetName val="견적서"/>
      <sheetName val="도봉2지구"/>
      <sheetName val="비목군분류일위"/>
      <sheetName val="TOWER 10TON"/>
      <sheetName val="TOWER 12TON"/>
      <sheetName val="설계조건"/>
      <sheetName val="산근터빈"/>
      <sheetName val="메서,변+증"/>
      <sheetName val="가도공"/>
      <sheetName val="식생블럭단위수량"/>
      <sheetName val="갑지(추정)"/>
      <sheetName val="공량산출서"/>
      <sheetName val="공종단가"/>
      <sheetName val="노무비"/>
      <sheetName val="EQUIP"/>
      <sheetName val="부하(성남)"/>
      <sheetName val="SG"/>
      <sheetName val="일위대가목차"/>
      <sheetName val="Quantity"/>
      <sheetName val="Sheet15"/>
      <sheetName val="정보"/>
      <sheetName val="합의경상"/>
      <sheetName val="TOTAL_BOQ"/>
      <sheetName val="배수내역(98년도분)"/>
      <sheetName val="약품공급2"/>
      <sheetName val="단가산출서"/>
      <sheetName val="1호맨홀토공"/>
      <sheetName val="일반수량"/>
      <sheetName val="철근량"/>
      <sheetName val="수량명세서"/>
      <sheetName val="배수공"/>
      <sheetName val="간지"/>
      <sheetName val="음봉방향"/>
      <sheetName val="자료"/>
      <sheetName val="바닥판"/>
      <sheetName val="장비"/>
      <sheetName val="산근1"/>
      <sheetName val="노무"/>
      <sheetName val="자재"/>
      <sheetName val="공사비예산서(토목분)"/>
      <sheetName val="공통비총괄표"/>
      <sheetName val="토목품셈"/>
      <sheetName val="PAD TR보호대기초"/>
      <sheetName val="가로등기초"/>
      <sheetName val="HANDHOLE(2)"/>
      <sheetName val="6PILE+옹벽집계!$G$6+옹벽집계!$H$10  (돌출"/>
      <sheetName val="DATA입력"/>
      <sheetName val="INPUT"/>
      <sheetName val="BOX(1.5X1.5)"/>
      <sheetName val="4)유동표"/>
      <sheetName val="단면B-B(EA)"/>
      <sheetName val="역T형"/>
      <sheetName val="전차선로 물량표"/>
      <sheetName val="뚝토공"/>
      <sheetName val="6PILE  _돌_x001c__"/>
      <sheetName val="을 2"/>
      <sheetName val="을 1"/>
      <sheetName val="손익분석"/>
      <sheetName val="수량집계"/>
      <sheetName val="2.교량(신설)"/>
      <sheetName val="배수통관(좌)"/>
      <sheetName val="단가일람"/>
      <sheetName val="조경일람"/>
      <sheetName val="2002상반기노임기준"/>
      <sheetName val="본체"/>
      <sheetName val="대로근거"/>
      <sheetName val="유림골조"/>
      <sheetName val="일위(PN)"/>
      <sheetName val="최적단면"/>
      <sheetName val="토목"/>
      <sheetName val="기계(집계표)"/>
      <sheetName val="가설사무소수량집계"/>
      <sheetName val="COPING"/>
      <sheetName val="수로단위수량"/>
      <sheetName val="무근깨기"/>
      <sheetName val="1.설계조건"/>
      <sheetName val="칠산대교 중앙부"/>
      <sheetName val="칠산대교 시종점부"/>
      <sheetName val="산마루측구단위수량"/>
      <sheetName val="비탈면보호공수량산출"/>
      <sheetName val="9509"/>
      <sheetName val="BOX"/>
      <sheetName val="신표지1"/>
      <sheetName val="교대(A1-A2)"/>
      <sheetName val="설비"/>
      <sheetName val="우수받이재료집계표"/>
      <sheetName val="전체변경예정공정표_2012.07.30"/>
      <sheetName val="3BL공동구_수량"/>
      <sheetName val="격점수량"/>
      <sheetName val="type-F"/>
      <sheetName val="DAILY"/>
      <sheetName val="건축물터파기"/>
      <sheetName val="수량산출"/>
      <sheetName val="마감사양"/>
      <sheetName val="사유서제출현황-2"/>
      <sheetName val="예정(3)"/>
      <sheetName val="대운산출"/>
      <sheetName val="도배공사언고"/>
      <sheetName val="방음벽기초"/>
      <sheetName val="01.견적내역서"/>
      <sheetName val="6PILE___돌출_"/>
      <sheetName val="정부노임단가"/>
      <sheetName val="견적대비표"/>
      <sheetName val="침하계"/>
      <sheetName val="Sheet3"/>
      <sheetName val="돌담교 상부수량"/>
      <sheetName val="DATA"/>
      <sheetName val="허용지지력"/>
      <sheetName val="Output"/>
      <sheetName val="금융비용"/>
      <sheetName val="지장물C"/>
      <sheetName val="간접비"/>
      <sheetName val="수입"/>
      <sheetName val="대부예산서"/>
      <sheetName val="교각1"/>
      <sheetName val="기초공"/>
      <sheetName val="기둥(원형)"/>
      <sheetName val="부대공"/>
      <sheetName val="토공"/>
      <sheetName val="포장공"/>
      <sheetName val="CIVIL4"/>
      <sheetName val="수량집계표"/>
      <sheetName val="경영상태"/>
      <sheetName val="인건비"/>
      <sheetName val="대림경상68억"/>
      <sheetName val="기계경비일람"/>
      <sheetName val="연습"/>
      <sheetName val="산출근거(S4)"/>
      <sheetName val="2000시행예상"/>
      <sheetName val="차액보증"/>
      <sheetName val="YES-T"/>
      <sheetName val="코드표"/>
      <sheetName val="1을"/>
      <sheetName val="1.수인터널"/>
      <sheetName val="대,유,램"/>
      <sheetName val="시행후면적"/>
      <sheetName val="I.설계조건"/>
      <sheetName val="01.인원현황 (계획)"/>
      <sheetName val="DRUM"/>
      <sheetName val="AN-01"/>
      <sheetName val="PRICES"/>
      <sheetName val="CAL(1)."/>
      <sheetName val="12CGOU"/>
      <sheetName val="Bend_fact "/>
      <sheetName val="요약배부"/>
      <sheetName val="주관사업"/>
      <sheetName val="STAFF ANALYSIS"/>
      <sheetName val="C"/>
      <sheetName val="골조시행"/>
      <sheetName val="A1(토공)"/>
      <sheetName val="A1(구조물)"/>
      <sheetName val="수량집계(1)"/>
      <sheetName val="철근집계표"/>
      <sheetName val="포장직선구간"/>
      <sheetName val="Sheet17"/>
      <sheetName val="중기사용료"/>
      <sheetName val="우수"/>
      <sheetName val="토공계산서(부체도로)"/>
      <sheetName val="J형측구단위수량"/>
      <sheetName val="소산진입"/>
      <sheetName val="변경집계표"/>
      <sheetName val="L형집계"/>
      <sheetName val="의뢰서"/>
      <sheetName val="2.단면가정"/>
      <sheetName val="교통표지판수량집계표"/>
      <sheetName val="지하"/>
      <sheetName val="3련 BOX"/>
      <sheetName val="96노임기준"/>
      <sheetName val="건축"/>
      <sheetName val="40총괄"/>
      <sheetName val="날개벽"/>
      <sheetName val="I一般比"/>
      <sheetName val="REINF."/>
      <sheetName val="화전내"/>
      <sheetName val="건축내역서"/>
      <sheetName val="설비내역서"/>
      <sheetName val="전기내역서"/>
      <sheetName val="우수받이"/>
      <sheetName val="자재집계표"/>
      <sheetName val="국공유지및사유지"/>
      <sheetName val="횡배날개"/>
      <sheetName val="예상"/>
      <sheetName val="내역-가"/>
      <sheetName val="A-4"/>
      <sheetName val="★도급내역"/>
      <sheetName val="깨기"/>
      <sheetName val="건설기계_목록"/>
      <sheetName val="가옥철거"/>
      <sheetName val="총수량 (기성)"/>
      <sheetName val="단가조사"/>
      <sheetName val="4-1.노무비(직영)"/>
      <sheetName val="토사(PE)"/>
      <sheetName val="설직재-1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1.토공"/>
      <sheetName val="가공비"/>
      <sheetName val="설계산출표지"/>
      <sheetName val="수지예산"/>
      <sheetName val="단위단가"/>
      <sheetName val="20-6(L)"/>
      <sheetName val="관로조사공"/>
      <sheetName val="본선차로수량집계표"/>
      <sheetName val="단위수량"/>
      <sheetName val="현장관리비"/>
      <sheetName val="계산근거"/>
      <sheetName val="woo(mac)"/>
      <sheetName val="갑지(집행)"/>
      <sheetName val="품셈TABLE"/>
      <sheetName val="이토변실(A3-LINE)"/>
      <sheetName val="제수변수량H2.15"/>
      <sheetName val="_공기변수량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기본"/>
      <sheetName val="계화총괄"/>
      <sheetName val="계화배수(3대)"/>
      <sheetName val="매립"/>
      <sheetName val="여과지동"/>
      <sheetName val="기초자료"/>
      <sheetName val="가압장구체수량산출서"/>
      <sheetName val="당초"/>
      <sheetName val="중기비"/>
      <sheetName val="배수관설치현황"/>
      <sheetName val="토적표(우안)"/>
      <sheetName val="토적표(좌안)"/>
      <sheetName val="2.대외공문"/>
      <sheetName val="좌측"/>
      <sheetName val="부대토목"/>
      <sheetName val="입출재고현황 (2)"/>
      <sheetName val="낙찰표"/>
      <sheetName val="70%"/>
      <sheetName val="소비자가"/>
      <sheetName val="공통가설공사"/>
      <sheetName val="IW-LIST"/>
      <sheetName val="입상내역"/>
      <sheetName val="옹벽"/>
      <sheetName val="집수정"/>
      <sheetName val="운반"/>
      <sheetName val="전기"/>
      <sheetName val="관급자재대"/>
      <sheetName val="T.T.P 단위수량"/>
      <sheetName val="1단계"/>
      <sheetName val="집계표(OPTION)"/>
      <sheetName val="일위대가1"/>
      <sheetName val="J01"/>
      <sheetName val="직재"/>
      <sheetName val="실행내역서"/>
      <sheetName val="보차도경계석"/>
      <sheetName val="우각부보강"/>
      <sheetName val="수량산출서"/>
      <sheetName val="TYPE-1"/>
      <sheetName val="일위"/>
      <sheetName val="교량전기"/>
      <sheetName val="설계예시"/>
      <sheetName val="전선 및 전선관"/>
      <sheetName val="을"/>
      <sheetName val="guard(mac)"/>
      <sheetName val="참고사항"/>
      <sheetName val="근로자자료입력"/>
      <sheetName val="에너지동"/>
      <sheetName val="중기목록표"/>
      <sheetName val="건축내역"/>
      <sheetName val="6공구(당초)"/>
      <sheetName val="9GNG운반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품"/>
      <sheetName val="조건표"/>
      <sheetName val="동원(3)"/>
      <sheetName val="현황"/>
      <sheetName val="loading"/>
      <sheetName val="설계내역서"/>
      <sheetName val="당초내역서"/>
      <sheetName val="기계경비"/>
      <sheetName val="2.하중산정"/>
      <sheetName val="ASP 일반구간_250A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실행대비"/>
      <sheetName val="전력구구조물산근"/>
      <sheetName val="DHEQSUPT"/>
      <sheetName val="Cash2"/>
      <sheetName val="Z"/>
      <sheetName val="설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직노"/>
      <sheetName val="데리네이타현황"/>
      <sheetName val="BOX-1510"/>
      <sheetName val="부하계산서"/>
      <sheetName val="맨홀수량산출"/>
      <sheetName val="주요자재집계"/>
      <sheetName val="96보완계획7.12"/>
      <sheetName val="우수맨홀공제단위수량"/>
      <sheetName val="01. 지사동"/>
      <sheetName val="이름"/>
      <sheetName val="TYPE-A"/>
      <sheetName val="공틀공사"/>
      <sheetName val="단가산출"/>
      <sheetName val="김여중"/>
      <sheetName val="A1-DATA"/>
      <sheetName val="단면"/>
      <sheetName val="화재 탐지 설비"/>
      <sheetName val="표준단면수량(출력안함)"/>
      <sheetName val="내역서(교량)전체"/>
      <sheetName val="설계내역(2001)"/>
      <sheetName val="외주현황.wq1"/>
      <sheetName val="토목검측서"/>
      <sheetName val="자금신청서"/>
      <sheetName val="P.M 별"/>
      <sheetName val="토적계산"/>
      <sheetName val="자재(설치)"/>
      <sheetName val="부표총괄"/>
      <sheetName val="용산1(해보)"/>
      <sheetName val="관급총괄"/>
      <sheetName val="기초INPUT"/>
      <sheetName val="토공-내역"/>
      <sheetName val="N賃率-職"/>
      <sheetName val="단면가정"/>
      <sheetName val="일위대가표"/>
      <sheetName val="노임"/>
      <sheetName val="1.설계기준"/>
      <sheetName val="철집"/>
      <sheetName val="계수시트"/>
      <sheetName val="6PILE (돌출)"/>
      <sheetName val="흥양2교토공집계표"/>
      <sheetName val="JUCKEYK"/>
      <sheetName val="기계경비적용기준"/>
      <sheetName val="지장물조서"/>
      <sheetName val="이형관격점별수량산출(2)"/>
      <sheetName val="구조물공"/>
      <sheetName val="중기목록"/>
      <sheetName val="운반단가"/>
      <sheetName val="INPUTDATA"/>
      <sheetName val="제직재"/>
      <sheetName val="제-노임"/>
      <sheetName val="토공 total"/>
      <sheetName val="단위수량산출"/>
      <sheetName val="LOB"/>
      <sheetName val="C-직노1"/>
      <sheetName val="찍기"/>
      <sheetName val="STEEL BOX 단면설계(SEC.8)"/>
      <sheetName val="단위자갈수량1"/>
      <sheetName val="하천하류 철근수량 집계표"/>
      <sheetName val="광주전남"/>
      <sheetName val="인부노임"/>
      <sheetName val="평가데이터"/>
      <sheetName val="배명(단가)"/>
      <sheetName val="경산"/>
      <sheetName val="공사명입력"/>
      <sheetName val="참고자료"/>
      <sheetName val="데이타"/>
      <sheetName val="총집계"/>
      <sheetName val="설계내역"/>
      <sheetName val="표지"/>
      <sheetName val="입찰내역 발주처 양식"/>
      <sheetName val="총괄표"/>
      <sheetName val="기존-내역"/>
      <sheetName val="업체선정"/>
      <sheetName val="교차구"/>
      <sheetName val="대목"/>
      <sheetName val="Supplement2"/>
      <sheetName val="포장총괄집계표"/>
      <sheetName val="품의"/>
      <sheetName val="우수공"/>
      <sheetName val="옹벽집계표"/>
      <sheetName val="마산방향"/>
      <sheetName val="원형맨홀수량"/>
      <sheetName val="트랜치 집수정 연결관-연장산출서"/>
      <sheetName val="배수장토목공사비"/>
      <sheetName val="구체"/>
      <sheetName val="좌측날개벽"/>
      <sheetName val="우측날개벽"/>
      <sheetName val="tggwan(mac)"/>
      <sheetName val="외자배분"/>
      <sheetName val="외자내역"/>
      <sheetName val="주형"/>
      <sheetName val="직원인원"/>
      <sheetName val="견적서세부내용"/>
      <sheetName val="견적내용입력"/>
      <sheetName val="원가(조경)"/>
      <sheetName val="원가(토목)"/>
      <sheetName val="영동(D)"/>
      <sheetName val="1련박스"/>
      <sheetName val="수량"/>
      <sheetName val="시멘트 및 골재량 (슬래브)"/>
      <sheetName val="시멘트 및 골재량 (거더)"/>
      <sheetName val="전기혼잡제경비(45)"/>
      <sheetName val="Pier 3"/>
      <sheetName val="A LINE"/>
      <sheetName val="C.배수관공"/>
      <sheetName val="옹벽식측구단위"/>
      <sheetName val="시중노임"/>
      <sheetName val="계약용량(서포)"/>
      <sheetName val="일위대가(가설)"/>
      <sheetName val="6월인원"/>
      <sheetName val="자재 집계표"/>
      <sheetName val=""/>
      <sheetName val="공종별내역서"/>
      <sheetName val="Sheet13"/>
      <sheetName val="Sheet14"/>
      <sheetName val="GEN"/>
      <sheetName val="산출근거-S1"/>
      <sheetName val="_x0018__x0000_℀"/>
      <sheetName val="전기일위대가"/>
      <sheetName val="상부공"/>
      <sheetName val="부대토공"/>
      <sheetName val="차선위치조서"/>
      <sheetName val="단면검토"/>
      <sheetName val="3절_CheckList_구분"/>
      <sheetName val="개요"/>
      <sheetName val="입력시트"/>
      <sheetName val="날개벽수량표"/>
      <sheetName val="토공산출(시)"/>
      <sheetName val="토공산출(포)"/>
      <sheetName val="CODE"/>
      <sheetName val="MOTOR"/>
      <sheetName val="일반공사"/>
      <sheetName val="저"/>
      <sheetName val="구조물철거개소별명세"/>
      <sheetName val="임목폐기물집계"/>
      <sheetName val="MATERIAL"/>
      <sheetName val="상반기손익차2총괄"/>
      <sheetName val="토공정보"/>
      <sheetName val="연결관암거"/>
      <sheetName val="Finansal tamamlanma Eğrisi"/>
      <sheetName val="TESİSAT"/>
      <sheetName val="Finansal_tamamlanma_Eğrisi"/>
      <sheetName val="단가비교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264"/>
      <sheetName val="6MONTHS"/>
      <sheetName val="토공사"/>
      <sheetName val="모델링"/>
      <sheetName val="하중계산"/>
      <sheetName val="하수급견적대비"/>
      <sheetName val="단위수량(출력X)"/>
      <sheetName val="집수정(600-700)"/>
      <sheetName val="GAEYO"/>
      <sheetName val="공사개요"/>
      <sheetName val="도급견적가"/>
      <sheetName val="타견적(을)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EP0618"/>
      <sheetName val="6PILE  _돌_x005f_x001c__"/>
      <sheetName val="증감내역"/>
      <sheetName val="보험료산출"/>
      <sheetName val="산출내역(4월)"/>
      <sheetName val="산출내역(5월) (2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U형측구 표준단면도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우수관로단위수량(300)"/>
      <sheetName val="95MAKER"/>
      <sheetName val="재료율"/>
      <sheetName val="일위대가(여기까지)"/>
      <sheetName val="금융"/>
      <sheetName val="자재집계"/>
      <sheetName val="가시설(TYPE-A)"/>
      <sheetName val="1호맨홀가감수량"/>
      <sheetName val="1-1평균터파기고(1)"/>
      <sheetName val="1호맨홀수량산출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負荷集計（断熱不燃）"/>
      <sheetName val="dongia (2)"/>
      <sheetName val="RAB AR&amp;STR"/>
      <sheetName val="Div26 - Elect"/>
      <sheetName val="electrical"/>
      <sheetName val="과속방지턱"/>
      <sheetName val="단가산출2"/>
      <sheetName val="중기사용료산출근거"/>
      <sheetName val="흄관기초"/>
      <sheetName val="사리부설"/>
      <sheetName val="부대내역"/>
      <sheetName val="각형맨홀"/>
      <sheetName val="요율"/>
      <sheetName val="전체철근집계"/>
      <sheetName val="단가조사표"/>
      <sheetName val="일위대가-2"/>
      <sheetName val="교대(A1)"/>
      <sheetName val="차선도색"/>
      <sheetName val="추진공"/>
      <sheetName val="setup"/>
      <sheetName val=" FURNACE현설"/>
      <sheetName val="방배2E"/>
      <sheetName val="98지급계획"/>
      <sheetName val="날개수량1.5"/>
      <sheetName val="맨홀되메우기"/>
      <sheetName val="관로연장산출"/>
      <sheetName val="_x0018_"/>
      <sheetName val="연결임시"/>
      <sheetName val="7.PILE  (돌출)"/>
      <sheetName val="소방현물"/>
      <sheetName val="연결원본-절대지우지말것"/>
      <sheetName val="MTP"/>
      <sheetName val="Eq. Mobilization"/>
      <sheetName val="Benchmark"/>
      <sheetName val="Open"/>
      <sheetName val="직공시공계획서"/>
      <sheetName val="99노임단가"/>
      <sheetName val="자판실행"/>
      <sheetName val="배수관토공산출"/>
      <sheetName val="선급금신청서"/>
      <sheetName val="특2맨홀(차도)(T-A)"/>
      <sheetName val="특2맨홀(보도)(T-A)"/>
      <sheetName val="맨홀이음부 몰탈수량 집계표"/>
      <sheetName val="안정검토"/>
      <sheetName val="목창호"/>
      <sheetName val="준검 내역서"/>
      <sheetName val="작성"/>
      <sheetName val="danga"/>
      <sheetName val="ilch"/>
      <sheetName val="0"/>
      <sheetName val="포설list원본"/>
      <sheetName val="투입"/>
      <sheetName val="본실행경비"/>
      <sheetName val="변경내역대비표(2)"/>
      <sheetName val="견적"/>
      <sheetName val="VS P-Q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현장관리비 산출내역"/>
      <sheetName val="1회기성을"/>
      <sheetName val="tifico"/>
      <sheetName val="EQT-ESTN"/>
      <sheetName val="PTdam"/>
      <sheetName val="Y_WORK"/>
      <sheetName val="wall"/>
      <sheetName val="가설대가"/>
      <sheetName val="토공대가"/>
      <sheetName val="구조대가"/>
      <sheetName val="포설대가1"/>
      <sheetName val="부대대가"/>
      <sheetName val="정산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INPUT(덕도방향-시점)"/>
      <sheetName val="깨؀"/>
      <sheetName val="깨٫"/>
      <sheetName val="정공공사"/>
      <sheetName val="MANP"/>
      <sheetName val="SYSTEM 945 Air&amp;Nitrogen"/>
      <sheetName val="백분율"/>
      <sheetName val="PM Demolition "/>
      <sheetName val="USGC"/>
      <sheetName val="Equip."/>
      <sheetName val="산1~6"/>
      <sheetName val="중기조종사 단위단가"/>
      <sheetName val="금액결정"/>
      <sheetName val="중기"/>
      <sheetName val="방송(체육관)"/>
      <sheetName val="6PILE_______G_6_______H_10____2"/>
      <sheetName val="수목데이타 "/>
      <sheetName val="이형관"/>
      <sheetName val="품셈총_x0000__x0000_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IMPEADENCE MAP 취수장"/>
      <sheetName val="잡비계산"/>
      <sheetName val="미생물배양기 기초"/>
      <sheetName val="공정"/>
      <sheetName val="Master"/>
      <sheetName val="6PILE  _돌_x005f_x005f_x005f_x001c__"/>
      <sheetName val="DG duoi"/>
      <sheetName val="DGCT"/>
      <sheetName val="Ts"/>
      <sheetName val="TH"/>
      <sheetName val="Bia"/>
      <sheetName val="Vattu"/>
      <sheetName val="XL4Poppy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0226"/>
      <sheetName val="아파트 기성내역서"/>
      <sheetName val="분석"/>
      <sheetName val="CFS3"/>
      <sheetName val="dongia_(2)1"/>
      <sheetName val="Div26_-_Elect1"/>
      <sheetName val="RAB_AR&amp;STR1"/>
      <sheetName val="시멘트_및_골재량_(슬래브)"/>
      <sheetName val="시멘트_및_골재량_(거더)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일용노임단가"/>
      <sheetName val="_x0018_?℀"/>
      <sheetName val="횡배위치"/>
      <sheetName val="도"/>
      <sheetName val="HVAC"/>
      <sheetName val="Riesgos y Oportunidades"/>
      <sheetName val="F4-F7"/>
      <sheetName val="상부하중"/>
      <sheetName val="풍하중1"/>
      <sheetName val="철근단면적"/>
      <sheetName val="음성방향"/>
      <sheetName val="총괄내역"/>
      <sheetName val="격점관로집계"/>
      <sheetName val="일위대가-1"/>
      <sheetName val="횡배수관"/>
      <sheetName val="단위가격"/>
      <sheetName val="6PILE_______G_6_______H_10____3"/>
      <sheetName val="보고서"/>
      <sheetName val="지장물현황"/>
      <sheetName val="분묘 총 현황"/>
      <sheetName val="지하매설물조서"/>
      <sheetName val="지장물도면"/>
      <sheetName val="T13(P68~72,78)"/>
      <sheetName val="Y-WORK"/>
      <sheetName val="출입구총집계"/>
      <sheetName val="토공집계"/>
      <sheetName val="datasheet"/>
      <sheetName val="NAI"/>
      <sheetName val="교사기준면적(초등)"/>
      <sheetName val="125x125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Du lieu ban dau"/>
      <sheetName val="Earthwork"/>
      <sheetName val="149-2"/>
      <sheetName val="견적 (2)"/>
      <sheetName val="갈현동"/>
      <sheetName val="유리"/>
      <sheetName val="_x005f_x0018__x005f_x0000_℀"/>
      <sheetName val="전계가"/>
      <sheetName val="ACUNIT"/>
      <sheetName val="98수문일위"/>
      <sheetName val="수자재단위당"/>
      <sheetName val="현장지지물물량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Cash Out Table"/>
      <sheetName val="Net Cash Table"/>
      <sheetName val="배수공집계표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공정계획(내부계획25%,내부w.f)"/>
      <sheetName val="AILC004"/>
      <sheetName val="소도3교"/>
      <sheetName val="우배수"/>
      <sheetName val="하중산정"/>
      <sheetName val="시설물일위"/>
      <sheetName val="투자필요검토서(복수업체추천서 포함)"/>
      <sheetName val="1공구산출내역서"/>
      <sheetName val="기본단가"/>
      <sheetName val="인건비단가"/>
      <sheetName val="CAUDIT"/>
      <sheetName val="소요자재"/>
      <sheetName val="노무산출서"/>
      <sheetName val="안정계산"/>
      <sheetName val="공통부대비"/>
      <sheetName val="동력부하계산"/>
      <sheetName val="FAB별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BOX(1_5X1_5)1"/>
      <sheetName val="을_21"/>
      <sheetName val="을_11"/>
      <sheetName val="2_단면가정1"/>
      <sheetName val="Part_AB2"/>
      <sheetName val="Part_I2"/>
      <sheetName val="Part_M2"/>
      <sheetName val="제수변수량H2_151"/>
      <sheetName val="CAL(1)_3"/>
      <sheetName val="Bend_fact_3"/>
      <sheetName val="STAFF_ANALYSIS3"/>
      <sheetName val="입출재고현황_(2)1"/>
      <sheetName val="1_설계조건3"/>
      <sheetName val="총수량_(기성)1"/>
      <sheetName val="4-1_노무비(직영)1"/>
      <sheetName val="할증_2"/>
      <sheetName val="돌담교_상부수량2"/>
      <sheetName val="칠산대교_중앙부1"/>
      <sheetName val="칠산대교_시종점부1"/>
      <sheetName val="1_수인터널2"/>
      <sheetName val="3련_BOX2"/>
      <sheetName val="T_T_P_단위수량1"/>
      <sheetName val="2_대외공문1"/>
      <sheetName val="전선_및_전선관1"/>
      <sheetName val="ASP_일반구간_250A2"/>
      <sheetName val="2_하중산정1"/>
      <sheetName val="96보완계획7_12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전체변경예정공정표_2012_07_301"/>
      <sheetName val="입찰내역_발주처_양식1"/>
      <sheetName val="화재_탐지_설비1"/>
      <sheetName val="6PILE_(돌출)1"/>
      <sheetName val="P_M_별1"/>
      <sheetName val="REINF_1"/>
      <sheetName val="하천하류_철근수량_집계표1"/>
      <sheetName val="토공_total1"/>
      <sheetName val="외주현황_wq11"/>
      <sheetName val="℀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Form_A"/>
      <sheetName val="Form_C"/>
      <sheetName val="Form_D"/>
      <sheetName val="Form_E"/>
      <sheetName val="Form_F"/>
      <sheetName val="Form_G"/>
      <sheetName val="_FURNACE현설"/>
      <sheetName val="트랜치_집수정_연결관-연장산출서"/>
      <sheetName val="Pier_3"/>
      <sheetName val="산출내역(5월)_(2)"/>
      <sheetName val="자재_집계표"/>
      <sheetName val="Eq__Mobilization"/>
      <sheetName val="A_LINE"/>
      <sheetName val="C_배수관공"/>
      <sheetName val="Finansal_tamamlanma_Eğrisi1"/>
      <sheetName val="간접1"/>
      <sheetName val="평균터파기고(1-2,ASP)"/>
      <sheetName val="구성비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기계공사"/>
      <sheetName val="공사비총"/>
      <sheetName val="제경비율"/>
      <sheetName val="TTL"/>
      <sheetName val="Sheet9"/>
      <sheetName val="Sheet10"/>
      <sheetName val="전기자료"/>
      <sheetName val="암거날개벽재료집계"/>
      <sheetName val="용산3(영광)"/>
      <sheetName val="시산표"/>
      <sheetName val="_x005f_xffff__x005f_xffff__x005f_xffff__x005f_xffff_"/>
      <sheetName val="01"/>
      <sheetName val="이토변실"/>
      <sheetName val="시설물기초"/>
      <sheetName val="물가자료"/>
      <sheetName val="가로등내역서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본사인상전"/>
      <sheetName val="환경기계공정표 (3)"/>
      <sheetName val="J直材4"/>
      <sheetName val="도면자료제출일정"/>
      <sheetName val="XXXXXX"/>
      <sheetName val="G2설비도급"/>
      <sheetName val="IBASE"/>
      <sheetName val="EARTH WORKS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TBVL"/>
      <sheetName val="TLG Type"/>
      <sheetName val="BG"/>
      <sheetName val="Parem"/>
      <sheetName val="공사개요-C"/>
      <sheetName val="Items"/>
      <sheetName val="HESO"/>
      <sheetName val="TOTAL SUMMARY"/>
      <sheetName val="INFO"/>
      <sheetName val="SEX"/>
      <sheetName val="Takeoff"/>
      <sheetName val="運転条件一覧"/>
      <sheetName val="관경결정"/>
      <sheetName val="INSTR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날개수량1_5"/>
      <sheetName val="맨홀이음부_몰탈수량_집계표"/>
      <sheetName val="U형측구_표준단면도"/>
      <sheetName val="SYSTEM_945_Air&amp;Nitrogen"/>
      <sheetName val="PM_Demolition_"/>
      <sheetName val="현장관리비_산출내역"/>
      <sheetName val="7_PILE__(돌출)"/>
      <sheetName val="분묘_총_현황"/>
      <sheetName val="준검_내역서"/>
      <sheetName val="노임이"/>
      <sheetName val="Sheet6"/>
      <sheetName val="능률"/>
      <sheetName val="토목공사"/>
      <sheetName val="WORK"/>
      <sheetName val="기계경비(시간당)"/>
      <sheetName val="램머"/>
      <sheetName val="식재인부"/>
      <sheetName val="SLAB"/>
      <sheetName val="제1종배수관"/>
      <sheetName val="제2종배수관"/>
      <sheetName val="제4종배수관"/>
      <sheetName val="공예을"/>
      <sheetName val="내부산출서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바닥판"/>
      <sheetName val="입력DATA"/>
      <sheetName val="252K444"/>
      <sheetName val="Sheet1"/>
      <sheetName val="변화치수"/>
      <sheetName val="간접비"/>
      <sheetName val="1062-X방향 "/>
      <sheetName val="참조"/>
      <sheetName val="금액내역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001"/>
      <sheetName val="외주"/>
      <sheetName val="추가예산"/>
      <sheetName val="MOTOR"/>
      <sheetName val="내역서"/>
      <sheetName val="금액내역서"/>
      <sheetName val="D"/>
      <sheetName val="일위대가(가설)"/>
      <sheetName val="Sheet3"/>
      <sheetName val="Y-WORK"/>
      <sheetName val="일위대가(계측기설치)"/>
      <sheetName val="#REF"/>
      <sheetName val="총괄원가계산서1"/>
      <sheetName val="Sheet1"/>
      <sheetName val="화재 탐지 설비"/>
      <sheetName val="C"/>
      <sheetName val="CTEMCOST"/>
      <sheetName val="SCHEDULE"/>
      <sheetName val="TOWER 12TON"/>
      <sheetName val="TOWER 10TON"/>
      <sheetName val="전체"/>
      <sheetName val="노임이"/>
      <sheetName val="인건비"/>
      <sheetName val="L형옹벽(key)"/>
      <sheetName val="Sheet17"/>
      <sheetName val="INPUT"/>
      <sheetName val="GAEYO"/>
      <sheetName val="공사수행방안"/>
      <sheetName val="Sheet4"/>
      <sheetName val="갑지(추정)"/>
      <sheetName val="원효펌프교체020812"/>
      <sheetName val="Sheet5"/>
      <sheetName val="음료실행"/>
      <sheetName val="개요"/>
      <sheetName val="Sheet6"/>
      <sheetName val="건설성적"/>
      <sheetName val="XZLC004_PART2"/>
      <sheetName val="Request"/>
      <sheetName val="포장복구집계"/>
      <sheetName val="수주실적0709"/>
      <sheetName val="VXXXXXXX"/>
      <sheetName val="tggwan(mac)"/>
      <sheetName val="입찰안"/>
      <sheetName val="차액보증"/>
      <sheetName val="guard(mac)"/>
      <sheetName val="A-4"/>
      <sheetName val="인사자료총집계"/>
      <sheetName val="BSD (2)"/>
      <sheetName val="공사비집계"/>
      <sheetName val="화재_탐지_설비"/>
      <sheetName val="TOWER_12TON"/>
      <sheetName val="TOWER_10TON"/>
      <sheetName val="COVER-P"/>
      <sheetName val="실행"/>
      <sheetName val="경비"/>
      <sheetName val="000000"/>
      <sheetName val="목표세부명세"/>
      <sheetName val="영동(D)"/>
      <sheetName val="예비품"/>
      <sheetName val="자재단가비교표"/>
      <sheetName val="유리"/>
      <sheetName val="단가결정"/>
      <sheetName val="내역아"/>
      <sheetName val="울타리"/>
      <sheetName val="시설물일위"/>
      <sheetName val="목록"/>
      <sheetName val="이름"/>
      <sheetName val="DATA"/>
      <sheetName val="환산"/>
      <sheetName val="납부서"/>
      <sheetName val="gvl"/>
      <sheetName val="단중표"/>
      <sheetName val="AV시스템"/>
      <sheetName val="원가계산서(남측)"/>
      <sheetName val="지계"/>
      <sheetName val="시화점실행"/>
      <sheetName val="Ext. Stone-P"/>
      <sheetName val="BCK3672"/>
      <sheetName val="HRSG SMALL07220"/>
      <sheetName val="공사진행"/>
      <sheetName val="한강운반비"/>
      <sheetName val="카니발(자105노60)"/>
      <sheetName val="설계내역서"/>
      <sheetName val="CAT_5"/>
      <sheetName val="설직재-1"/>
      <sheetName val="FURNITURE-01"/>
      <sheetName val="SP-B1"/>
      <sheetName val="현장관리비"/>
      <sheetName val="실행내역"/>
      <sheetName val="ABUT수량-A1"/>
      <sheetName val="중기조종사 단위단가"/>
      <sheetName val="노무비단가"/>
      <sheetName val="작성기준"/>
      <sheetName val="천안IP공장자100노100물량110할증"/>
      <sheetName val="시멘트"/>
      <sheetName val="케이블및전선관규격표"/>
      <sheetName val="골조시행"/>
      <sheetName val="APT"/>
      <sheetName val="직노"/>
      <sheetName val="인테리어세부내역"/>
      <sheetName val="6호기"/>
      <sheetName val="Regenerator  Concrete Structure"/>
      <sheetName val="집수정"/>
      <sheetName val="플랜트 설치"/>
      <sheetName val="일반공사"/>
      <sheetName val="금액"/>
      <sheetName val="공문"/>
      <sheetName val="PROJECT BRIEF(EX.NEW)"/>
      <sheetName val="SKETCH"/>
      <sheetName val="REINF."/>
      <sheetName val="LOADS"/>
      <sheetName val="CHECK1"/>
      <sheetName val="내역"/>
      <sheetName val="광혁기성"/>
      <sheetName val="단가 및 재료비"/>
      <sheetName val="내역1"/>
      <sheetName val="장비부하"/>
      <sheetName val="전차선로 물량표"/>
      <sheetName val="전차선로_물량표"/>
      <sheetName val="Ext__Stone-P"/>
      <sheetName val="HRSG_SMALL07220"/>
      <sheetName val="기준 및 분석"/>
      <sheetName val="45,46"/>
      <sheetName val="Curves"/>
      <sheetName val="Tables"/>
      <sheetName val="잡철물"/>
      <sheetName val="chitimc"/>
      <sheetName val="반중력식옹벽"/>
      <sheetName val="부대토목"/>
      <sheetName val="공량산출근거서"/>
      <sheetName val="기존단가 (2)"/>
      <sheetName val="공사개요"/>
      <sheetName val="SUMMARY"/>
      <sheetName val="PAINT"/>
      <sheetName val="8.PILE  (돌출)"/>
      <sheetName val="NYS"/>
      <sheetName val="ETC"/>
      <sheetName val="물량표S"/>
      <sheetName val="물량표"/>
      <sheetName val="말뚝지지력산정"/>
      <sheetName val="CATV"/>
      <sheetName val="원가계산서"/>
      <sheetName val="갑지"/>
      <sheetName val="수입"/>
      <sheetName val="토목주소"/>
      <sheetName val="프랜트면허"/>
      <sheetName val="연부97-1"/>
      <sheetName val="EACT10"/>
      <sheetName val="N賃率-職"/>
      <sheetName val="ASP"/>
      <sheetName val="BQ"/>
      <sheetName val="hvac(제어동)"/>
      <sheetName val="BOQ건축"/>
      <sheetName val="HRSG_SMALL072201"/>
      <sheetName val="Ext__Stone-P1"/>
      <sheetName val="BSD_(2)"/>
      <sheetName val="중기조종사_단위단가"/>
      <sheetName val="Regenerator__Concrete_Structure"/>
      <sheetName val="플랜트_설치"/>
      <sheetName val="단가_및_재료비"/>
      <sheetName val="기준_및_분석"/>
      <sheetName val="전차선로_물량표1"/>
      <sheetName val="8_PILE__(돌출)"/>
      <sheetName val="기존단가_(2)"/>
      <sheetName val="Total"/>
      <sheetName val="품셈TABLE"/>
      <sheetName val="MixBed"/>
      <sheetName val="CondPol"/>
      <sheetName val="Factor"/>
      <sheetName val="제수"/>
      <sheetName val="공기"/>
      <sheetName val="DHEQSUPT"/>
      <sheetName val="총예상원가"/>
      <sheetName val="직재"/>
      <sheetName val=" 견적서"/>
      <sheetName val="ITEM"/>
      <sheetName val="입출재고현황 (2)"/>
      <sheetName val="미드수량"/>
      <sheetName val="MINA BM"/>
      <sheetName val="h-013211-2"/>
      <sheetName val="기본DATA"/>
      <sheetName val="북방3터널"/>
      <sheetName val="1.설계조건"/>
      <sheetName val="조명시설"/>
      <sheetName val="INSTR"/>
      <sheetName val="MEMBER"/>
      <sheetName val="점수계산1-2"/>
      <sheetName val="지사인원사무실"/>
      <sheetName val="Customer Databas"/>
      <sheetName val="금액집계"/>
      <sheetName val="IMPEADENCE MAP 취수장"/>
      <sheetName val="사업성분석"/>
      <sheetName val="표준대차대조표(1)"/>
      <sheetName val="부속동"/>
      <sheetName val="월별수입"/>
      <sheetName val="견적서"/>
      <sheetName val="118.세금과공과"/>
      <sheetName val="Parts"/>
      <sheetName val="Menu A"/>
      <sheetName val="수량산출1"/>
      <sheetName val="일위대가"/>
      <sheetName val="자재단가표"/>
      <sheetName val="소방"/>
      <sheetName val="7. 현장관리비 "/>
      <sheetName val="6. 안전관리비"/>
      <sheetName val="하수실행"/>
      <sheetName val="상수도토공집계표"/>
      <sheetName val="건축내역"/>
      <sheetName val="약품설비"/>
      <sheetName val="산출근거"/>
      <sheetName val="FB25JN"/>
      <sheetName val="심의위원명단"/>
      <sheetName val="실행철강하도"/>
      <sheetName val="신표지1"/>
      <sheetName val="1.총괄현황"/>
      <sheetName val="2공구산출내역"/>
      <sheetName val="C-18"/>
      <sheetName val="COA-17"/>
      <sheetName val="예산M11A"/>
      <sheetName val="LS re sales"/>
      <sheetName val="I一般比"/>
      <sheetName val="내역표지"/>
      <sheetName val="별표 "/>
      <sheetName val="조명율표"/>
      <sheetName val="단가조사-2"/>
      <sheetName val="VE절감"/>
      <sheetName val="자재단가"/>
      <sheetName val="신우"/>
      <sheetName val="PROJECT_BRIEF(EX_NEW)"/>
      <sheetName val="_REF"/>
      <sheetName val="소요자재"/>
      <sheetName val="노무산출서"/>
      <sheetName val="실행내역서 "/>
      <sheetName val="자판실행"/>
      <sheetName val="MAT"/>
      <sheetName val="단면 (2)"/>
      <sheetName val="부하계산서"/>
      <sheetName val="자료"/>
      <sheetName val="지급자재"/>
      <sheetName val="SUB일위대가"/>
      <sheetName val="변경내역을"/>
      <sheetName val="3.공통공사대비"/>
      <sheetName val="CAPVC"/>
      <sheetName val="Sheet2"/>
      <sheetName val="Air-Con Charging(A)"/>
      <sheetName val="Air-Con Charging (2)"/>
      <sheetName val="c_balju"/>
      <sheetName val="단가표"/>
      <sheetName val="수량산출서"/>
      <sheetName val="산출서(마감)"/>
      <sheetName val="이음정착표"/>
      <sheetName val="부재산출표"/>
      <sheetName val="집계표(마감)"/>
      <sheetName val="수량집계표"/>
      <sheetName val="가격조사서"/>
      <sheetName val="청주(철골발주의뢰서)"/>
      <sheetName val="정렬"/>
      <sheetName val="분전함신설"/>
      <sheetName val="접지1종"/>
      <sheetName val="이자율"/>
      <sheetName val="잡비"/>
      <sheetName val="조건입력"/>
      <sheetName val="조건입력(2)"/>
      <sheetName val="장비선정"/>
      <sheetName val="세부내역"/>
      <sheetName val="현장"/>
      <sheetName val="공사내역서"/>
      <sheetName val="01"/>
      <sheetName val="기별"/>
      <sheetName val="설계명세서"/>
      <sheetName val="설계조건"/>
      <sheetName val="2010"/>
      <sheetName val="CC16-내역서"/>
      <sheetName val="12호기내역서(건축분)"/>
      <sheetName val="찍기"/>
      <sheetName val="Cash Flow"/>
      <sheetName val="Source"/>
      <sheetName val="단가비교표"/>
      <sheetName val="터파기및재료"/>
      <sheetName val="전체도급"/>
      <sheetName val="자재조사"/>
      <sheetName val="시중노임"/>
      <sheetName val="산근"/>
      <sheetName val="대비표"/>
      <sheetName val="산출내역서집계표"/>
      <sheetName val="기초코드"/>
      <sheetName val="유림총괄"/>
      <sheetName val="진접"/>
      <sheetName val="일위대가(건축)"/>
      <sheetName val="1.설계기준"/>
      <sheetName val="EJ"/>
      <sheetName val="MTL$-INTER"/>
      <sheetName val="제품 사양서LG"/>
      <sheetName val="표층포설및다짐"/>
      <sheetName val="2F 회의실견적(5_14 일대)"/>
      <sheetName val="1층"/>
      <sheetName val="별표총괄"/>
      <sheetName val="정부노임단가"/>
      <sheetName val="충주"/>
      <sheetName val="재료율"/>
      <sheetName val="카렌스센터계량기설치공사"/>
      <sheetName val="적용건축"/>
      <sheetName val="말뚝설계"/>
      <sheetName val="JUCKEYK"/>
      <sheetName val="형틀공사"/>
      <sheetName val="전력"/>
      <sheetName val="workscope변경"/>
      <sheetName val="Front"/>
      <sheetName val="wall"/>
      <sheetName val="시행후면적"/>
      <sheetName val="공사비명세서"/>
      <sheetName val="TYPE-A"/>
      <sheetName val="구의33고"/>
      <sheetName val="샤워실위생"/>
      <sheetName val="C_d"/>
      <sheetName val="CONCRETE"/>
      <sheetName val="탑(을지)"/>
      <sheetName val="HRSG_SMALL072202"/>
      <sheetName val="Regenerator__Concrete_Structur1"/>
      <sheetName val="단가_및_재료비1"/>
      <sheetName val="Ext__Stone-P2"/>
      <sheetName val="플랜트_설치1"/>
      <sheetName val="중기조종사_단위단가1"/>
      <sheetName val="기준_및_분석1"/>
      <sheetName val="BSD_(2)1"/>
      <sheetName val="전차선로_물량표2"/>
      <sheetName val="8_PILE__(돌출)1"/>
      <sheetName val="기존단가_(2)1"/>
      <sheetName val="PROJECT_BRIEF(EX_NEW)1"/>
      <sheetName val="1_설계조건"/>
      <sheetName val="_견적서"/>
      <sheetName val="입출재고현황_(2)"/>
      <sheetName val="MINA_BM"/>
      <sheetName val="7__현장관리비_"/>
      <sheetName val="6__안전관리비"/>
      <sheetName val="118_세금과공과"/>
      <sheetName val="Menu_A"/>
      <sheetName val="Customer_Databas"/>
      <sheetName val="IMPEADENCE_MAP_취수장"/>
      <sheetName val="1_총괄현황"/>
      <sheetName val="REINF_"/>
      <sheetName val="3_공통공사대비"/>
      <sheetName val="LS_re_sales"/>
      <sheetName val="별표_"/>
      <sheetName val="실행내역서_"/>
      <sheetName val="Air-Con_Charging(A)"/>
      <sheetName val="Air-Con_Charging_(2)"/>
      <sheetName val="단면_(2)"/>
      <sheetName val="취합표"/>
      <sheetName val="물량산출"/>
      <sheetName val="969910( R)"/>
      <sheetName val="자재조사표(참고용)"/>
      <sheetName val="품셈집계표"/>
      <sheetName val="일반부표집계표"/>
      <sheetName val="부암동"/>
      <sheetName val="표지"/>
      <sheetName val="실갑"/>
      <sheetName val="현장실"/>
      <sheetName val="토목"/>
      <sheetName val="건축"/>
      <sheetName val="설비"/>
      <sheetName val="전기.통신"/>
      <sheetName val="견적특기사항"/>
      <sheetName val="견적의뢰업체"/>
      <sheetName val="공사면적"/>
      <sheetName val="증감내역서"/>
      <sheetName val="업무분장"/>
      <sheetName val="DATA1"/>
      <sheetName val="Sheet1 (2)"/>
      <sheetName val="ASALTOTA"/>
      <sheetName val="변수"/>
      <sheetName val="dV&amp;Cl"/>
      <sheetName val="CAP"/>
      <sheetName val="R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표"/>
      <sheetName val="원가계산"/>
      <sheetName val="집계표"/>
      <sheetName val="내역서"/>
      <sheetName val="영동(일)"/>
      <sheetName val="영동(D)"/>
      <sheetName val="영동(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입찰안"/>
      <sheetName val="A-4"/>
      <sheetName val="공사비집계"/>
      <sheetName val="목표세부명세"/>
      <sheetName val="45,46"/>
      <sheetName val="점수계산1-2"/>
      <sheetName val="설계내역서"/>
      <sheetName val="SKETCH"/>
      <sheetName val="REINF."/>
      <sheetName val="LOADS"/>
      <sheetName val="CHECK1"/>
      <sheetName val="현금흐름"/>
      <sheetName val="공통가설"/>
      <sheetName val="인건비"/>
      <sheetName val="교각1"/>
      <sheetName val="Sheet5"/>
      <sheetName val="수입"/>
      <sheetName val="시멘트"/>
      <sheetName val="공문"/>
      <sheetName val="인사자료총집계"/>
      <sheetName val="손익계산서"/>
      <sheetName val="base"/>
      <sheetName val="내역서"/>
      <sheetName val="1공구산출내역서"/>
      <sheetName val="견적공통"/>
      <sheetName val="#REF"/>
      <sheetName val="실행철강하도"/>
      <sheetName val="업체FIX"/>
      <sheetName val="2.주요계수총괄"/>
      <sheetName val="날1"/>
      <sheetName val="횡배수관토공수량"/>
      <sheetName val="원가"/>
      <sheetName val="FURNITURE-01"/>
      <sheetName val="I一般比"/>
      <sheetName val="SUMMARY"/>
      <sheetName val="PAINT"/>
      <sheetName val="추가예산"/>
      <sheetName val="토목주소"/>
      <sheetName val="프랜트면허"/>
      <sheetName val="Customer Databas"/>
      <sheetName val="내역"/>
      <sheetName val="음료실행"/>
      <sheetName val="INPUT"/>
      <sheetName val="낙찰표"/>
      <sheetName val="건축집계"/>
      <sheetName val="EACT10"/>
      <sheetName val="일위대가"/>
      <sheetName val="부대공Ⅱ"/>
      <sheetName val="단가대비표"/>
      <sheetName val="손익"/>
      <sheetName val="이자율"/>
      <sheetName val="분양금입금계획"/>
      <sheetName val="투입"/>
      <sheetName val="Intro2"/>
      <sheetName val="Id"/>
      <sheetName val="재무가정"/>
      <sheetName val="수정시산표"/>
      <sheetName val="인원계획-미화"/>
      <sheetName val="노무비"/>
      <sheetName val="전체"/>
      <sheetName val="차선도색현황"/>
      <sheetName val="일반"/>
      <sheetName val="폼관조직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020114"/>
      <sheetName val="0111월"/>
      <sheetName val="건축내역"/>
      <sheetName val="지급자재"/>
      <sheetName val="ABUT수량-A1"/>
      <sheetName val="대손검토"/>
      <sheetName val="차액보증"/>
      <sheetName val="Sheet1 (2)"/>
      <sheetName val="매출"/>
      <sheetName val="국내총괄"/>
      <sheetName val="특판제외"/>
      <sheetName val="건축공사실행"/>
      <sheetName val="건축원가"/>
      <sheetName val="5사남"/>
      <sheetName val="입찰보고"/>
      <sheetName val="IMPEADENCE MAP 취수장"/>
      <sheetName val="SO416"/>
      <sheetName val="시산표"/>
      <sheetName val="기준및분포(OT)"/>
      <sheetName val="면적"/>
      <sheetName val="상가지급현황"/>
      <sheetName val="갑지(추정)"/>
      <sheetName val="ITEM"/>
      <sheetName val="잡비"/>
      <sheetName val="BSD (2)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A (Calcs)"/>
      <sheetName val="B (Controls)"/>
      <sheetName val="Set-Up"/>
      <sheetName val="Multi-Iteration"/>
      <sheetName val="당진1,2호기전선관설치및접지4차공사내역서-을지"/>
      <sheetName val="XZLC004_PART2"/>
      <sheetName val="XZLC003_PART1"/>
      <sheetName val="본사공가현황"/>
      <sheetName val="공사내역"/>
      <sheetName val="토공99-5=2"/>
      <sheetName val="대비"/>
      <sheetName val="제출 (2)"/>
      <sheetName val="최종"/>
      <sheetName val="choose"/>
      <sheetName val="fs"/>
      <sheetName val="원본"/>
      <sheetName val="공정코드"/>
      <sheetName val="9GNG운반"/>
      <sheetName val="지하시설물작성"/>
      <sheetName val="ETC"/>
      <sheetName val="현금및현금등가물1"/>
      <sheetName val="편입조서"/>
      <sheetName val="982월원안"/>
      <sheetName val="조건 (A)"/>
      <sheetName val="구성비"/>
      <sheetName val="개요"/>
      <sheetName val="1-최종안"/>
      <sheetName val="사업분석-분양가결정"/>
      <sheetName val="증감대비"/>
      <sheetName val="집계표"/>
      <sheetName val="Sheet6"/>
      <sheetName val="지장물"/>
      <sheetName val="D1300 자삽"/>
      <sheetName val="목차"/>
      <sheetName val="결산감사"/>
      <sheetName val="선수금(29)"/>
      <sheetName val="01"/>
      <sheetName val="Config"/>
      <sheetName val="수목표준대가"/>
      <sheetName val="출자한도"/>
      <sheetName val="Sheet3"/>
      <sheetName val="6동"/>
      <sheetName val="기본DATA"/>
      <sheetName val="간접경상비"/>
      <sheetName val="1.설계조건"/>
      <sheetName val="차량운반구"/>
      <sheetName val="Dept Upload"/>
      <sheetName val="93상각비"/>
      <sheetName val="갑지1"/>
      <sheetName val="표준대차대조표(갑)"/>
      <sheetName val="빙장비사양"/>
      <sheetName val="장비사양"/>
      <sheetName val="주관사업"/>
      <sheetName val="표지_(3)"/>
      <sheetName val="표지_(2)"/>
      <sheetName val="자재업체(egy)_"/>
      <sheetName val="노임이_(2)"/>
      <sheetName val="95년12월말"/>
      <sheetName val="A"/>
      <sheetName val="현장관리비 산출내역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산출근거"/>
      <sheetName val="토목"/>
      <sheetName val="조건표"/>
      <sheetName val="플랜트 설치"/>
      <sheetName val="일위대가표"/>
      <sheetName val="1.취수장"/>
      <sheetName val="실행내역서 "/>
      <sheetName val="갑지"/>
      <sheetName val="설비원가"/>
      <sheetName val="REINF_"/>
      <sheetName val="Customer_Databas"/>
      <sheetName val="2_주요계수총괄"/>
      <sheetName val="Sheet1_(2)"/>
      <sheetName val="IMPEADENCE_MAP_취수장"/>
      <sheetName val="BSD_(2)"/>
      <sheetName val="계수원본(99_2_28)"/>
      <sheetName val="A_(Calcs)"/>
      <sheetName val="B_(Controls)"/>
      <sheetName val="조건_(A)"/>
      <sheetName val="제출_(2)"/>
      <sheetName val="D1300_자삽"/>
      <sheetName val="1_설계조건"/>
      <sheetName val="Dept_Upload"/>
      <sheetName val="물건조서"/>
      <sheetName val="실농조서"/>
      <sheetName val="시설이용권명세서"/>
      <sheetName val="영동(D)"/>
      <sheetName val="Sheet1"/>
      <sheetName val="날개벽수량표"/>
      <sheetName val="원가계산서"/>
      <sheetName val="총괄"/>
      <sheetName val="SG"/>
      <sheetName val="EXPENSE"/>
      <sheetName val="5.1"/>
      <sheetName val="ABAD"/>
      <sheetName val="A1기성"/>
      <sheetName val="BGT"/>
      <sheetName val="CHAVOSH"/>
      <sheetName val="ZAR SAZ"/>
      <sheetName val="C_d"/>
      <sheetName val="자바라1"/>
      <sheetName val="은행"/>
      <sheetName val="노동부"/>
      <sheetName val="증감분석"/>
      <sheetName val="입출재고현황 (2)"/>
      <sheetName val="일위대가-1"/>
      <sheetName val="2월가격"/>
      <sheetName val="Index"/>
      <sheetName val="소요자재"/>
      <sheetName val="노무산출서"/>
      <sheetName val="예산대비"/>
      <sheetName val="안산기계장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노임이"/>
      <sheetName val="내역서"/>
      <sheetName val="내역"/>
      <sheetName val="선정_1"/>
      <sheetName val="선정_2"/>
      <sheetName val="선정_3"/>
      <sheetName val="선정_4"/>
      <sheetName val="선정_5"/>
      <sheetName val="6호기"/>
      <sheetName val="GAEYO"/>
      <sheetName val="갑지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산출근거"/>
      <sheetName val="입찰안"/>
      <sheetName val="1.설계조건"/>
      <sheetName val="대로근거"/>
      <sheetName val="중로근거"/>
      <sheetName val="내역서 "/>
      <sheetName val="단가"/>
      <sheetName val="단위수량"/>
      <sheetName val="9GNG운반"/>
      <sheetName val="자료"/>
      <sheetName val="1"/>
      <sheetName val="토목"/>
      <sheetName val="설명서 "/>
      <sheetName val="철근단면적"/>
      <sheetName val="ABUT수량-A1"/>
      <sheetName val="DATA"/>
      <sheetName val="8.PILE  (돌출)"/>
      <sheetName val="견적990322"/>
      <sheetName val="기둥(원형)"/>
      <sheetName val="단면가정"/>
      <sheetName val="Y-WORK"/>
      <sheetName val="ITEM"/>
      <sheetName val="UEC영화관본공사내역"/>
      <sheetName val="일위대가(계측기설치)"/>
      <sheetName val="노임이"/>
      <sheetName val="전기"/>
      <sheetName val="교각1"/>
      <sheetName val="98수문일위"/>
      <sheetName val="은행"/>
      <sheetName val="guard(mac)"/>
      <sheetName val="가도공"/>
      <sheetName val="SLAB&quot;1&quot;"/>
      <sheetName val="하도금액분계"/>
      <sheetName val="원형맨홀수량"/>
      <sheetName val="#REF"/>
      <sheetName val="DATE"/>
      <sheetName val="대비"/>
      <sheetName val="구조물철거타공정이월"/>
      <sheetName val="역T형"/>
      <sheetName val="TYPE-A"/>
      <sheetName val="Sheet1"/>
      <sheetName val="WVAL"/>
      <sheetName val="총괄표"/>
      <sheetName val="Macro(전선)"/>
      <sheetName val="hvac(제어동)"/>
      <sheetName val="hvac내역서(제어동)"/>
      <sheetName val="danga"/>
      <sheetName val="ilch"/>
      <sheetName val="식생블럭단위수량"/>
      <sheetName val="내역서"/>
      <sheetName val="설계예산"/>
      <sheetName val="주차구획선수량"/>
      <sheetName val="보온자재단가표"/>
      <sheetName val="COPING"/>
      <sheetName val="전체"/>
      <sheetName val="CODE"/>
      <sheetName val="관리,공감"/>
      <sheetName val="업체별기성내역"/>
      <sheetName val="물량표S"/>
      <sheetName val="PAINT"/>
      <sheetName val="SUMMARY"/>
      <sheetName val="물량표"/>
      <sheetName val="물량표(신)"/>
      <sheetName val="방음벽기초(H=4m)"/>
      <sheetName val="터파기및재료"/>
      <sheetName val="음료실행"/>
      <sheetName val="99노임기준"/>
      <sheetName val="일위대가9803"/>
      <sheetName val="갑지(추정)"/>
      <sheetName val="일반부표"/>
      <sheetName val="N賃率-職"/>
      <sheetName val="제직재"/>
      <sheetName val="설직재-1"/>
      <sheetName val="제-노임"/>
      <sheetName val="단면 (2)"/>
      <sheetName val="INPUT"/>
      <sheetName val="용산1(해보)"/>
      <sheetName val="합계금액"/>
      <sheetName val="설계조건"/>
      <sheetName val="70%"/>
      <sheetName val="플랜트 설치"/>
      <sheetName val="6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단가산출서1"/>
      <sheetName val="식재총괄"/>
      <sheetName val="을"/>
      <sheetName val="코드표"/>
      <sheetName val="좌측"/>
      <sheetName val="수입"/>
      <sheetName val="조경"/>
      <sheetName val="SILICATE"/>
      <sheetName val="TB-내역서"/>
      <sheetName val="내역서_"/>
      <sheetName val="시설물기초"/>
      <sheetName val="총집계"/>
      <sheetName val="교각계산"/>
      <sheetName val="INPUT(덕도방향-시점)"/>
      <sheetName val="공통가설"/>
      <sheetName val="손익분석"/>
      <sheetName val="Macro1"/>
      <sheetName val="연령현황"/>
      <sheetName val="대전21토목내역서"/>
      <sheetName val="일위대가(건축)"/>
      <sheetName val="crude.SLAB RE-bar"/>
      <sheetName val="CRUDE RE-bar"/>
      <sheetName val="데이타"/>
      <sheetName val="Front"/>
      <sheetName val="wall"/>
      <sheetName val="일위대가표"/>
      <sheetName val="우수공"/>
      <sheetName val="1,2,3,4,5단위수량"/>
      <sheetName val="분석"/>
      <sheetName val="터널구조물산근"/>
      <sheetName val="조작대(1연)"/>
      <sheetName val="전기일위대가"/>
      <sheetName val="산출내역서집계표"/>
      <sheetName val="실행철강하도"/>
      <sheetName val="o현장경비"/>
      <sheetName val="정렬"/>
      <sheetName val="3BL공동구 수량"/>
      <sheetName val="20관리비율"/>
      <sheetName val="토목내역"/>
      <sheetName val="가중치"/>
      <sheetName val="몰탈재료산출"/>
      <sheetName val="일위대가(가설)"/>
      <sheetName val="노임단가"/>
      <sheetName val="수량산출"/>
      <sheetName val="관경"/>
      <sheetName val="시행후면적"/>
      <sheetName val="시가지우회도로공내역서"/>
      <sheetName val="내역표지"/>
      <sheetName val="sw1"/>
      <sheetName val="자재단가"/>
      <sheetName val="H-pile(298x299)"/>
      <sheetName val="H-pile(250x250)"/>
      <sheetName val="송라터널총괄"/>
      <sheetName val="참조"/>
      <sheetName val="Sheet3"/>
      <sheetName val="도장수량(하1)"/>
      <sheetName val="주형"/>
      <sheetName val="내역"/>
      <sheetName val="설계명세"/>
      <sheetName val="2호맨홀공제수량"/>
      <sheetName val="개산공사비"/>
      <sheetName val="1.설계기준"/>
      <sheetName val="설계내역서"/>
      <sheetName val="기기리스트"/>
      <sheetName val="안산기계장치"/>
      <sheetName val="하수급견적대비"/>
      <sheetName val="철근량"/>
      <sheetName val="차액보증"/>
      <sheetName val="기계시공"/>
      <sheetName val="절취및터파기"/>
      <sheetName val="집계표(육상)"/>
      <sheetName val="금액내역서"/>
      <sheetName val="조건표"/>
      <sheetName val="배수통관(좌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수량BOQ"/>
      <sheetName val="세목전체"/>
      <sheetName val="찍기"/>
      <sheetName val="정부노임단가"/>
      <sheetName val="견적조건"/>
      <sheetName val="개략"/>
      <sheetName val="WORK"/>
      <sheetName val="물가자료"/>
      <sheetName val="W3단면"/>
      <sheetName val="Sheet2"/>
      <sheetName val="갑지"/>
      <sheetName val="별총"/>
      <sheetName val="공량산출서"/>
      <sheetName val="교대(A1)"/>
      <sheetName val="총괄"/>
      <sheetName val="건축공사"/>
      <sheetName val="신규 수주분(사용자 정의)"/>
      <sheetName val="안정계산"/>
      <sheetName val="단면검토"/>
      <sheetName val="DATA2000"/>
      <sheetName val="공사내역"/>
      <sheetName val="토적계산서"/>
      <sheetName val="BID"/>
      <sheetName val="토목품셈"/>
      <sheetName val="마산방향철근집계"/>
      <sheetName val="진주방향"/>
      <sheetName val="마산방향"/>
      <sheetName val="DATA 입력란"/>
      <sheetName val="CPM챠트"/>
      <sheetName val="한강운반비"/>
      <sheetName val="내역및총괄"/>
      <sheetName val="노임"/>
      <sheetName val="신우"/>
      <sheetName val="2.입력sheet"/>
      <sheetName val="M1"/>
      <sheetName val="뚝토공"/>
      <sheetName val="슬래브"/>
      <sheetName val="직공비"/>
      <sheetName val="(3.품질관리 시험 총괄표)"/>
      <sheetName val="지급자재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원형1호맨홀토공수량"/>
      <sheetName val="본체"/>
      <sheetName val="기계경비(시간당)"/>
      <sheetName val="램머"/>
      <sheetName val="토공총괄집계"/>
      <sheetName val="2000년1차"/>
      <sheetName val="2.가정단면"/>
      <sheetName val="내력서"/>
      <sheetName val="토공(우물통,기타) "/>
      <sheetName val="날개벽수량표"/>
      <sheetName val="수량집계표"/>
      <sheetName val="지급자재조서"/>
      <sheetName val="신표지1"/>
      <sheetName val="식재일위대가"/>
      <sheetName val="3.하중산정4.지지력"/>
      <sheetName val="표지 (2)"/>
      <sheetName val="COMPARISON TABLE"/>
      <sheetName val="부대공Ⅱ"/>
      <sheetName val="견적대비"/>
      <sheetName val="단가조사서"/>
      <sheetName val="목차"/>
      <sheetName val="통영LNG입찰현황"/>
      <sheetName val="토공총괄표"/>
      <sheetName val="입찰보고"/>
      <sheetName val="덕전리"/>
      <sheetName val="가로등내역서"/>
      <sheetName val="Total"/>
      <sheetName val="2000용수잠관-수량집계"/>
      <sheetName val="총괄내역서"/>
      <sheetName val="국공유지및사유지"/>
      <sheetName val="유림골조"/>
      <sheetName val="증감내역서"/>
      <sheetName val="7.PILE  (돌출)"/>
      <sheetName val="견적서"/>
      <sheetName val="원하도급내역서(당초)"/>
      <sheetName val="금융비용"/>
      <sheetName val="지주목시비량산출서"/>
      <sheetName val="단가조사"/>
      <sheetName val="예산작성기준(전기)"/>
      <sheetName val="COL"/>
      <sheetName val="설계변경원가계산총괄표"/>
      <sheetName val="옥룡잡비"/>
      <sheetName val="간지9)"/>
      <sheetName val="기안"/>
      <sheetName val="수정내역서"/>
      <sheetName val="산근(PE,300)"/>
      <sheetName val="특2호부관하천산근"/>
      <sheetName val="특2호하천산근"/>
      <sheetName val="주경기-오배수"/>
      <sheetName val="TEL"/>
      <sheetName val="설계예산서"/>
      <sheetName val="날개벽(시점좌측)"/>
      <sheetName val="설계기준"/>
      <sheetName val="갑지1"/>
      <sheetName val="※참고자료※"/>
      <sheetName val="전력"/>
      <sheetName val="대운산출"/>
      <sheetName val="세부내역"/>
      <sheetName val="소방현물"/>
      <sheetName val="거래처등록"/>
      <sheetName val="CON포장수량"/>
      <sheetName val="CONUNIT"/>
      <sheetName val="자재목록"/>
      <sheetName val="입력"/>
      <sheetName val="1.우편집중내역서"/>
      <sheetName val="BOX(1.5X1.5)"/>
      <sheetName val="U-TYPE(1)"/>
      <sheetName val="전선 및 전선관"/>
      <sheetName val="관경별우수관집계"/>
      <sheetName val="물가시세표"/>
      <sheetName val="표  지"/>
      <sheetName val="시선유도표지집계표"/>
      <sheetName val="BOX전기내역"/>
      <sheetName val="소운반"/>
      <sheetName val="단가(1)"/>
      <sheetName val="PD-5(직선)"/>
      <sheetName val="맨홀수량"/>
      <sheetName val="일반공사"/>
      <sheetName val="웅진교-S2"/>
      <sheetName val="방음벽기초"/>
      <sheetName val="품셈TABLE"/>
      <sheetName val="식재인부"/>
      <sheetName val="SLIDES"/>
      <sheetName val="토사(PE)"/>
      <sheetName val="Sheet1 (2)"/>
      <sheetName val="단가(반정1교-원주)"/>
      <sheetName val="Sheet10"/>
      <sheetName val="데리네이타현황"/>
      <sheetName val="인명부"/>
      <sheetName val="MOTOR"/>
      <sheetName val="하중"/>
      <sheetName val="옹벽"/>
      <sheetName val="PAD TR보호대기초"/>
      <sheetName val="가로등기초"/>
      <sheetName val="중기사용료산출근거"/>
      <sheetName val="단가 및 재료비"/>
      <sheetName val="대림경상68억"/>
      <sheetName val="원가계산서"/>
      <sheetName val="실행대비"/>
      <sheetName val="대비표"/>
      <sheetName val="1.2.1 마루높이결정"/>
      <sheetName val="BOILING검토"/>
      <sheetName val="차선도색현황"/>
      <sheetName val="우수관"/>
      <sheetName val="&lt;목록&gt;"/>
      <sheetName val="기계경비일람"/>
      <sheetName val="BID9697"/>
      <sheetName val="Baby일위대가"/>
      <sheetName val="A-4"/>
      <sheetName val="주식"/>
      <sheetName val="기자재비"/>
      <sheetName val="현장일반사항"/>
      <sheetName val="포장복구집계"/>
      <sheetName val="지구단위계획"/>
      <sheetName val="type-F"/>
      <sheetName val="횡배수관"/>
      <sheetName val="기계경비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공사비산출내역"/>
      <sheetName val="포장물량집계"/>
      <sheetName val="전력구구조물산근"/>
      <sheetName val="1TL종점(1)"/>
      <sheetName val="도로경계블럭연장조서"/>
      <sheetName val="노무비계"/>
      <sheetName val="sheeet2"/>
      <sheetName val="단면 _2_"/>
      <sheetName val=" 냉각수펌프"/>
      <sheetName val="Sheet5"/>
      <sheetName val="참조M"/>
      <sheetName val="1062-X방향 "/>
      <sheetName val="용수량(생활용수)"/>
      <sheetName val="2000전체분"/>
      <sheetName val="인천제철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spiral"/>
      <sheetName val="6호기"/>
      <sheetName val="일위대가1"/>
      <sheetName val="Sheet15"/>
      <sheetName val="XL4Poppy"/>
      <sheetName val="소업1교"/>
      <sheetName val="ACUNIT"/>
      <sheetName val="현황산출서"/>
      <sheetName val="부하계산서"/>
      <sheetName val="품의"/>
      <sheetName val="woo(mac)"/>
      <sheetName val="수량집계"/>
      <sheetName val="예산대비"/>
      <sheetName val="DIAPHRAGM"/>
      <sheetName val="원형측구(B-type)"/>
      <sheetName val="상수도공-간지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변경후-SHEET"/>
      <sheetName val="상시"/>
      <sheetName val="예상"/>
      <sheetName val="계단"/>
      <sheetName val="WEON"/>
      <sheetName val="약품공급2"/>
      <sheetName val="2011.(4)"/>
      <sheetName val="재집"/>
      <sheetName val="직재"/>
      <sheetName val="보차도경계석"/>
      <sheetName val="맨홀평균높이"/>
      <sheetName val="결과조달"/>
      <sheetName val="날개벽"/>
      <sheetName val="Pier 3"/>
      <sheetName val="2002년12월"/>
      <sheetName val="통합"/>
      <sheetName val="재료"/>
      <sheetName val="기초공"/>
      <sheetName val="유림총괄"/>
      <sheetName val="바닥판(1)"/>
      <sheetName val="설계기준 및 하중계산"/>
      <sheetName val="내역서(전기)"/>
      <sheetName val="종배수관(신)"/>
      <sheetName val="적용단위길이"/>
      <sheetName val="자료입력"/>
      <sheetName val="종배수관면벽신"/>
      <sheetName val="11.자재단가"/>
      <sheetName val="배수내역"/>
      <sheetName val="공내역"/>
      <sheetName val="공종별수량집계"/>
      <sheetName val="역T형(H=6.0) (2)"/>
      <sheetName val="중기집계"/>
      <sheetName val="산근목록"/>
      <sheetName val="입력시트"/>
      <sheetName val="공사현황"/>
      <sheetName val="수량산출근거"/>
      <sheetName val="1. 설계조건 2.단면가정 3. 하중계산"/>
      <sheetName val="계산서(곡선부)"/>
      <sheetName val="-치수표(곡선부)"/>
      <sheetName val="설정"/>
      <sheetName val="코드"/>
      <sheetName val="전차선로 물량표"/>
      <sheetName val="기계내역"/>
      <sheetName val="슬래브(유곡)"/>
      <sheetName val="품셈총괄표"/>
      <sheetName val="FOOTING단면력"/>
      <sheetName val="0226"/>
      <sheetName val="GAEYO"/>
      <sheetName val="SUMDO"/>
      <sheetName val="ENDDO"/>
      <sheetName val="PLDB"/>
      <sheetName val="AAA"/>
      <sheetName val="M-HOUR"/>
      <sheetName val="공기"/>
      <sheetName val="단가산출"/>
      <sheetName val="2공구산출내역"/>
      <sheetName val="각사별공사비분개 "/>
      <sheetName val="단가일람"/>
      <sheetName val="단위량당중기"/>
      <sheetName val="P3"/>
      <sheetName val="00000"/>
      <sheetName val="1호맨홀토공"/>
      <sheetName val="CTEMCOST"/>
      <sheetName val="현장관리비"/>
      <sheetName val="대정2공구"/>
      <sheetName val="포장직선구간"/>
      <sheetName val="원가입력"/>
      <sheetName val="추정공사비_산출내역1.xlsx"/>
      <sheetName val="Dike for 49T03 &amp; 49T04"/>
      <sheetName val="Dike for 49T02, 05~07, 19 (1)"/>
      <sheetName val="공구"/>
      <sheetName val="집계"/>
      <sheetName val="배수공"/>
      <sheetName val="배수철근"/>
      <sheetName val="수량산출서 갑지"/>
      <sheetName val="산근"/>
      <sheetName val="기둥"/>
      <sheetName val="저판(버림100)"/>
      <sheetName val="계화배수"/>
      <sheetName val="(A)내역서"/>
      <sheetName val="음봉방향"/>
      <sheetName val="ASP"/>
      <sheetName val="준검 내역서"/>
      <sheetName val="견적대비 견적서"/>
      <sheetName val="맨홀수량산출"/>
      <sheetName val="평균터파기"/>
      <sheetName val="공정별 수량산출서"/>
      <sheetName val="일반시방서"/>
      <sheetName val="일위대가(조경)"/>
      <sheetName val="공사원가계산서"/>
      <sheetName val="자재 및 폐기물견적(2008)"/>
      <sheetName val="약품설비"/>
      <sheetName val="Model"/>
      <sheetName val="CONSTRUCTION COMPONENT"/>
      <sheetName val="실행"/>
      <sheetName val="예산내역서"/>
      <sheetName val="접속 SLAB,BRACKET 설계"/>
      <sheetName val="M_DB"/>
      <sheetName val="TYPE"/>
      <sheetName val="costing_FE"/>
      <sheetName val="inter"/>
      <sheetName val="공종집계"/>
      <sheetName val="3CHBDC"/>
      <sheetName val="사급자재"/>
      <sheetName val="CAT_5"/>
      <sheetName val="간접비내역-1"/>
      <sheetName val="내역(전체)"/>
      <sheetName val="가정급수관"/>
      <sheetName val="Sheet6"/>
      <sheetName val="2000년하반기"/>
      <sheetName val="옥내아파트(전기)"/>
      <sheetName val="건축집계"/>
      <sheetName val="BOQ"/>
      <sheetName val="DESCRIPTION"/>
      <sheetName val="1호-아(오)0.4"/>
      <sheetName val="석축"/>
      <sheetName val="세부내역서"/>
      <sheetName val="북방3터널"/>
      <sheetName val="현장별계약현황('98.10.31)"/>
      <sheetName val="중동공구"/>
      <sheetName val="EQ"/>
      <sheetName val="수목표준대가"/>
      <sheetName val="산출내역서"/>
      <sheetName val="장비사양"/>
      <sheetName val="빙장비사양"/>
      <sheetName val="Tables"/>
      <sheetName val="BOX-1515"/>
      <sheetName val="BOX-1510"/>
      <sheetName val="전계가"/>
      <sheetName val="공통부대비"/>
      <sheetName val="Macro(차단기)"/>
      <sheetName val="터널조도"/>
      <sheetName val="도급예산내역서봉투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맨홀토공수량"/>
      <sheetName val="인건비"/>
      <sheetName val="화단 철거"/>
      <sheetName val="수지예산"/>
      <sheetName val="예정(3)"/>
      <sheetName val="측구공"/>
      <sheetName val="입력값"/>
      <sheetName val="기초(중마오수)"/>
      <sheetName val="결재갑지"/>
      <sheetName val="간접비계산"/>
      <sheetName val="일위대가목차"/>
      <sheetName val="자재 집계표"/>
      <sheetName val="wk prgs"/>
      <sheetName val="Berm"/>
      <sheetName val="COPING-1"/>
      <sheetName val="역T형교대-2수량"/>
      <sheetName val="1-1"/>
      <sheetName val="공사비증감"/>
      <sheetName val="점수계산1-2"/>
      <sheetName val="중기비"/>
      <sheetName val="CABLE SIZE-3"/>
      <sheetName val="대치판정"/>
      <sheetName val="소비자가"/>
      <sheetName val="단가대비표"/>
      <sheetName val="주beam"/>
      <sheetName val="cable data1"/>
      <sheetName val="관로토공"/>
      <sheetName val="명세서"/>
      <sheetName val="재료비"/>
      <sheetName val="건축내역"/>
      <sheetName val="TYPE1"/>
      <sheetName val="공사비집계"/>
      <sheetName val="집수정"/>
      <sheetName val="설계개요"/>
      <sheetName val="pvc연결관"/>
      <sheetName val="2. 공원조도"/>
      <sheetName val="경산"/>
      <sheetName val="부속동"/>
      <sheetName val="변화치수"/>
      <sheetName val="밸브설치"/>
      <sheetName val="기본DATA"/>
      <sheetName val="내역서_1"/>
      <sheetName val="6PILE__(돌출)"/>
      <sheetName val="플랜트_설치"/>
      <sheetName val="설명서_"/>
      <sheetName val="8_PILE__(돌출)"/>
      <sheetName val="1_설계기준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Sheet16"/>
      <sheetName val="Sheet14"/>
      <sheetName val="부하"/>
      <sheetName val="APT"/>
      <sheetName val="Sheet13"/>
      <sheetName val="최적단면"/>
      <sheetName val="IMPEADENCE MAP 취수장"/>
      <sheetName val="우수"/>
      <sheetName val="단지조성공(가포)"/>
      <sheetName val="BSD (2)"/>
      <sheetName val="EP0618"/>
      <sheetName val="물가시세"/>
      <sheetName val="빌딩 안내"/>
      <sheetName val="대우단가(풍산)"/>
      <sheetName val="1_우편집중내역서"/>
      <sheetName val="Sheet1_(2)"/>
      <sheetName val="3_하중산정4_지지력"/>
      <sheetName val="표__지"/>
      <sheetName val="표지_(2)"/>
      <sheetName val="종단계산"/>
      <sheetName val="J直材4"/>
      <sheetName val="구조물공위치조서"/>
      <sheetName val="영동(D)"/>
      <sheetName val="AC포장수량"/>
      <sheetName val="총수량집계표"/>
      <sheetName val="예가표"/>
      <sheetName val="CAL"/>
      <sheetName val="도"/>
      <sheetName val="항목"/>
      <sheetName val="DNW"/>
      <sheetName val="아스콘단위"/>
      <sheetName val="편입용지조서"/>
      <sheetName val="경비_원본"/>
      <sheetName val="일반수량총괄집계"/>
      <sheetName val="계약ITEM"/>
      <sheetName val="특수선일위대가"/>
      <sheetName val="평가데이터"/>
      <sheetName val="마산월령동골조물량변경"/>
      <sheetName val="2.2 S-Curve"/>
      <sheetName val="일위대가_호표"/>
      <sheetName val="일위대가_호표 (계약)"/>
      <sheetName val="설직재_1"/>
      <sheetName val="tggwan(mac)"/>
      <sheetName val="배수내역 (2)"/>
      <sheetName val="6공구(당초)"/>
      <sheetName val="업무"/>
      <sheetName val="공사내역서(을)실행"/>
      <sheetName val="범례표"/>
      <sheetName val="배수개거"/>
      <sheetName val="개방1"/>
      <sheetName val="전체내역서"/>
      <sheetName val="3.공통공사대비"/>
      <sheetName val="수량"/>
      <sheetName val="변실"/>
      <sheetName val="이음부"/>
      <sheetName val="포장재료집계표"/>
      <sheetName val="N10(미지급) "/>
      <sheetName val="(평균)"/>
      <sheetName val="청천내"/>
      <sheetName val="단면A-A(TR)"/>
      <sheetName val="수량명세서"/>
      <sheetName val="종배수관"/>
      <sheetName val="S0"/>
      <sheetName val="깨기"/>
      <sheetName val="LKVL-CK-HT-GD1"/>
      <sheetName val="TONGKE-HT"/>
      <sheetName val="가시설수량"/>
      <sheetName val="Contents"/>
      <sheetName val="-배수구조물공토공"/>
      <sheetName val="횡배수관재료-"/>
      <sheetName val="계산서(직선부)"/>
      <sheetName val="정읍농소"/>
      <sheetName val="SG"/>
      <sheetName val="주소록2000(전화번호부)"/>
      <sheetName val="3련 BOX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CTG"/>
      <sheetName val="escon"/>
      <sheetName val="Sheet4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대포2교접속"/>
      <sheetName val="천방교접속"/>
      <sheetName val="돌담교 상부수량"/>
      <sheetName val="H-PILE수량집계"/>
      <sheetName val="수량-가로등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Thuc thanh"/>
      <sheetName val="264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물류최종8월7"/>
      <sheetName val="Quantity"/>
      <sheetName val="침하계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DI-ESTI"/>
      <sheetName val="일위대가표(유단가)"/>
      <sheetName val="Civil. Sub-Station 1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汇总表"/>
      <sheetName val="단위수량산출"/>
      <sheetName val="부대내역"/>
      <sheetName val="사각맨홀"/>
      <sheetName val="현금및현금등가물1"/>
      <sheetName val="지장물총괄표"/>
      <sheetName val="Project Brief"/>
      <sheetName val="AILC004"/>
      <sheetName val="단위중량"/>
      <sheetName val="단면치수"/>
      <sheetName val="7월천안현장 집계표"/>
      <sheetName val="장비.자재"/>
      <sheetName val="장비명세서"/>
      <sheetName val=" 노무집계"/>
      <sheetName val="일용노무비"/>
      <sheetName val="직접인건비"/>
      <sheetName val="목표세부명세"/>
      <sheetName val="252K444"/>
      <sheetName val="간접경상비"/>
      <sheetName val="접속도로"/>
      <sheetName val="노임단가기준"/>
      <sheetName val="2.단면가정 "/>
      <sheetName val="암거 제원표"/>
      <sheetName val="기초코드"/>
      <sheetName val="수량산출서"/>
      <sheetName val="Multi-dims"/>
      <sheetName val="중간간지 (2)"/>
      <sheetName val="배수관산출"/>
      <sheetName val="하중계산"/>
      <sheetName val="6.단면검토"/>
      <sheetName val="수문보고"/>
      <sheetName val="S.중기사용료"/>
      <sheetName val="97노임단가"/>
      <sheetName val="입력란"/>
      <sheetName val="96보완계획7.12"/>
      <sheetName val="단가산출총괄표"/>
      <sheetName val="목록"/>
      <sheetName val="수로교총재료집계"/>
      <sheetName val="BG"/>
      <sheetName val="실행내역서 "/>
      <sheetName val="철거산출근거"/>
      <sheetName val="기초자료"/>
      <sheetName val="상세"/>
      <sheetName val="직노"/>
      <sheetName val="PAINT (2)"/>
      <sheetName val="1.폐기물집계표"/>
      <sheetName val="Macro(전동기)"/>
      <sheetName val="dnc4"/>
      <sheetName val="제수"/>
      <sheetName val="BLOCK(1)"/>
      <sheetName val="내역서_2"/>
      <sheetName val="8_PILE__(돌출)1"/>
      <sheetName val="1_설계기준1"/>
      <sheetName val="플랜트_설치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토공(우물통,기타)_1"/>
      <sheetName val="신규_수주분(사용자_정의)1"/>
      <sheetName val="설명서_1"/>
      <sheetName val="COMPARISON_TABLE1"/>
      <sheetName val="crude_SLAB_RE-bar1"/>
      <sheetName val="CRUDE_RE-bar1"/>
      <sheetName val="1__설계조건_2_단면가정_3__하중계산"/>
      <sheetName val="DATA_입력란1"/>
      <sheetName val="단면_(2)1"/>
      <sheetName val="2_입력sheet1"/>
      <sheetName val="(3_품질관리_시험_총괄표)1"/>
      <sheetName val="별표_1"/>
      <sheetName val="2_가정단면1"/>
      <sheetName val="BOX(1_5X1_5)1"/>
      <sheetName val="역T형(H=6_0)_(2)"/>
      <sheetName val="공정별_수량산출서"/>
      <sheetName val="자재_및_폐기물견적(2008)"/>
      <sheetName val="7_PILE__(돌출)1"/>
      <sheetName val="ENE-CAL_1"/>
      <sheetName val="ITB_COST"/>
      <sheetName val="전선_및_전선관"/>
      <sheetName val="2011_(4)"/>
      <sheetName val="_냉각수펌프"/>
      <sheetName val="단면__2_"/>
      <sheetName val="설계기준_및_하중계산"/>
      <sheetName val="전차선로_물량표"/>
      <sheetName val="1062-X방향_"/>
      <sheetName val="11_자재단가"/>
      <sheetName val="화단_철거"/>
      <sheetName val="수량산출서_갑지"/>
      <sheetName val="각사별공사비분개_"/>
      <sheetName val="Dike_for_49T03_&amp;_49T04"/>
      <sheetName val="Dike_for_49T02,_05~07,_19_(1)"/>
      <sheetName val="단가_및_재료비"/>
      <sheetName val="자재단가대비표"/>
      <sheetName val="현황"/>
      <sheetName val="을지"/>
      <sheetName val="경영상태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화설내"/>
      <sheetName val="본사공가현황"/>
      <sheetName val="토목검측서"/>
      <sheetName val="초기화면"/>
      <sheetName val="관급자재"/>
      <sheetName val="9811"/>
      <sheetName val="위치조서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I.설계조건"/>
      <sheetName val="암거공"/>
      <sheetName val="성곽내역서"/>
      <sheetName val="97 사업추정(WEKI)"/>
      <sheetName val="농로수량집계"/>
      <sheetName val="농로토공집계"/>
      <sheetName val="내역서(토목)"/>
      <sheetName val="STRA2"/>
      <sheetName val="화산경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가감수량"/>
      <sheetName val="D-철근총괄"/>
      <sheetName val="경비"/>
      <sheetName val="BOX"/>
      <sheetName val="3_하중산정4_지지력1"/>
      <sheetName val="표지_(2)1"/>
      <sheetName val="Sheet1_(2)1"/>
      <sheetName val="표__지1"/>
      <sheetName val="1_우편집중내역서1"/>
      <sheetName val="추정공사비_산출내역1_xlsx"/>
      <sheetName val="견적대비_견적서"/>
      <sheetName val="1호-아(오)0_4"/>
      <sheetName val="CONSTRUCTION_COMPONENT"/>
      <sheetName val="접속_SLAB,BRACKET_설계"/>
      <sheetName val="빌딩_안내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Bìa"/>
      <sheetName val="Bảng KLHT"/>
      <sheetName val="RC WORK"/>
      <sheetName val="6PILE__(돌출)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1_2_1_마루높이결정1"/>
      <sheetName val="Pier_31"/>
      <sheetName val="2_2_S-Curve1"/>
      <sheetName val="PAD_TR보호대기초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배수공BOQ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공문"/>
      <sheetName val="대전노은1차_조적_집계표"/>
      <sheetName val="運転条件一覧"/>
      <sheetName val="EQUIP-H"/>
      <sheetName val="차선도색수량집계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당진1,2호기전선관설치및접지4차공사내역서-을지"/>
      <sheetName val="실행(ALT1)"/>
      <sheetName val="금액"/>
      <sheetName val="조직"/>
      <sheetName val="Currency Rate"/>
      <sheetName val="MTO REV.2(ARMOR)"/>
      <sheetName val="TEN CONG TRINH"/>
      <sheetName val="VXXXXXX"/>
      <sheetName val="파일의이용"/>
      <sheetName val="이름정의"/>
      <sheetName val="교대철근집계"/>
      <sheetName val="설계"/>
      <sheetName val="우각부보강"/>
      <sheetName val="계양가시설"/>
      <sheetName val="일위단위"/>
      <sheetName val="고유코드_설계"/>
      <sheetName val="PROJECT BRIEF(EX.NEW)"/>
      <sheetName val="Site Expenses"/>
      <sheetName val="실행견적"/>
      <sheetName val="현장관리비참조"/>
      <sheetName val="다곡2교"/>
      <sheetName val="s"/>
      <sheetName val="용역비내역-진짜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Cash Flow bulanan"/>
      <sheetName val="Isolasi Luar Dalam"/>
      <sheetName val="Isolasi Luar"/>
      <sheetName val="8521"/>
      <sheetName val="Y_WORK"/>
      <sheetName val="4)유동표"/>
      <sheetName val="CAUDIT"/>
      <sheetName val="콘크리트측구연장"/>
      <sheetName val="깨기수량집계"/>
      <sheetName val="计算稿"/>
      <sheetName val="노동부"/>
      <sheetName val="구성비"/>
      <sheetName val="Financial impact"/>
      <sheetName val="Sch7a (토요일)"/>
      <sheetName val="건설성적"/>
      <sheetName val="5지구단위"/>
      <sheetName val="본장"/>
      <sheetName val="부재치수입력"/>
      <sheetName val="배수관접합및부설  "/>
      <sheetName val="판"/>
      <sheetName val="총괄설계내역서"/>
      <sheetName val="공사계약현황"/>
      <sheetName val="계획집계"/>
      <sheetName val="1.일반수량산출근거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입찰견적보고서"/>
      <sheetName val="단가산출서"/>
      <sheetName val="예산서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"/>
      <sheetName val="지하시설물작성"/>
      <sheetName val="INTRO.(X)"/>
      <sheetName val="시설물"/>
      <sheetName val="식재출력용"/>
      <sheetName val="유지관리"/>
      <sheetName val="대전(세창동)"/>
      <sheetName val="Hydrant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산거각호표"/>
      <sheetName val="표 지"/>
      <sheetName val="인사자료총집계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HE SO DIEU CHINH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남양시작동자105노65기1.3화1.2"/>
      <sheetName val="工程量计算书"/>
      <sheetName val="카니발(자105노60)"/>
      <sheetName val="TRE TABLE"/>
      <sheetName val="조도계산서 (도서)"/>
      <sheetName val="폐기물집계표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허용전류"/>
      <sheetName val="수문일1"/>
      <sheetName val="재료집계(분수관)"/>
      <sheetName val="내역서(우)"/>
      <sheetName val="수량이동"/>
      <sheetName val="정화조"/>
      <sheetName val="지장물조서"/>
      <sheetName val="2000_x0000__x0000__x0005__x0000_"/>
      <sheetName val="2. 2공구"/>
      <sheetName val="FAB"/>
      <sheetName val="Data&amp;Result"/>
      <sheetName val="조은나오스빌"/>
      <sheetName val="설산1.나"/>
      <sheetName val="본사S"/>
      <sheetName val="백암비스타내역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TOWER 12TON"/>
      <sheetName val="JIB CRANE,HOIST"/>
      <sheetName val="TOWER 10TON"/>
      <sheetName val="SLAB"/>
      <sheetName val="도장수량"/>
      <sheetName val="작성"/>
      <sheetName val="안정성검토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공사원가"/>
      <sheetName val="당초토량산출서"/>
      <sheetName val="변경토량산출서"/>
      <sheetName val="봉양~조차장간고하개명(신설)"/>
      <sheetName val="일반수량총괄집계표"/>
      <sheetName val="배수관공"/>
      <sheetName val="IMPEADENCE H_x0000_Ԁ_x0000_怀ȅ㨍"/>
      <sheetName val="IMPEADENCE é_x0000_Ԁ_x0000__x0000_ᛅ_xde17_"/>
      <sheetName val="동원(3)"/>
      <sheetName val="P.M 별"/>
      <sheetName val="공조"/>
      <sheetName val="터널전기"/>
      <sheetName val="Item-DATA"/>
      <sheetName val="NSA fr Revit"/>
      <sheetName val="PTdam"/>
      <sheetName val="Bang gia"/>
      <sheetName val="HRG BHN"/>
      <sheetName val="조선용암면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Actual data"/>
      <sheetName val="4.경비 5.영업외수지"/>
      <sheetName val="화재 탐지 설비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업무처리전"/>
      <sheetName val="Summary - Budget"/>
      <sheetName val="Khoi luong"/>
      <sheetName val="BQ-E20-02(Rp)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_냉각수펌프1"/>
      <sheetName val="1062-X방향_1"/>
      <sheetName val="Sheet1_(2)2"/>
      <sheetName val="BOX(1_5X1_5)2"/>
      <sheetName val="전선_및_전선관1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1__설계조건_2_단면가정_3__하중계산1"/>
      <sheetName val="단가_및_재료비1"/>
      <sheetName val="각사별공사비분개_1"/>
      <sheetName val="전차선로_물량표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환경기계공정표_(3)1"/>
      <sheetName val="배관배선_단가조사1"/>
      <sheetName val="9_정착구_보강1"/>
      <sheetName val="단가_(2)1"/>
      <sheetName val="96보완계획7_121"/>
      <sheetName val="배수공_시멘트_및_골재량_산출1"/>
      <sheetName val="1차_내역서1"/>
      <sheetName val="1_수인터널1"/>
      <sheetName val="Sheet2_(2)1"/>
      <sheetName val="건축내역서_(경제상무실)1"/>
      <sheetName val="BSD_(2)1"/>
      <sheetName val="내역서1999_8최종1"/>
      <sheetName val="PROJECT_BRIEF(EX_NEW)1"/>
      <sheetName val="Site_Expenses1"/>
      <sheetName val="1000_DB구축_부표1"/>
      <sheetName val="상_부1"/>
      <sheetName val="Currency_Rate1"/>
      <sheetName val="Cash_Flow_bulanan1"/>
      <sheetName val="Isolasi_Luar_Dalam"/>
      <sheetName val="Isolasi_Luar"/>
      <sheetName val="Cash_Flow"/>
      <sheetName val="수량산출서_갑지1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내역서_제출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3련_BOX"/>
      <sheetName val="4__주형설계"/>
      <sheetName val="노무비_근거"/>
      <sheetName val="_총괄표"/>
      <sheetName val="바닥판의_설계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2_단면가정1"/>
      <sheetName val="노무비_근거1"/>
      <sheetName val="_총괄표1"/>
      <sheetName val="Customer_Databas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단가목록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1_CB"/>
      <sheetName val="옹벽공_수량집계표"/>
      <sheetName val="A-8_PD(도로중앙)"/>
      <sheetName val="Flaer_Area"/>
      <sheetName val="설내역서_"/>
      <sheetName val="일위산출"/>
      <sheetName val="적용(기계)"/>
      <sheetName val="1-1평균터파기고(1)"/>
      <sheetName val="2_토목공사"/>
      <sheetName val="2-1__경관조명_내역총괄표"/>
      <sheetName val="_상부공통집계(총괄)"/>
      <sheetName val="AS포장복구_"/>
      <sheetName val="실행내역(10_13)"/>
      <sheetName val="개별직종노임단가(2003_9)"/>
      <sheetName val="총_원가계산"/>
      <sheetName val="EQUIP_LIST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옹벽공_수량집계표1"/>
      <sheetName val="사__업__비__수__지__예__산__서1"/>
      <sheetName val="11_1_단면hwp"/>
      <sheetName val="A-8_PD(도로중앙)1"/>
      <sheetName val="청_구1"/>
      <sheetName val="설내역서_1"/>
      <sheetName val="배수공_주요자재_집계표"/>
      <sheetName val="06_일위대가목록"/>
      <sheetName val="내역서_(2)"/>
      <sheetName val="전_기"/>
      <sheetName val="공사비_증감_내역서1"/>
      <sheetName val="4_내진설계"/>
      <sheetName val="_ｹ-ﾌﾞﾙ"/>
      <sheetName val="지구_리스트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전체 내역서(통합)"/>
      <sheetName val="PROCURE"/>
      <sheetName val="기계내역서"/>
      <sheetName val="F4-F7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환경보전비B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금속및금속창호"/>
      <sheetName val="값"/>
      <sheetName val="한일양산"/>
      <sheetName val="서울대규장각(가시설흙막이)"/>
      <sheetName val="일위대가 "/>
      <sheetName val="2.관대집계표"/>
      <sheetName val="수불계획서(전체)"/>
      <sheetName val="투입비분석표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견적및기타"/>
      <sheetName val="단가산출목록"/>
      <sheetName val="산근(목록)"/>
      <sheetName val="이형관중량"/>
      <sheetName val="7. 교좌받침부검토(연속교)"/>
      <sheetName val="IW-LIST"/>
      <sheetName val="8. 안정검토"/>
      <sheetName val="간지1"/>
      <sheetName val="1.사유서"/>
      <sheetName val="간지2"/>
      <sheetName val="간지3"/>
      <sheetName val="부재별집계표"/>
      <sheetName val="도면"/>
      <sheetName val="D200"/>
      <sheetName val="중기목록"/>
      <sheetName val="Table"/>
      <sheetName val="Tool"/>
      <sheetName val="SPEC"/>
      <sheetName val="L_RPTB16_05"/>
      <sheetName val="맨홀토_x0000__x0000__x0005_"/>
      <sheetName val="Project, methods &amp; costs"/>
      <sheetName val="Ind. costs. &amp; Closing"/>
      <sheetName val="Main risks"/>
      <sheetName val="Markup"/>
      <sheetName val="PHG"/>
      <sheetName val="수량분개내역"/>
      <sheetName val="Variable"/>
      <sheetName val="견"/>
      <sheetName val="5CHBDC"/>
      <sheetName val="HSA"/>
      <sheetName val="COA-17"/>
      <sheetName val="C-18"/>
      <sheetName val="목공사품의서"/>
      <sheetName val="RCMinput"/>
      <sheetName val="노무DB"/>
      <sheetName val="광통신 견적내역서1"/>
      <sheetName val="투찰(하수)"/>
      <sheetName val="케이블수량재료"/>
      <sheetName val="DATA-2 장비LIST"/>
      <sheetName val="DI_전처리_단가집(GP1_실적가)"/>
      <sheetName val="PAINT_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 refreshError="1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 refreshError="1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/>
      <sheetData sheetId="3061"/>
      <sheetData sheetId="3062"/>
      <sheetData sheetId="3063"/>
      <sheetData sheetId="3064"/>
      <sheetData sheetId="3065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깨기"/>
      <sheetName val="구조물"/>
      <sheetName val="집계"/>
      <sheetName val="측구터파기공수량집계"/>
      <sheetName val="구조물터파기수량집계"/>
      <sheetName val="배수공 시멘트 및 골재량 산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건축원가계산서"/>
      <sheetName val="데이타"/>
      <sheetName val="DATA"/>
      <sheetName val="경비2내역"/>
      <sheetName val="#REF"/>
      <sheetName val="집계표"/>
      <sheetName val="기초코드"/>
      <sheetName val="INPUT"/>
      <sheetName val="ABUT수량-A1"/>
      <sheetName val="결과조달"/>
      <sheetName val="수량산출서"/>
      <sheetName val="Proposal"/>
      <sheetName val="건축내역"/>
      <sheetName val="대비"/>
      <sheetName val="BID"/>
      <sheetName val="노무비"/>
      <sheetName val="날개벽"/>
      <sheetName val="날개벽(좌,우=45도,75도)"/>
      <sheetName val="예산M5A"/>
      <sheetName val="Sheet3"/>
      <sheetName val="소업1교"/>
      <sheetName val="내역서"/>
      <sheetName val="공사비집계"/>
      <sheetName val="일위대가"/>
      <sheetName val="TEL"/>
      <sheetName val="외주가공"/>
      <sheetName val="Main"/>
      <sheetName val="예산M12A"/>
      <sheetName val="내역"/>
      <sheetName val="기초공"/>
      <sheetName val="기둥(원형)"/>
      <sheetName val="을"/>
      <sheetName val="설계명세서"/>
      <sheetName val="대운산출"/>
      <sheetName val="Y-WORK"/>
      <sheetName val="표지"/>
      <sheetName val="말뚝물량"/>
      <sheetName val="구미4단2"/>
      <sheetName val="말뚝지지력산정"/>
      <sheetName val="TB-내역서"/>
      <sheetName val="소비자가"/>
      <sheetName val="조명시설"/>
      <sheetName val="Customer Databas"/>
      <sheetName val="Regenerator  Concrete Structure"/>
      <sheetName val="수량산출"/>
      <sheetName val="예산M2"/>
      <sheetName val="1.설계조건"/>
      <sheetName val="분석"/>
      <sheetName val="총괄표"/>
      <sheetName val="단면 (2)"/>
      <sheetName val="VENDOR LIST"/>
      <sheetName val="공통비"/>
      <sheetName val="노임이"/>
      <sheetName val="일위대가목차"/>
      <sheetName val="보도경계블럭"/>
      <sheetName val="터파기및재료"/>
      <sheetName val="본장"/>
      <sheetName val="산출내역서집계표"/>
      <sheetName val="배수공 주요자재 집계표"/>
      <sheetName val="내역서 "/>
      <sheetName val="DATE"/>
      <sheetName val="교각1"/>
      <sheetName val="2000년1차"/>
      <sheetName val="조명율표"/>
      <sheetName val="공사비예산서(토목분)"/>
      <sheetName val="전체"/>
      <sheetName val="전기일위대가"/>
      <sheetName val="내역서(총)"/>
      <sheetName val="공사내역"/>
      <sheetName val="유화"/>
      <sheetName val="견적서"/>
      <sheetName val="BSD (2)"/>
      <sheetName val="FORM-0"/>
      <sheetName val="FORM_0"/>
      <sheetName val="APT내역"/>
      <sheetName val="부대시설"/>
      <sheetName val="음료실행"/>
      <sheetName val="wall"/>
      <sheetName val="노원열병합  건축공사기성내역서"/>
      <sheetName val="견적집계"/>
      <sheetName val="summary"/>
      <sheetName val="design criteria"/>
      <sheetName val="plan&amp;section of foundation"/>
      <sheetName val="갑지1"/>
      <sheetName val="UR2-Calculation"/>
      <sheetName val="단면치수"/>
      <sheetName val="저"/>
      <sheetName val="하중"/>
      <sheetName val="Sheet1"/>
      <sheetName val="현장"/>
      <sheetName val="표지 (2)"/>
      <sheetName val="갑지(추정)"/>
      <sheetName val="PUMP"/>
      <sheetName val="I.설계조건"/>
      <sheetName val="가설건물"/>
      <sheetName val="GAEYO"/>
      <sheetName val=" 견적서"/>
      <sheetName val="공통가설"/>
      <sheetName val="공문"/>
      <sheetName val="기계내역"/>
      <sheetName val="협조전"/>
      <sheetName val="직공비"/>
      <sheetName val="1F"/>
      <sheetName val="조경일람"/>
      <sheetName val="일위대가표"/>
      <sheetName val="단가"/>
      <sheetName val="물량표"/>
      <sheetName val="배수내역 (2)"/>
      <sheetName val="견적서세부내용"/>
      <sheetName val="견적내용입력"/>
      <sheetName val="발신정보"/>
      <sheetName val="Despacho (c.civil)"/>
      <sheetName val="Breakdown"/>
      <sheetName val="98수문일위"/>
      <sheetName val="공사개요"/>
      <sheetName val="Total"/>
      <sheetName val="물량표S"/>
      <sheetName val="토목주소"/>
      <sheetName val="프랜트면허"/>
      <sheetName val="1단계"/>
      <sheetName val="중기사용료산출근거"/>
      <sheetName val="단가 및 재료비"/>
      <sheetName val="첨부파일"/>
      <sheetName val="단가표"/>
      <sheetName val="설계조건"/>
      <sheetName val="단위수량"/>
      <sheetName val="맨홀토공수량"/>
      <sheetName val="단가표 "/>
      <sheetName val="BQ"/>
      <sheetName val="e4-6-%"/>
      <sheetName val="type-F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노임단가"/>
      <sheetName val="대림경상68억"/>
      <sheetName val="실행철강하도"/>
      <sheetName val="노임"/>
      <sheetName val="인천제철"/>
      <sheetName val="FAX"/>
      <sheetName val="한강운반비"/>
      <sheetName val="연습"/>
      <sheetName val="갑지"/>
      <sheetName val="준검 내역서"/>
      <sheetName val="보험료"/>
      <sheetName val="부전지"/>
      <sheetName val="규격"/>
      <sheetName val="MOTOR"/>
      <sheetName val="기초대가"/>
      <sheetName val="예산"/>
      <sheetName val="입출재고현황 (2)"/>
      <sheetName val="98지급계획"/>
      <sheetName val="부대대비"/>
      <sheetName val="냉연집계"/>
      <sheetName val="working load at the btm ft."/>
      <sheetName val="member design"/>
      <sheetName val="8공구투찰내역서"/>
      <sheetName val="Sheet2"/>
      <sheetName val="EACT10"/>
      <sheetName val="단위중기"/>
      <sheetName val="토공(완충)"/>
      <sheetName val="물가"/>
      <sheetName val="연결임시"/>
      <sheetName val="설 계"/>
      <sheetName val="단가조건"/>
      <sheetName val="hvac내역서(제어동)"/>
      <sheetName val="계약내역서"/>
      <sheetName val="코드표"/>
      <sheetName val="출력표"/>
      <sheetName val="단면가정"/>
      <sheetName val="Macro1"/>
      <sheetName val="지급자재"/>
      <sheetName val="영업.일"/>
      <sheetName val="단면검토"/>
      <sheetName val="6PILE  (돌출)"/>
      <sheetName val="6.OUTPUT"/>
      <sheetName val="교량전기"/>
      <sheetName val="토공"/>
      <sheetName val="FRT_O"/>
      <sheetName val="FAB_I"/>
      <sheetName val="RAHMEN"/>
      <sheetName val="정렬"/>
      <sheetName val="인사자료총집계"/>
      <sheetName val="예산변경사항"/>
      <sheetName val="산출기준(파견전산실)"/>
      <sheetName val="본부소개"/>
      <sheetName val="1.우편집중내역서"/>
      <sheetName val="골조시행"/>
      <sheetName val="현금"/>
      <sheetName val="BSD _2_"/>
      <sheetName val="CAPVC"/>
      <sheetName val="1련박스"/>
      <sheetName val="총괄"/>
      <sheetName val="전기"/>
      <sheetName val="대로근거"/>
      <sheetName val="중로근거"/>
      <sheetName val="가격조사서"/>
      <sheetName val="2.대외공문"/>
      <sheetName val="M1"/>
      <sheetName val="청천내"/>
      <sheetName val="2000.05"/>
      <sheetName val="woo(mac)"/>
      <sheetName val="자재단가비교표"/>
      <sheetName val="EKOG10건축"/>
      <sheetName val="일위목록"/>
      <sheetName val="접속 SLAB,BRACKET 설계"/>
      <sheetName val="CODE"/>
      <sheetName val="BOQ건축"/>
      <sheetName val="soil bearing check"/>
      <sheetName val="품종별-이름"/>
      <sheetName val="Budget 2004(DW)"/>
      <sheetName val="첨"/>
      <sheetName val="9-1차이내역"/>
      <sheetName val="부대내역"/>
      <sheetName val="건축공사"/>
      <sheetName val="사용성검토"/>
      <sheetName val="공사개요설명서"/>
      <sheetName val="정보매체A동"/>
      <sheetName val="ITB COST"/>
      <sheetName val="시멘트"/>
      <sheetName val="토공계산서(부체도로)"/>
      <sheetName val="WORK"/>
      <sheetName val="세부내역"/>
      <sheetName val="안정검토"/>
      <sheetName val="토목내역"/>
      <sheetName val="적용환율"/>
      <sheetName val="설비내역서"/>
      <sheetName val="건축내역서"/>
      <sheetName val="전기내역서"/>
      <sheetName val="PROJECT BRIEF(EX.NEW)"/>
      <sheetName val="Sheet4"/>
      <sheetName val="포장복구집계"/>
      <sheetName val="12용지"/>
      <sheetName val="재무가정"/>
      <sheetName val="hvac(제어동)"/>
      <sheetName val="토적"/>
      <sheetName val="가정급수관"/>
      <sheetName val="보일러"/>
      <sheetName val="인건비 "/>
      <sheetName val="담장산출"/>
      <sheetName val="배수통관(좌)"/>
      <sheetName val="11"/>
      <sheetName val="123"/>
      <sheetName val="견적조건"/>
      <sheetName val="Budget 2005(DW)"/>
      <sheetName val="숙소"/>
      <sheetName val="마산월령동골조물량변경"/>
      <sheetName val="간접경상비"/>
      <sheetName val="근고 블록 유형별 수량"/>
      <sheetName val="당진생산팀"/>
      <sheetName val="대차대조표"/>
      <sheetName val="2002상반기노임기준"/>
      <sheetName val="하도급기성_(2)"/>
      <sheetName val="하도급단가산출_(2)"/>
      <sheetName val="금액집계"/>
      <sheetName val="5호광장_(만점)"/>
      <sheetName val="인천국제_(만점)_(2)"/>
      <sheetName val="BSD_(2)"/>
      <sheetName val="Customer_Databas"/>
      <sheetName val="단면_(2)"/>
      <sheetName val="VENDOR_LIST"/>
      <sheetName val="노원열병합__건축공사기성내역서"/>
      <sheetName val="공틀공사"/>
      <sheetName val="통합"/>
      <sheetName val="단가산출"/>
      <sheetName val="총체보활공정표"/>
      <sheetName val="안정계산"/>
      <sheetName val="날개벽(TYPE3)"/>
      <sheetName val="점수계산1-2"/>
      <sheetName val="back-data"/>
      <sheetName val="인월수표"/>
      <sheetName val="ITEM"/>
      <sheetName val="DIAPHRAGM"/>
      <sheetName val="전체내역서"/>
      <sheetName val="1,2,3,4,5단위수량"/>
      <sheetName val="비목군단가비교표"/>
      <sheetName val="1.설계기준"/>
      <sheetName val="6월실적"/>
      <sheetName val="danga"/>
      <sheetName val="ilch"/>
      <sheetName val="토공(우물통,기타) "/>
      <sheetName val="CAL"/>
      <sheetName val="앉음벽 (2)"/>
      <sheetName val="공사내역(2003년)"/>
      <sheetName val="덕전리"/>
      <sheetName val="깨기"/>
      <sheetName val="투찰"/>
      <sheetName val="IMPEADENCE MAP 취수장"/>
      <sheetName val="경비"/>
      <sheetName val="1~9 하중계산"/>
      <sheetName val="가로수경계석수량산출서"/>
      <sheetName val="맹암거수량산출서(변경)"/>
      <sheetName val="1,2공구원가계산서"/>
      <sheetName val="2공구산출내역"/>
      <sheetName val="1공구산출내역서"/>
      <sheetName val="터널조도"/>
      <sheetName val="NYS"/>
      <sheetName val="포장공"/>
      <sheetName val="구조물공"/>
      <sheetName val="배수공"/>
      <sheetName val="가시설단위수량"/>
      <sheetName val="플랜트 설치"/>
      <sheetName val="총괄내역서"/>
      <sheetName val="옹벽"/>
      <sheetName val="산근"/>
      <sheetName val="BQ(실행)"/>
      <sheetName val="직노"/>
      <sheetName val="Sheet5"/>
      <sheetName val="건축"/>
      <sheetName val="우석문틀"/>
      <sheetName val="우성교간선"/>
      <sheetName val="계산근거"/>
      <sheetName val="정부노임단가"/>
      <sheetName val="DC-O-4-S(설명서)"/>
      <sheetName val="Macro(전선)"/>
      <sheetName val="경사수로"/>
      <sheetName val="eq_data"/>
      <sheetName val="I一般比"/>
      <sheetName val="N賃率-職"/>
      <sheetName val="MAT"/>
      <sheetName val="기초설계"/>
      <sheetName val="라멘"/>
      <sheetName val="제수변수량"/>
      <sheetName val="공기변수량"/>
      <sheetName val="DHEQSUPT"/>
      <sheetName val="장비"/>
      <sheetName val="노무"/>
      <sheetName val="자재"/>
      <sheetName val="산근1"/>
      <sheetName val="NOMUBI"/>
      <sheetName val="sw1"/>
      <sheetName val="Thickener"/>
      <sheetName val="토공사"/>
      <sheetName val="공정코드"/>
      <sheetName val="진주방향"/>
      <sheetName val="환율"/>
      <sheetName val="pipe"/>
      <sheetName val="단가조사"/>
      <sheetName val="가로등내역서"/>
      <sheetName val="DC-O-4-1(예산서)"/>
      <sheetName val="방음벽 기초 일반수량"/>
      <sheetName val="예산대비"/>
      <sheetName val="3.공통공사대비"/>
      <sheetName val="입력"/>
      <sheetName val="강교(Sub)"/>
      <sheetName val="일반토공견적"/>
      <sheetName val="기안"/>
      <sheetName val="해외(원화)"/>
      <sheetName val="9GNG운반"/>
      <sheetName val="원가서"/>
      <sheetName val="기초단가"/>
      <sheetName val="APT"/>
      <sheetName val="주안3차A-A"/>
      <sheetName val="데리네이타현황"/>
      <sheetName val="일위대가(1)"/>
      <sheetName val="일위"/>
      <sheetName val="기본단가"/>
      <sheetName val="_REF"/>
      <sheetName val="소방사항"/>
      <sheetName val="G.R300경비"/>
      <sheetName val="시화점실행"/>
      <sheetName val="건축집계표"/>
      <sheetName val="CTEMCOST"/>
      <sheetName val="7.PILE  (돌출)"/>
      <sheetName val="하도금액분계"/>
      <sheetName val="TYPE-A"/>
      <sheetName val="BH-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MOTOR"/>
      <sheetName val="wall"/>
      <sheetName val="입찰안"/>
      <sheetName val="품목납기"/>
      <sheetName val="도급"/>
      <sheetName val="COVER"/>
      <sheetName val="정부노임단가"/>
      <sheetName val="데이타"/>
      <sheetName val="식재인부"/>
      <sheetName val="BSD (2)"/>
      <sheetName val="L_RPTA05_목록"/>
      <sheetName val="001"/>
      <sheetName val="조도계산서 (도서)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총괄"/>
      <sheetName val="실행대비"/>
      <sheetName val="돌담교 상부수량"/>
      <sheetName val="SLAB&quot;1&quot;"/>
      <sheetName val="H-PILE수량집계"/>
      <sheetName val="수량-가로등"/>
      <sheetName val="단가"/>
      <sheetName val="말뚝지지력산정"/>
      <sheetName val="입력자료"/>
      <sheetName val="건축"/>
      <sheetName val="원가계산"/>
      <sheetName val="CON'C"/>
      <sheetName val="토적표"/>
      <sheetName val="기초단가"/>
      <sheetName val="중기손료"/>
      <sheetName val="산출근거"/>
      <sheetName val="테이블"/>
      <sheetName val="단위수량"/>
      <sheetName val="토목주소"/>
      <sheetName val="기안"/>
      <sheetName val="해평견적"/>
      <sheetName val="1단계"/>
      <sheetName val="우수받이"/>
      <sheetName val="역T형교대(말뚝기초)"/>
      <sheetName val="일위대가9803"/>
      <sheetName val="3BL공동구 수량"/>
      <sheetName val="SAP_INPUT"/>
      <sheetName val="산근"/>
      <sheetName val="노임단가"/>
      <sheetName val="수목단가"/>
      <sheetName val="시설수량표"/>
      <sheetName val="식재수량표"/>
      <sheetName val="내역표지"/>
      <sheetName val="#REF"/>
      <sheetName val="단중표"/>
      <sheetName val="공사비 증감 내역서"/>
      <sheetName val="수량산출"/>
      <sheetName val="대전가오_견출_집계표"/>
      <sheetName val="공사"/>
      <sheetName val="가시설수량"/>
      <sheetName val="8.석축단위(H=1.5M)"/>
      <sheetName val="정부노임단가"/>
      <sheetName val="소비자가"/>
      <sheetName val="건축내역"/>
      <sheetName val="설계명세서"/>
      <sheetName val="내역서1999.8최종"/>
      <sheetName val="내역서 제출"/>
      <sheetName val="실행(ALT1)"/>
      <sheetName val="노임이"/>
      <sheetName val="실행철강하도"/>
      <sheetName val="공사개요"/>
      <sheetName val="설계예시"/>
      <sheetName val="용수량(생활용수)"/>
      <sheetName val="DATE"/>
      <sheetName val="FILE1"/>
      <sheetName val="입찰안"/>
      <sheetName val="ABUT수량-A1"/>
      <sheetName val="증감내역서"/>
      <sheetName val="Sheet3"/>
      <sheetName val="견적단가"/>
      <sheetName val="철거산출근거"/>
      <sheetName val="노임"/>
      <sheetName val="전기"/>
      <sheetName val="일위목록"/>
      <sheetName val="자재단가"/>
      <sheetName val="제원및배치"/>
      <sheetName val="POL6차-PIPING"/>
      <sheetName val="b_balju_cho"/>
      <sheetName val="날개벽수량표"/>
      <sheetName val="개산공사비"/>
      <sheetName val="2호맨홀공제수량"/>
      <sheetName val="BID"/>
      <sheetName val="CON기초"/>
      <sheetName val="안전장치"/>
      <sheetName val="돌담교_상부수량"/>
      <sheetName val="INPUT"/>
      <sheetName val="데이타"/>
      <sheetName val="갑지(추정)"/>
      <sheetName val="건축명"/>
      <sheetName val="기계명"/>
      <sheetName val="전기명"/>
      <sheetName val="토목명"/>
      <sheetName val="2.토목공사"/>
      <sheetName val="식재인부"/>
      <sheetName val="6PILE  (돌출)"/>
      <sheetName val="집수정(600-700)"/>
      <sheetName val="2.가정단면"/>
      <sheetName val="사급자재"/>
      <sheetName val="노무비단가"/>
      <sheetName val="단가대비표"/>
      <sheetName val="원가계산서"/>
      <sheetName val="수량"/>
      <sheetName val="단면치수"/>
      <sheetName val="데리네이타현황"/>
      <sheetName val="수로BOX"/>
      <sheetName val="기계경비(시간당)"/>
      <sheetName val="램머"/>
      <sheetName val="setup"/>
      <sheetName val="대창(함평)"/>
      <sheetName val="대창(장성)"/>
      <sheetName val="대창(함평)-창열"/>
      <sheetName val="덕전리"/>
      <sheetName val="2000전체분"/>
      <sheetName val="2000년1차"/>
      <sheetName val="관급자재대"/>
      <sheetName val="대비"/>
      <sheetName val="집계표"/>
      <sheetName val="대림경상68억"/>
      <sheetName val="방음벽기초"/>
      <sheetName val="내역"/>
      <sheetName val="설계기준"/>
      <sheetName val="내역1"/>
      <sheetName val="Sheet1"/>
      <sheetName val="Sheet2"/>
      <sheetName val="갑지"/>
      <sheetName val="노임,재료비"/>
      <sheetName val="단가조사서"/>
      <sheetName val="맨홀수량"/>
      <sheetName val="BOX-1510"/>
      <sheetName val="pier-1"/>
      <sheetName val="BOX(1.5X1.5)"/>
      <sheetName val="일반수량"/>
      <sheetName val="6호기"/>
      <sheetName val="Macro2"/>
      <sheetName val="년도별노임표"/>
      <sheetName val="중기목록표"/>
      <sheetName val="구체"/>
      <sheetName val="좌측날개벽"/>
      <sheetName val="우측날개벽"/>
      <sheetName val="건축일위"/>
      <sheetName val="그라우팅일위"/>
      <sheetName val="건물철거"/>
      <sheetName val="기타배수구조물깨기-단위수량"/>
      <sheetName val="신규보류입력"/>
      <sheetName val="이름정의"/>
      <sheetName val="입력"/>
      <sheetName val="초기화면"/>
      <sheetName val="중동공구"/>
      <sheetName val="T13(P68~72,78)"/>
      <sheetName val="문산방향-교대(A2)"/>
      <sheetName val="건축내역서"/>
      <sheetName val="설비내역서"/>
      <sheetName val="전기내역서"/>
      <sheetName val="설명서 "/>
      <sheetName val="토목"/>
      <sheetName val="구조물철거타공정이월"/>
      <sheetName val="방수"/>
      <sheetName val="8.PILE  (돌출)"/>
      <sheetName val="초"/>
      <sheetName val="가도공"/>
      <sheetName val="토공개요C"/>
      <sheetName val="정공공사"/>
      <sheetName val="관경별내역서"/>
      <sheetName val="일위대가표"/>
      <sheetName val="청주(철골발주의뢰서)"/>
      <sheetName val="작업입력"/>
      <sheetName val="Macro1"/>
      <sheetName val="2003상반기노임기준"/>
      <sheetName val="토공개요"/>
      <sheetName val="토공(1)"/>
      <sheetName val="예산명세서"/>
      <sheetName val="자료입력"/>
      <sheetName val="FAB별"/>
      <sheetName val="터파기및재료"/>
      <sheetName val="산출내역서집계표"/>
      <sheetName val="내역을"/>
      <sheetName val="2-1. 경관조명 내역총괄표"/>
      <sheetName val="날개벽(TYPE2)"/>
      <sheetName val="적용기준"/>
      <sheetName val="I一般比"/>
      <sheetName val="Sheet5"/>
      <sheetName val="연결관암거"/>
      <sheetName val="도로"/>
      <sheetName val="99노임기준"/>
      <sheetName val="7.PILE  (돌출)"/>
      <sheetName val="교각계산"/>
      <sheetName val="실행"/>
      <sheetName val="견적서"/>
      <sheetName val="원가&amp;하도급원가"/>
      <sheetName val="총괄표"/>
      <sheetName val="공사원가계산서"/>
      <sheetName val="도급예산내역서총괄표"/>
      <sheetName val="A2"/>
      <sheetName val="실행내역(10.13)"/>
      <sheetName val="부대내역"/>
      <sheetName val="도급"/>
      <sheetName val="내역서"/>
      <sheetName val="물가시세"/>
      <sheetName val="Total"/>
      <sheetName val="COPING"/>
      <sheetName val="터파기단면도(보도)"/>
      <sheetName val="단가 및 재료비"/>
      <sheetName val="중기사용료산출근거"/>
      <sheetName val="밸브설치"/>
      <sheetName val="일위대가목차"/>
      <sheetName val="건축계약내역"/>
      <sheetName val="수량산출서"/>
      <sheetName val="양식3"/>
      <sheetName val="설계설명서"/>
      <sheetName val="노임단가 (2)"/>
      <sheetName val="1.설계조건"/>
      <sheetName val="골조시행"/>
      <sheetName val="역T형"/>
      <sheetName val="재료비"/>
      <sheetName val="아파트"/>
      <sheetName val="부대시설"/>
      <sheetName val="일위"/>
      <sheetName val="경비_원본"/>
      <sheetName val="총 원가계산"/>
      <sheetName val="표지"/>
      <sheetName val="가감수량"/>
      <sheetName val="맨홀수량산출"/>
      <sheetName val="격점수량"/>
      <sheetName val="차액보증"/>
      <sheetName val="N賃率-職"/>
      <sheetName val="개별직종노임단가(2003.9)"/>
      <sheetName val="위생"/>
      <sheetName val="설계내역서"/>
      <sheetName val="학습율"/>
      <sheetName val="3련 BOX"/>
      <sheetName val="AS포장복구 "/>
      <sheetName val="각형맨홀"/>
      <sheetName val="조작대(1연)"/>
      <sheetName val="설계변경총괄표(계산식)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L_RPTB02_01"/>
      <sheetName val="계단"/>
      <sheetName val=" 상부공통집계(총괄)"/>
      <sheetName val="준공조서"/>
      <sheetName val="공사준공계"/>
      <sheetName val="준공검사보고서"/>
      <sheetName val="투찰"/>
      <sheetName val="원가"/>
      <sheetName val="종배수단위_CON기초"/>
      <sheetName val="Front"/>
      <sheetName val="wall"/>
      <sheetName val="DATE2001"/>
      <sheetName val="평가데이터"/>
      <sheetName val="공구"/>
      <sheetName val="관로토공"/>
      <sheetName val="기본데이타입력"/>
      <sheetName val="Sheet1 (2)"/>
      <sheetName val="단가산출2"/>
      <sheetName val="보도교산출근거"/>
      <sheetName val="시설일위"/>
      <sheetName val="식재일위"/>
      <sheetName val="tggwan(mac)"/>
      <sheetName val="HVAC"/>
      <sheetName val="부속동"/>
      <sheetName val="대공종"/>
      <sheetName val="EQUIP LIST"/>
      <sheetName val="DATA"/>
      <sheetName val="우수공"/>
      <sheetName val="1구간FRP수량산출"/>
      <sheetName val="중기단가LIST"/>
      <sheetName val="산출기준"/>
      <sheetName val="개별직종노임"/>
      <sheetName val="엔지니어링노임"/>
      <sheetName val="기본일위"/>
      <sheetName val="2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unitpric"/>
      <sheetName val="noyim"/>
      <sheetName val="99노임단가"/>
      <sheetName val="준비공"/>
      <sheetName val="목교수량산출"/>
      <sheetName val="터널굴착단산"/>
      <sheetName val="터널구조물산근"/>
      <sheetName val="COVER"/>
      <sheetName val="철근량 산정"/>
      <sheetName val="구분표"/>
      <sheetName val="원형맨홀수량"/>
      <sheetName val="개거산출내역"/>
      <sheetName val="사  업  비  수  지  예  산  서"/>
      <sheetName val="기본단가표"/>
      <sheetName val="공종별자재"/>
      <sheetName val="환경기계공정표 (3)"/>
      <sheetName val="포장자재집계표"/>
      <sheetName val="대로근거"/>
      <sheetName val="중로근거"/>
      <sheetName val="집계"/>
      <sheetName val="sw1"/>
      <sheetName val="목포방향"/>
      <sheetName val="노무자도장2"/>
      <sheetName val="각사별공사비분개 "/>
      <sheetName val="슬래브 -연속(3경간)"/>
      <sheetName val="배수공수집"/>
      <sheetName val="Macro(차단기)"/>
      <sheetName val="프랜트면허"/>
      <sheetName val="JUCKEYK"/>
      <sheetName val="물가단가"/>
      <sheetName val="제표일위대가"/>
      <sheetName val="208-238"/>
      <sheetName val="노무비"/>
      <sheetName val="운임료"/>
      <sheetName val="종형증설공"/>
      <sheetName val="산출3-동력"/>
      <sheetName val="산출4-전등"/>
      <sheetName val="참여현황 (직원)"/>
      <sheetName val="배수관산출"/>
      <sheetName val="간지"/>
      <sheetName val="철거현황"/>
      <sheetName val="빗물받이(910-510-410)"/>
      <sheetName val="type-F"/>
      <sheetName val="시노501"/>
      <sheetName val="견적1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대3류 "/>
      <sheetName val="인부신상자료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가설공사비"/>
      <sheetName val="도로구조공사비"/>
      <sheetName val="도로토공공사비"/>
      <sheetName val="여수토공사비"/>
      <sheetName val="DHEQSUPT"/>
      <sheetName val="(X)품셈집계"/>
      <sheetName val="노.표-조"/>
      <sheetName val="단관데이터"/>
      <sheetName val="이형관데이터"/>
      <sheetName val="원형1호맨홀토공수량"/>
      <sheetName val="입력란"/>
      <sheetName val="97노임단가"/>
      <sheetName val="내역- CCTV"/>
      <sheetName val="내역서적용수량"/>
      <sheetName val="지급자재"/>
      <sheetName val="토공"/>
      <sheetName val="을지"/>
      <sheetName val="단가비교표"/>
      <sheetName val="연동내역"/>
      <sheetName val="건설성적"/>
      <sheetName val="D"/>
      <sheetName val="기계경비"/>
      <sheetName val="설비공사(4)"/>
      <sheetName val="산정표"/>
      <sheetName val="기초자료입력"/>
      <sheetName val="준공정산"/>
      <sheetName val="2000노임기준"/>
      <sheetName val="식재"/>
      <sheetName val="시설물"/>
      <sheetName val="식재출력용"/>
      <sheetName val="유지관리"/>
      <sheetName val="토목공사일반"/>
      <sheetName val="공사비산출내역"/>
      <sheetName val="단가산출1"/>
      <sheetName val="포장집계"/>
      <sheetName val="포장연장"/>
      <sheetName val="설계개요"/>
      <sheetName val="지수"/>
      <sheetName val="건축공사"/>
      <sheetName val="인제내역"/>
      <sheetName val="1~9 하중계산"/>
      <sheetName val="woo(mac)"/>
      <sheetName val="설치조서"/>
      <sheetName val="배수공집계표"/>
      <sheetName val="예정공정표"/>
      <sheetName val="고창방향"/>
      <sheetName val="장비집계"/>
      <sheetName val="토공분배표"/>
      <sheetName val="건설사업관리 공제요율"/>
      <sheetName val="건설공사 감리원 배치기준"/>
      <sheetName val="책임감리 공제요율"/>
      <sheetName val="전등수량산출"/>
      <sheetName val="우수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본문"/>
      <sheetName val="참조"/>
      <sheetName val="2.대외공문"/>
      <sheetName val="간접"/>
      <sheetName val="제경비"/>
      <sheetName val="입력(K0)"/>
      <sheetName val="장비"/>
      <sheetName val="CONCRETE"/>
      <sheetName val="산출2-전력"/>
      <sheetName val="산출9-TRAY"/>
      <sheetName val="PL단가산정"/>
      <sheetName val="그림"/>
      <sheetName val="그림2"/>
      <sheetName val="교대철근집계"/>
      <sheetName val="1.토공"/>
      <sheetName val="01노임적용기준"/>
      <sheetName val="소방"/>
      <sheetName val="3-구교-오리지날"/>
      <sheetName val="경율산정.XLS"/>
      <sheetName val="정의"/>
      <sheetName val="견적갑지"/>
      <sheetName val="물량내역"/>
      <sheetName val="대구은행"/>
      <sheetName val="GT 1050x650"/>
      <sheetName val="분전반계산서(석관)"/>
      <sheetName val="잡비계산"/>
      <sheetName val="총정리"/>
      <sheetName val="INPUTDATA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기초수량자료"/>
      <sheetName val="우각부보강"/>
      <sheetName val="주공 갑지"/>
      <sheetName val="산출3-유도등"/>
      <sheetName val="산출2-동력"/>
      <sheetName val="산출2-피뢰침"/>
      <sheetName val="진주방향"/>
      <sheetName val="일위대가(가설)"/>
      <sheetName val="단가(자재)"/>
      <sheetName val="단가(노임)"/>
      <sheetName val="기초목록"/>
      <sheetName val="단위중량"/>
      <sheetName val="자재단가_사급"/>
      <sheetName val="중기적산목록"/>
      <sheetName val="준검 내역서"/>
      <sheetName val="단위량당중기"/>
      <sheetName val="노임DB"/>
      <sheetName val="BSD (2)"/>
      <sheetName val="간이(갑)"/>
      <sheetName val="변화치수"/>
      <sheetName val="코드표"/>
      <sheetName val="제잡비"/>
      <sheetName val="건축집계"/>
      <sheetName val="세목전체"/>
      <sheetName val="날개벽"/>
      <sheetName val="지점별강우량"/>
      <sheetName val="노임자재단가"/>
      <sheetName val="현장경비"/>
      <sheetName val="거래처등록"/>
      <sheetName val="참고자료"/>
      <sheetName val="설계"/>
      <sheetName val="내역서(도급)"/>
      <sheetName val="계수시트"/>
      <sheetName val="단가조사"/>
      <sheetName val="BS2"/>
      <sheetName val="1.견적보고서"/>
      <sheetName val="검사원"/>
      <sheetName val="준공조서갑지"/>
      <sheetName val="기초수량산출서"/>
      <sheetName val="식생블럭단위수량"/>
      <sheetName val="설계서(동안동)"/>
      <sheetName val="직재"/>
      <sheetName val="재집"/>
      <sheetName val="3.하중산정4.지지력"/>
      <sheetName val="단가산출서 (2)"/>
      <sheetName val="단가산출서"/>
      <sheetName val="기초자료"/>
      <sheetName val="대창토공"/>
      <sheetName val="예총"/>
      <sheetName val="Bldg Brkdown"/>
      <sheetName val="노임단가표"/>
      <sheetName val="공량산출서"/>
      <sheetName val="소요자재명세서"/>
      <sheetName val="5사남"/>
      <sheetName val="과거자료"/>
      <sheetName val="노임단가(직종번호 순)"/>
      <sheetName val="설계예산서"/>
      <sheetName val="TOTAL_BOQ"/>
      <sheetName val="설계내역"/>
      <sheetName val="상부수량"/>
      <sheetName val="금액"/>
      <sheetName val="검측감리공제요율"/>
      <sheetName val="시공감리공제요율"/>
      <sheetName val="책임감리공제요율"/>
      <sheetName val="가로등"/>
      <sheetName val="4.2.1 마루높이 검토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공사비예산서(토목분)"/>
      <sheetName val="공사일위대가"/>
      <sheetName val="1호맨홀토공"/>
      <sheetName val="시설국장자료"/>
      <sheetName val="재료집계표"/>
      <sheetName val="수목표준대가"/>
      <sheetName val="산출집계표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약품공급2"/>
      <sheetName val="플랜트 설치"/>
      <sheetName val="단가목록"/>
      <sheetName val="토사(PE)"/>
      <sheetName val="포장수량"/>
      <sheetName val="산출서-1"/>
      <sheetName val="산출서-수식"/>
      <sheetName val="노무비계"/>
      <sheetName val="참조자료"/>
      <sheetName val="공사비"/>
      <sheetName val="토목검측서"/>
      <sheetName val="Sheet17"/>
      <sheetName val="BOQ"/>
      <sheetName val="가시설(TYPE-A)"/>
      <sheetName val="수지예산"/>
      <sheetName val="CTEMCOST"/>
      <sheetName val="98수문일위"/>
      <sheetName val="7월천안현장 집계표"/>
      <sheetName val="장비.자재"/>
      <sheetName val="장비명세서"/>
      <sheetName val=" 노무집계"/>
      <sheetName val="일용노무비"/>
      <sheetName val="6.7현장운영"/>
      <sheetName val="결재갑지"/>
      <sheetName val="설명서_"/>
      <sheetName val="매원개착터널총괄"/>
      <sheetName val="교대"/>
      <sheetName val=""/>
      <sheetName val="기계경비산출기준"/>
      <sheetName val="기계경비목록"/>
      <sheetName val="건설기계가격1"/>
      <sheetName val="회사기초자료"/>
      <sheetName val="가시설단위수량"/>
      <sheetName val="출력"/>
      <sheetName val="근로자명단"/>
      <sheetName val="설계내역2"/>
      <sheetName val="자단"/>
      <sheetName val="48일위"/>
      <sheetName val="48수량"/>
      <sheetName val="22수량"/>
      <sheetName val="49일위"/>
      <sheetName val="22일위"/>
      <sheetName val="49수량"/>
      <sheetName val="산업"/>
      <sheetName val="수량산출서-2"/>
      <sheetName val="횡배수관수량집계"/>
      <sheetName val="횡배수관기초"/>
      <sheetName val="내역(포장)"/>
      <sheetName val="1_설계조건"/>
      <sheetName val="Sheet1_(2)"/>
      <sheetName val="GT_1050x650"/>
      <sheetName val="2-1__경관조명_내역총괄표"/>
      <sheetName val="단가_및_재료비"/>
      <sheetName val="각사별공사비분개_"/>
      <sheetName val="기존건물_깨기원단위"/>
      <sheetName val="슬래브_-연속(3경간)"/>
      <sheetName val="개별직종노임단가(2003_9)"/>
      <sheetName val="1_토공"/>
      <sheetName val="사__업__비__수__지__예__산__서"/>
      <sheetName val="AS포장복구_"/>
      <sheetName val="3련_BOX"/>
      <sheetName val="4_2유효폭의_계산"/>
      <sheetName val="설비(제출)"/>
      <sheetName val="공사요율"/>
      <sheetName val="1.일위대가"/>
      <sheetName val="용산1(해보)"/>
      <sheetName val="포장공집계"/>
      <sheetName val="주요자재집계"/>
      <sheetName val="친환경주택"/>
      <sheetName val="b_balju"/>
      <sheetName val="01 Summary"/>
      <sheetName val="CW,HW,NW"/>
      <sheetName val="SAN"/>
      <sheetName val="03 Rev.Log"/>
      <sheetName val="천방교접속"/>
      <sheetName val="산근cad용"/>
      <sheetName val="산근(계단)"/>
      <sheetName val="주차구획선수량"/>
      <sheetName val="2.재료비"/>
      <sheetName val="12.보오링"/>
      <sheetName val="18.공내수압탄성자연"/>
      <sheetName val="직접비"/>
      <sheetName val="자재목록"/>
      <sheetName val="노임목록"/>
      <sheetName val="결재란"/>
      <sheetName val="2.견적조건 정보"/>
      <sheetName val="공간분류체계"/>
      <sheetName val="부위별항목"/>
      <sheetName val="영향요인"/>
      <sheetName val="시행후면적"/>
      <sheetName val="노임단가_(2)"/>
      <sheetName val="환경기계공정표_(3)"/>
      <sheetName val="총_원가계산"/>
      <sheetName val="2F_회의실견적(5_14_일대)"/>
      <sheetName val="토공(우물통,기타)_"/>
      <sheetName val="노_표-조"/>
      <sheetName val="철근량_산정"/>
      <sheetName val="참여현황_(직원)"/>
      <sheetName val="대3류_"/>
      <sheetName val="준검_내역서"/>
      <sheetName val="12)아이디어_목록_및_개략평가"/>
      <sheetName val="11)VE_예비검토서"/>
      <sheetName val="15-3)VE제안서(가치향상_등)"/>
      <sheetName val="내역-_CCTV"/>
      <sheetName val="식재(예송)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설직재-1"/>
      <sheetName val="4)유동표"/>
      <sheetName val="음료실행"/>
      <sheetName val="매인"/>
      <sheetName val="1호맨홀수량산출"/>
      <sheetName val="NN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c_balju"/>
      <sheetName val="설계조건"/>
      <sheetName val="동일대내"/>
      <sheetName val="수량산출(음암)"/>
      <sheetName val="Lr"/>
      <sheetName val="공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중기비"/>
      <sheetName val="공사비집계"/>
      <sheetName val="판매시설"/>
      <sheetName val="수량집계"/>
      <sheetName val="설명"/>
      <sheetName val="일반수량산출"/>
      <sheetName val="5정거장"/>
      <sheetName val="1-3길내기"/>
      <sheetName val="자재 집계표"/>
      <sheetName val="블록(들고리8개)"/>
      <sheetName val="부가세별도"/>
      <sheetName val="업체자료"/>
      <sheetName val="97(US,EP,PCT,KR)"/>
      <sheetName val="FAB计算式"/>
      <sheetName val="CUB结算式"/>
      <sheetName val="FAB B01计算式"/>
      <sheetName val="室外计算式"/>
      <sheetName val="PROCURE"/>
      <sheetName val="5.물량산출서"/>
      <sheetName val="건설기계"/>
      <sheetName val="단가산출"/>
      <sheetName val="cal"/>
      <sheetName val="UNIT"/>
      <sheetName val="견적(02.07)"/>
      <sheetName val="결재"/>
      <sheetName val="EQT-ESTN"/>
      <sheetName val="구역화물"/>
      <sheetName val="건설기계가격"/>
      <sheetName val="보고서"/>
      <sheetName val="기둥(원형)"/>
      <sheetName val="PIER토수량"/>
      <sheetName val="단가표"/>
      <sheetName val="도급예산내역서봉투"/>
      <sheetName val="설계산출표지"/>
      <sheetName val="을부담운반비"/>
      <sheetName val="설계산출기초"/>
      <sheetName val="운반비산출"/>
      <sheetName val="순공사비"/>
      <sheetName val="신고분기설정참고"/>
      <sheetName val="거래처자료등록"/>
      <sheetName val="RDP2"/>
      <sheetName val="중기목록"/>
      <sheetName val="중기가격"/>
      <sheetName val="현장관리비 산출내역"/>
      <sheetName val="산출근거(9)"/>
      <sheetName val="절단표"/>
      <sheetName val="기초코드"/>
      <sheetName val="돌담교_상부수량2"/>
      <sheetName val="내역서1999_8최종1"/>
      <sheetName val="2_토목공사1"/>
      <sheetName val="3BL공동구_수량1"/>
      <sheetName val="8_석축단위(H=1_5M)1"/>
      <sheetName val="2_가정단면1"/>
      <sheetName val="6PILE__(돌출)1"/>
      <sheetName val="_상부공통집계(총괄)1"/>
      <sheetName val="주공_갑지"/>
      <sheetName val="경율산정_XLS"/>
      <sheetName val="2_대외공문"/>
      <sheetName val="Bldg_Brkdown"/>
      <sheetName val="산림조사비"/>
      <sheetName val="요율표"/>
      <sheetName val="신당동집계표"/>
      <sheetName val="1차 내역서"/>
      <sheetName val="C3"/>
      <sheetName val="인건비"/>
      <sheetName val="폐기물발생(처리)내역-1"/>
      <sheetName val="빙축열"/>
      <sheetName val="부안일위"/>
      <sheetName val="junggi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입력용"/>
      <sheetName val="입력용집계"/>
      <sheetName val="식재일위대가"/>
      <sheetName val="C1.공사개요"/>
      <sheetName val="A1.스케쥴"/>
      <sheetName val="개인토지"/>
      <sheetName val="시중노임"/>
      <sheetName val="단가조사표(노무비)"/>
      <sheetName val="중기조종사 단위단가"/>
      <sheetName val="코스모공장 (어음)"/>
      <sheetName val="SP-B1"/>
      <sheetName val="자재단가비교표"/>
      <sheetName val="신공항A-9(원가수정)"/>
      <sheetName val="대치판정"/>
      <sheetName val="00000"/>
      <sheetName val="산출금액내역"/>
      <sheetName val="물량표"/>
      <sheetName val="아파트 기성내역서"/>
      <sheetName val="base"/>
      <sheetName val="계획금액"/>
      <sheetName val="분석대장"/>
      <sheetName val="판매.DAT"/>
      <sheetName val="스케즐"/>
      <sheetName val="암센터"/>
      <sheetName val="12CGOU"/>
      <sheetName val="현장관리비"/>
      <sheetName val="nys"/>
      <sheetName val="수정계획3"/>
      <sheetName val="L형집계"/>
      <sheetName val="기준비용"/>
      <sheetName val="노임단가(직종번호_순)"/>
      <sheetName val="15-3)VE제안서(가치향_x0000_隒_x0000__x0000_"/>
      <sheetName val="인부노임"/>
      <sheetName val="노면표시1"/>
      <sheetName val="G2설비도급"/>
      <sheetName val="월별수입"/>
      <sheetName val="침하계"/>
      <sheetName val="IMF Code"/>
      <sheetName val="Gia VLNCMTC"/>
      <sheetName val="Cst Pkg-Eden"/>
      <sheetName val="WT-LIST"/>
      <sheetName val="4.04건축(건축-주계약내역서)"/>
      <sheetName val="J直材4"/>
      <sheetName val="DATA1"/>
      <sheetName val="4.고용보험"/>
      <sheetName val="STEEL BOX 단면설계(SEC.8)"/>
      <sheetName val="수로단위수량"/>
      <sheetName val="00임금"/>
      <sheetName val="수안보-MBR1"/>
      <sheetName val="15-3)VE제안서(가치향_x0000_庘ɝ_x0000_"/>
      <sheetName val="총괄내역서(도급)"/>
      <sheetName val="VALUATESheet13"/>
      <sheetName val="구체단위"/>
      <sheetName val="단위목록"/>
      <sheetName val="일위대가목록"/>
      <sheetName val="전도금정산집계"/>
      <sheetName val="은행코드"/>
      <sheetName val="지수적용공사비내역서"/>
      <sheetName val="특수선일위대가"/>
      <sheetName val="게비온"/>
      <sheetName val="관정"/>
      <sheetName val="배수관 날개벽"/>
      <sheetName val="box"/>
      <sheetName val="box날개"/>
      <sheetName val="방호벽"/>
      <sheetName val="절단"/>
      <sheetName val="아스팔트포장"/>
      <sheetName val="U형측구"/>
      <sheetName val="J형측구"/>
      <sheetName val="진입로"/>
      <sheetName val="TYPE-A"/>
      <sheetName val="제원입력"/>
      <sheetName val="예정공정표 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방음벽 기초 일반수량"/>
      <sheetName val="I.설계조건"/>
      <sheetName val="BQ"/>
      <sheetName val="WORK"/>
      <sheetName val="기계내역"/>
      <sheetName val="단면(RW1)"/>
      <sheetName val="전기일위대가"/>
      <sheetName val="시설물일위"/>
      <sheetName val="날개벽(TYPE3)"/>
      <sheetName val="비교표"/>
      <sheetName val="YES"/>
      <sheetName val="A-4"/>
      <sheetName val="맨홀수량집계"/>
      <sheetName val="경비2내역"/>
      <sheetName val="토공계산서(부체도로)"/>
      <sheetName val="IMP(MAIN)"/>
      <sheetName val="IMP (REACTOR)"/>
      <sheetName val="현장관리비내역서"/>
      <sheetName val="오산갈곳"/>
      <sheetName val="안정계산"/>
      <sheetName val="단면검토"/>
      <sheetName val="보차도경계석"/>
      <sheetName val="단가산출집계"/>
      <sheetName val="BLOCK(1)"/>
      <sheetName val="포장복구집계"/>
      <sheetName val="SORCE1"/>
      <sheetName val="XXXXXX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점수계산1-2"/>
      <sheetName val="STORAGE"/>
      <sheetName val="가로등내역서"/>
      <sheetName val="2000.11월설계내역"/>
      <sheetName val="조명율표"/>
      <sheetName val="전선 및 전선관"/>
      <sheetName val="내역서2안"/>
      <sheetName val="소야공정계획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봉양~조차장간고하개명(신설)"/>
      <sheetName val="주상도"/>
      <sheetName val="하조서"/>
      <sheetName val="보증수수료산출"/>
      <sheetName val="1.수인터널"/>
      <sheetName val="수목데이타 "/>
      <sheetName val="변압기 및 발전기 용량"/>
      <sheetName val="JUCK"/>
      <sheetName val="본선차로수량집계표"/>
      <sheetName val="일반공사"/>
      <sheetName val="일위대가(목록)"/>
      <sheetName val="참고"/>
      <sheetName val="- INFORMATION -"/>
      <sheetName val="예산변경사항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 계"/>
      <sheetName val="ASP포장"/>
      <sheetName val="내역서(전기)"/>
      <sheetName val="단가산출서(기계)"/>
      <sheetName val="표지 (2)"/>
      <sheetName val="에너지동"/>
      <sheetName val="연습"/>
      <sheetName val="MOTOR"/>
      <sheetName val="부하계산서"/>
      <sheetName val="견적조건"/>
      <sheetName val="견적조건(을지)"/>
      <sheetName val="예정(3)"/>
      <sheetName val="동원(3)"/>
      <sheetName val="1.설계기준"/>
      <sheetName val="현황CODE"/>
      <sheetName val="손익현황"/>
      <sheetName val="3차설계"/>
      <sheetName val="주형"/>
      <sheetName val="옹벽"/>
      <sheetName val="3.바닥판설계"/>
      <sheetName val="REACTION(USD지진시)"/>
      <sheetName val="안정검토"/>
      <sheetName val="REACTION(USE평시)"/>
      <sheetName val="일위대가표 (2)"/>
      <sheetName val="Testing"/>
      <sheetName val="IP좌표"/>
      <sheetName val="단면가정"/>
      <sheetName val="토목내역"/>
      <sheetName val="D-3503"/>
      <sheetName val="계화배수"/>
      <sheetName val="물량산출근거"/>
      <sheetName val="부재력정리"/>
      <sheetName val="노원열병합  건축공사기성내역서"/>
      <sheetName val="NEYOK"/>
      <sheetName val="Macro(전선)"/>
      <sheetName val="NOMUBI"/>
      <sheetName val="계산근거"/>
      <sheetName val="품의서"/>
      <sheetName val="물가자료"/>
      <sheetName val="SG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단위세대"/>
      <sheetName val="일용노임단가"/>
      <sheetName val="가설공사내역"/>
      <sheetName val="401"/>
      <sheetName val="지장물C"/>
      <sheetName val="General Data"/>
      <sheetName val="전압강하계산"/>
      <sheetName val="차도조도계산"/>
      <sheetName val="월선수금"/>
      <sheetName val="TABLE"/>
      <sheetName val="전체"/>
      <sheetName val="설산1.나"/>
      <sheetName val="본사S"/>
      <sheetName val="연령현황"/>
      <sheetName val="Site Expenses"/>
      <sheetName val="자재단가표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대구실행"/>
      <sheetName val="Baby일위대가"/>
      <sheetName val="0.집계"/>
      <sheetName val="가로등부표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수주현황2월"/>
      <sheetName val="토공유동표"/>
      <sheetName val="단면 (2)"/>
      <sheetName val="XL4Poppy"/>
      <sheetName val="요율"/>
      <sheetName val="아산추가1220"/>
      <sheetName val="당초"/>
      <sheetName val="3-1.CB"/>
      <sheetName val="98지급계획"/>
      <sheetName val="본공사"/>
      <sheetName val="DANGA"/>
      <sheetName val="실행내역서"/>
      <sheetName val="BID-도로"/>
      <sheetName val="내력서"/>
      <sheetName val="90.03실행 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공구원가계산"/>
      <sheetName val="입찰결과(DATA)"/>
      <sheetName val="일위대가표(유단가)"/>
      <sheetName val="CABLE SIZE-3"/>
      <sheetName val="EQUIP-H"/>
      <sheetName val="하수급견적대비"/>
      <sheetName val="발주설계서(당초)"/>
      <sheetName val="일위대가 집계표"/>
      <sheetName val="9GNG운반"/>
      <sheetName val="횡배수관토공수량"/>
      <sheetName val="수문일1"/>
      <sheetName val="품셈TABLE"/>
      <sheetName val="제원.설계조건"/>
      <sheetName val="SLAB"/>
      <sheetName val="관람석제출"/>
      <sheetName val="소업1교"/>
      <sheetName val="가공비"/>
      <sheetName val="가설공사"/>
      <sheetName val="기초공"/>
      <sheetName val="96수출"/>
      <sheetName val="기자재비"/>
      <sheetName val="투자효율분석"/>
      <sheetName val="sum1 (2)"/>
      <sheetName val="DATA(BAC)"/>
      <sheetName val="단락전류-A"/>
      <sheetName val="DPRKMHDT"/>
      <sheetName val="공통부대비"/>
      <sheetName val="출력-내역서"/>
      <sheetName val="공통(20-91)"/>
      <sheetName val="SE-611"/>
      <sheetName val="단가표 "/>
      <sheetName val="분전함신설"/>
      <sheetName val="날개벽(TYPE1)"/>
      <sheetName val="견적서세부내용"/>
      <sheetName val="견적내용입력"/>
      <sheetName val="발신정보"/>
      <sheetName val="집1"/>
      <sheetName val="설계내역(2001)"/>
      <sheetName val="일반맨홀수량집계"/>
      <sheetName val="EUPDAT2"/>
      <sheetName val="주경기-오배수"/>
      <sheetName val="건축원가계산서"/>
      <sheetName val="공사비내역서"/>
      <sheetName val="공사비 내역 (가)"/>
      <sheetName val="내역서(총)"/>
      <sheetName val="토공(완충)"/>
      <sheetName val="횡배수관"/>
      <sheetName val="IMPEADENCE MAP 취수장"/>
      <sheetName val="TEL"/>
      <sheetName val="Top PO"/>
      <sheetName val="공종"/>
      <sheetName val="맨홀토공수량"/>
      <sheetName val="방송노임"/>
      <sheetName val="날개벽(좌,우=45도,75도)"/>
      <sheetName val="입찰견적보고서"/>
      <sheetName val="hvac내역서(제어동)"/>
      <sheetName val="모델링"/>
      <sheetName val="하중계산"/>
      <sheetName val="견적접수"/>
      <sheetName val="견적내역서"/>
      <sheetName val="mcc일위대가"/>
      <sheetName val="ITB COST"/>
      <sheetName val="원본"/>
      <sheetName val="2006기계경비산출표"/>
      <sheetName val="48전력선로일위"/>
      <sheetName val="총괄집계표"/>
      <sheetName val="고창터널(고창방향)"/>
      <sheetName val="제-노임"/>
      <sheetName val="제직재"/>
      <sheetName val="아파트기별"/>
      <sheetName val="공리일"/>
      <sheetName val="AILC004"/>
      <sheetName val="점검총괄"/>
      <sheetName val="20관리비율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단가일람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간접1"/>
      <sheetName val="5.정산서"/>
      <sheetName val="1차증가원가계산"/>
      <sheetName val="통장출금액"/>
      <sheetName val="VA_code"/>
      <sheetName val="공종별원가계산"/>
      <sheetName val="말고개터널조명전압강하"/>
      <sheetName val="연결관산출조서"/>
      <sheetName val="외주"/>
      <sheetName val="BOX전기내역"/>
      <sheetName val="BASIC (2)"/>
      <sheetName val="간접비"/>
      <sheetName val="토량1-1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노무비 근거"/>
      <sheetName val="일집"/>
      <sheetName val="노무"/>
      <sheetName val="Proposal"/>
      <sheetName val="Tot-sum"/>
      <sheetName val="ATS단가"/>
      <sheetName val="내역(전체)"/>
      <sheetName val="design criteria"/>
      <sheetName val="plan&amp;section of foundation"/>
      <sheetName val="협조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차수"/>
      <sheetName val="2.노무비명세서(난간대)"/>
      <sheetName val="2.사진대지"/>
      <sheetName val=" 견적서"/>
      <sheetName val="(2)"/>
      <sheetName val="예산서"/>
      <sheetName val="3.사진대지"/>
      <sheetName val="설계기준 및 하중계산"/>
      <sheetName val="입력값"/>
      <sheetName val="22단가(철거)"/>
      <sheetName val="49단가"/>
      <sheetName val="49단가(철거)"/>
      <sheetName val="부표총괄"/>
      <sheetName val="8. 내진해석"/>
      <sheetName val="22단가"/>
      <sheetName val="9-1차이내역"/>
      <sheetName val="금액내역서"/>
      <sheetName val="AIR SHOWER(3인용)"/>
      <sheetName val="손익분석"/>
      <sheetName val="포장공"/>
      <sheetName val="가설건물"/>
      <sheetName val="품셈"/>
      <sheetName val="인건-측정"/>
      <sheetName val="적용공정"/>
      <sheetName val="금리계산"/>
      <sheetName val="우배수"/>
      <sheetName val="맨홀"/>
      <sheetName val="금호"/>
      <sheetName val="부하(성남)"/>
      <sheetName val="96보완계획7.12"/>
      <sheetName val="연부97-1"/>
      <sheetName val="갑지1"/>
      <sheetName val="49-119"/>
      <sheetName val="적용(기계)"/>
      <sheetName val="옹벽수량집계"/>
      <sheetName val="관로"/>
      <sheetName val="제수변수량"/>
      <sheetName val="공기변수량"/>
      <sheetName val="상수도토공집계표"/>
      <sheetName val="PO-BOQ"/>
      <sheetName val="일반수량총괄"/>
      <sheetName val="의왕내역"/>
      <sheetName val="입출재고현황 (2)"/>
      <sheetName val="변경비교-을"/>
      <sheetName val="인건비 "/>
      <sheetName val="공종별내역서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공정"/>
      <sheetName val="견"/>
      <sheetName val="보도경계블럭"/>
      <sheetName val="L형옹벽"/>
      <sheetName val="내부부하"/>
      <sheetName val="Mc1"/>
      <sheetName val="2000,9월 일위"/>
      <sheetName val="guard(mac)"/>
      <sheetName val="과천MAIN"/>
      <sheetName val="조건"/>
      <sheetName val="여흥"/>
      <sheetName val="설계가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율촌법률사무소2내역"/>
      <sheetName val="지주목시비량산출서"/>
      <sheetName val="99총공사내역서"/>
      <sheetName val="고등학교"/>
      <sheetName val="제1장"/>
      <sheetName val="제2장"/>
      <sheetName val="제3장"/>
      <sheetName val="경산"/>
      <sheetName val="견적내역"/>
      <sheetName val="직공비"/>
      <sheetName val="주관사업"/>
      <sheetName val="진우+대광"/>
      <sheetName val="견적대비"/>
      <sheetName val="옥외"/>
      <sheetName val="가드레일산근"/>
      <sheetName val="수량집계표"/>
      <sheetName val="단가비교"/>
      <sheetName val="적용2002"/>
      <sheetName val="중기"/>
      <sheetName val="45,46"/>
      <sheetName val="교대(A1-A2)"/>
      <sheetName val="구조물공"/>
      <sheetName val="부대공"/>
      <sheetName val="배수공"/>
      <sheetName val="본선토량운반계산서(1)0"/>
      <sheetName val="1SPAN"/>
      <sheetName val="조경일람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P.M 별"/>
      <sheetName val="설계변경내역서"/>
      <sheetName val="배"/>
      <sheetName val="단위별 일위대가표"/>
      <sheetName val="IMP_(REACTOR)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위집계표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8. 안정검토"/>
      <sheetName val="지진시"/>
      <sheetName val="98NS-N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기본단가"/>
      <sheetName val="약품설비"/>
      <sheetName val="LP-S"/>
      <sheetName val="전기혼잡제경비(45)"/>
      <sheetName val="MEXICO-C"/>
      <sheetName val="보합"/>
      <sheetName val="내역서 (2)"/>
      <sheetName val="토량산출서"/>
      <sheetName val="L_RPTA05_목록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전차선로 물량표"/>
      <sheetName val="한강운반비"/>
      <sheetName val="자재"/>
      <sheetName val="12월31일"/>
      <sheetName val="Apt내역"/>
      <sheetName val="EQUIPMENT -2"/>
      <sheetName val="고분전시관"/>
      <sheetName val="설비"/>
      <sheetName val="빌딩 안내"/>
      <sheetName val="MBR9"/>
      <sheetName val="공비대비"/>
      <sheetName val="전기2005"/>
      <sheetName val="통신2005"/>
      <sheetName val="연결임시"/>
      <sheetName val="계산식"/>
      <sheetName val="1._x0018_변전설비"/>
      <sheetName val="현장예산"/>
      <sheetName val="Macro3"/>
      <sheetName val="대구-교대(A1-A2)"/>
      <sheetName val="3.자재비(총괄)"/>
      <sheetName val="실행예산"/>
      <sheetName val="마산방향"/>
      <sheetName val="실행갑지"/>
      <sheetName val="견적990322"/>
      <sheetName val="LD일"/>
      <sheetName val="FA설치명세"/>
      <sheetName val="FD"/>
      <sheetName val="증감대비"/>
      <sheetName val="공종단가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적상기초자료"/>
      <sheetName val="화재 탐지 설비"/>
      <sheetName val="주사무실종합"/>
      <sheetName val="효동"/>
      <sheetName val="여과지동"/>
      <sheetName val="전체철근집계"/>
      <sheetName val="토목공사"/>
      <sheetName val="토공산출(주차장)"/>
      <sheetName val="CIVIL"/>
      <sheetName val="자  재"/>
      <sheetName val="관리사무소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cost"/>
      <sheetName val="제품별"/>
      <sheetName val="사전공사"/>
      <sheetName val="소포내역 (2)"/>
      <sheetName val="암거단위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몰탈재료산출"/>
      <sheetName val="관급"/>
      <sheetName val="백호우계수"/>
      <sheetName val="경산(을)"/>
      <sheetName val="선정요령"/>
      <sheetName val="정화조방수미장"/>
      <sheetName val="15"/>
      <sheetName val="부하LOAD"/>
      <sheetName val="접속슬라브"/>
      <sheetName val="수로교총재료집계"/>
      <sheetName val="공사별 가중치 산출근거(토목)"/>
      <sheetName val="가중치근거(조경)"/>
      <sheetName val="내역서비교"/>
      <sheetName val="세부내역"/>
      <sheetName val="LAB"/>
      <sheetName val="Inquiry"/>
      <sheetName val="1. 설계조건 2.단면가정 3. 하중계산"/>
      <sheetName val="제진기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통합"/>
      <sheetName val="TC표지"/>
      <sheetName val="현금"/>
      <sheetName val="현장"/>
      <sheetName val="유기공정"/>
      <sheetName val="변경서식"/>
      <sheetName val="영업소실적"/>
      <sheetName val="STBOX"/>
      <sheetName val="공사진행"/>
      <sheetName val="70%"/>
      <sheetName val="본체"/>
      <sheetName val="Piping Design Data"/>
      <sheetName val="종배수관"/>
      <sheetName val="工완성공사율"/>
      <sheetName val="현장지지물물량"/>
      <sheetName val="품셈표"/>
      <sheetName val="부대대비"/>
      <sheetName val="냉연집계"/>
      <sheetName val="산출내역서"/>
      <sheetName val="저"/>
      <sheetName val="경상비"/>
      <sheetName val="연습장소"/>
      <sheetName val="MACRO(전선관)"/>
      <sheetName val="기준액"/>
      <sheetName val="상세내역,전력산출서"/>
      <sheetName val="7.1유효폭"/>
      <sheetName val="Ampecity Data"/>
      <sheetName val="MCC제원"/>
      <sheetName val="공사기본자료"/>
      <sheetName val="날개벽(시점좌측)"/>
      <sheetName val="3_바닥판설계"/>
      <sheetName val="TYPE-B 평균H"/>
      <sheetName val="교통량조사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현장관리비 "/>
      <sheetName val="구리토평1전기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평교-내역"/>
      <sheetName val="단면설계"/>
      <sheetName val="신표지1"/>
      <sheetName val="노임(1차)"/>
      <sheetName val="준공평가"/>
      <sheetName val="실행간접비용"/>
      <sheetName val="관리,부대비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인사자료총집계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공사비총괄표"/>
      <sheetName val="BQ(실행)"/>
      <sheetName val="교량하부공"/>
      <sheetName val="와동25-3(변경)"/>
      <sheetName val="기계"/>
      <sheetName val="T6-6(2)"/>
      <sheetName val="Upgrades pricing"/>
      <sheetName val="내역(가지)"/>
      <sheetName val="GI-LIST"/>
      <sheetName val="주방환기"/>
      <sheetName val="내역서(토목)"/>
      <sheetName val="경상직원"/>
      <sheetName val="전력구구조물산근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1_수인터널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사원등록"/>
      <sheetName val="호봉 (2)"/>
      <sheetName val="하도급변경대비표"/>
      <sheetName val="2000용수잠관-수량집계"/>
      <sheetName val="공사내역"/>
      <sheetName val="WEON"/>
      <sheetName val="경상"/>
      <sheetName val="가설"/>
      <sheetName val="3.내역서"/>
      <sheetName val="총수량집계표"/>
      <sheetName val="통신물량"/>
      <sheetName val="전체내역서"/>
      <sheetName val="별표 "/>
      <sheetName val="기본DATA"/>
      <sheetName val="청천내"/>
      <sheetName val="문학간접"/>
      <sheetName val="매입세"/>
      <sheetName val="표층포설및다짐"/>
      <sheetName val="CODE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Dae_Jiju"/>
      <sheetName val="Sikje_ingun"/>
      <sheetName val="TREE_D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CB"/>
      <sheetName val="CS2"/>
      <sheetName val="1,2공구원가계산서"/>
      <sheetName val="1공구산출내역서"/>
      <sheetName val="오동"/>
      <sheetName val="대조"/>
      <sheetName val="나한"/>
      <sheetName val="INPUT(덕도방향-시점)"/>
      <sheetName val="실행예산서"/>
      <sheetName val="유동표(변경)"/>
      <sheetName val="급명"/>
      <sheetName val="단  가  대  비  표"/>
      <sheetName val="일  위  대  가  목  록"/>
      <sheetName val="2000년 공정표"/>
      <sheetName val="교각별철근수량집계표"/>
      <sheetName val="L형옹벽측구"/>
      <sheetName val="const."/>
      <sheetName val="동해title"/>
      <sheetName val="변경내역을"/>
      <sheetName val="펌프장수량산출(토)"/>
      <sheetName val="남양구조시험동"/>
      <sheetName val="본부소개"/>
      <sheetName val="현관"/>
      <sheetName val="기기리스트"/>
      <sheetName val="통합내역"/>
      <sheetName val="HRSG SMALL07220"/>
      <sheetName val="CHITIET VL-NC-TT -1p"/>
      <sheetName val="TDTKP1"/>
      <sheetName val="bearing"/>
      <sheetName val="CA지입"/>
      <sheetName val="대외공문"/>
      <sheetName val="DWPM"/>
      <sheetName val="백암비스타내역"/>
      <sheetName val="DB"/>
      <sheetName val="1공구 건정토건 토공"/>
      <sheetName val=" 총괄표"/>
      <sheetName val="자재집계"/>
      <sheetName val="LIST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CABLE"/>
      <sheetName val="강북라우터"/>
      <sheetName val="노무비산출"/>
      <sheetName val="합천내역"/>
      <sheetName val="단"/>
      <sheetName val="교통대책내역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FOOTING단면력"/>
      <sheetName val="01AC"/>
      <sheetName val="조명율데이타"/>
      <sheetName val="평균높이산출근거"/>
      <sheetName val="횡배수관위치조서"/>
      <sheetName val="1.우편집중내역서"/>
      <sheetName val="기본설계도급항목"/>
      <sheetName val="8.현장관리비"/>
      <sheetName val="7.안전관리비"/>
      <sheetName val="01"/>
      <sheetName val="연돌일위집계"/>
      <sheetName val="BEND LOSS"/>
      <sheetName val="견적율"/>
      <sheetName val="물가"/>
      <sheetName val="소방사항"/>
      <sheetName val="TRE TABLE"/>
      <sheetName val="총집계표"/>
      <sheetName val="명세서"/>
      <sheetName val="공사내역서(을)실행"/>
      <sheetName val="견적"/>
      <sheetName val="화설내"/>
      <sheetName val="기초일위"/>
      <sheetName val="조명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ELECTRIC"/>
      <sheetName val="직원동원SCH"/>
      <sheetName val="단가조사-1"/>
      <sheetName val="단가조사-2"/>
      <sheetName val="Man Power &amp; Comp"/>
      <sheetName val="변경후-SHEET"/>
      <sheetName val="도급양식"/>
      <sheetName val="손익집계(공장별)"/>
      <sheetName val="설계명세서(선로)"/>
      <sheetName val="접지수량"/>
      <sheetName val="현장별계약현황('98.10.31)"/>
      <sheetName val="현장관리비데이타"/>
      <sheetName val="1)fs"/>
      <sheetName val="구조     ."/>
      <sheetName val="2002하반기노임기준"/>
      <sheetName val="본부장"/>
      <sheetName val="구동"/>
      <sheetName val="공조기"/>
      <sheetName val="대림산업"/>
      <sheetName val="EKOG10건축"/>
      <sheetName val="경비"/>
      <sheetName val="TYPE-1"/>
      <sheetName val="내역서(전체)"/>
      <sheetName val="내역(토목)"/>
      <sheetName val="위치조서"/>
      <sheetName val="5.공종별예산내역서"/>
      <sheetName val="PROJECT BRIEF"/>
      <sheetName val="토공정보"/>
      <sheetName val="두앙"/>
      <sheetName val="깨기수량"/>
      <sheetName val="하중산정"/>
      <sheetName val="세부견적서(DAS Call Back)"/>
      <sheetName val="단중표-ST"/>
      <sheetName val="COMPRESSOR"/>
      <sheetName val="PIPE"/>
      <sheetName val="VALVE"/>
      <sheetName val="9811"/>
      <sheetName val="투찰내역"/>
      <sheetName val="COVER-P"/>
      <sheetName val="Piping(Methanol)"/>
      <sheetName val="도로경계블럭단위수량"/>
      <sheetName val="도로경계블럭단위토공"/>
      <sheetName val="L형측구단위수량"/>
      <sheetName val="L형측구연장조서"/>
      <sheetName val="충주"/>
      <sheetName val="재료집계"/>
      <sheetName val="인수공총괄"/>
      <sheetName val="내역서01"/>
      <sheetName val="덕소내역"/>
      <sheetName val="종합기별"/>
      <sheetName val="노무비명세서"/>
      <sheetName val="개보수공사BM"/>
      <sheetName val="장문교(대전)"/>
      <sheetName val="내역(중앙)"/>
      <sheetName val="내역(창신)"/>
      <sheetName val="CLAUSE"/>
      <sheetName val="약품설︀"/>
      <sheetName val="결과조달"/>
      <sheetName val="1공구 건정토건 철콘"/>
      <sheetName val="2공구하도급내역서"/>
      <sheetName val="도급내역"/>
      <sheetName val="투찰추정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Rates"/>
      <sheetName val="P-산#1-1(WOWA1)"/>
      <sheetName val="웅진교-S2"/>
      <sheetName val="배수관토공"/>
      <sheetName val="차수공개요"/>
      <sheetName val="인공(100P,배선반)"/>
      <sheetName val="설내역서 "/>
      <sheetName val="전기공사"/>
      <sheetName val="납부서"/>
      <sheetName val="기흥하도용"/>
      <sheetName val="일위대가(여기까지)"/>
      <sheetName val="J"/>
      <sheetName val="단위_xdc00_ὗ␀"/>
      <sheetName val="인상효1"/>
      <sheetName val="수성페인트도장 내역서"/>
      <sheetName val="도급내역5+800"/>
      <sheetName val="도급금액"/>
      <sheetName val="재노경"/>
      <sheetName val="변경내역서"/>
      <sheetName val="일위대가(1)"/>
      <sheetName val="관급자재"/>
      <sheetName val="총공사내역서"/>
      <sheetName val="토공사"/>
      <sheetName val="정렬"/>
      <sheetName val="계약내역서"/>
      <sheetName val="전체도급"/>
      <sheetName val="본선 토공 분배표"/>
      <sheetName val="제출내역 (2)"/>
      <sheetName val="6공구(당초)"/>
      <sheetName val="산근1"/>
      <sheetName val="관리,공감"/>
      <sheetName val="입찰"/>
      <sheetName val="현경"/>
      <sheetName val="전화번호DATA (2001)"/>
      <sheetName val="자압"/>
      <sheetName val="106C0300"/>
      <sheetName val="건축내역서 (경제상무실)"/>
      <sheetName val="통로box전기"/>
      <sheetName val="밧데리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2공구수량"/>
      <sheetName val="화해(함평)"/>
      <sheetName val="화해(장성)"/>
      <sheetName val="2BOX본체"/>
      <sheetName val="도장수량(하1)"/>
      <sheetName val="사업수지"/>
      <sheetName val="기계경비단가"/>
      <sheetName val="지주설치제원"/>
      <sheetName val="경영상태"/>
      <sheetName val="토공A"/>
      <sheetName val="전체공내역서"/>
      <sheetName val="퍼스트"/>
      <sheetName val="역집계1"/>
      <sheetName val="명단원자료(이전)"/>
      <sheetName val="영동(D)"/>
      <sheetName val="원가서"/>
      <sheetName val="용소리교"/>
      <sheetName val="단가(반정1교-원주)"/>
      <sheetName val="삼보지질"/>
      <sheetName val="7.전산해석결과"/>
      <sheetName val="4.하중"/>
      <sheetName val="우각부검토"/>
      <sheetName val="기초입력"/>
      <sheetName val="기성내역서표지"/>
      <sheetName val="공주-교대(A1)"/>
      <sheetName val="중기사용료"/>
      <sheetName val="단가 "/>
      <sheetName val="design load"/>
      <sheetName val="working load at the btm ft."/>
      <sheetName val="stability check"/>
      <sheetName val="보호"/>
      <sheetName val="개소별수량산출"/>
      <sheetName val="성남여성복지내역"/>
      <sheetName val="(A)내역서"/>
      <sheetName val="안양1공구_건축"/>
      <sheetName val="북방3터널"/>
      <sheetName val="기술자료 (연수)"/>
      <sheetName val="등록업체"/>
      <sheetName val="esc"/>
      <sheetName val="영흥TL(UP,DOWN) "/>
      <sheetName val="96작생능"/>
      <sheetName val="sheets"/>
      <sheetName val="단가결정"/>
      <sheetName val="내역아"/>
      <sheetName val="울타리"/>
      <sheetName val="3CHBDC"/>
      <sheetName val="2002계약현황"/>
      <sheetName val="내역기준"/>
      <sheetName val="설-원가"/>
      <sheetName val="전체_1설계"/>
      <sheetName val="자재일람"/>
      <sheetName val="Factor"/>
      <sheetName val="w't table"/>
      <sheetName val="UR2-Calculation"/>
      <sheetName val="Main"/>
      <sheetName val="노임변동률"/>
      <sheetName val="4차원가계산서"/>
      <sheetName val="예산M12A"/>
      <sheetName val="환율-LIBOR"/>
      <sheetName val="품종별-이름"/>
      <sheetName val=" 갑  지 "/>
      <sheetName val="Y_WORK"/>
      <sheetName val="부서현황"/>
      <sheetName val="1안"/>
      <sheetName val="총괄서"/>
      <sheetName val="Option"/>
      <sheetName val="판"/>
      <sheetName val="실행내역서 "/>
      <sheetName val="사업계획1안"/>
      <sheetName val="VENDOR LIST"/>
      <sheetName val="공통비"/>
      <sheetName val="도장 및 용접 수량"/>
      <sheetName val="경율산정"/>
      <sheetName val="위성"/>
      <sheetName val="GAEYO"/>
      <sheetName val="Vari by Vendor"/>
      <sheetName val="공용시설내역"/>
      <sheetName val="97 사업추정(WEKI)"/>
      <sheetName val="기계경비및산출근거서"/>
      <sheetName val="Languages"/>
      <sheetName val="원내역서3"/>
      <sheetName val="101동"/>
      <sheetName val="3도로"/>
      <sheetName val="세동별비상"/>
      <sheetName val="세부내역서(전기)"/>
      <sheetName val="대비내역"/>
      <sheetName val="기존단가 (2)"/>
      <sheetName val="9."/>
      <sheetName val="견적서1"/>
      <sheetName val="자재테이블"/>
      <sheetName val="EP0618"/>
      <sheetName val="기본사항"/>
      <sheetName val="토목내역서 (도급단가)"/>
      <sheetName val="현황산출서"/>
      <sheetName val="내역서단가산출용"/>
      <sheetName val="가CP"/>
      <sheetName val="청구내역(9807)"/>
      <sheetName val="기초및구체공"/>
      <sheetName val="금긋기 및 절단"/>
      <sheetName val="감액총괄표"/>
      <sheetName val="변경품셈총괄"/>
      <sheetName val="내역."/>
      <sheetName val="부대"/>
      <sheetName val="실행(1)"/>
      <sheetName val="기계설비"/>
      <sheetName val="2.1  노무비 평균단가산출"/>
      <sheetName val="콘_재료분리(1)"/>
      <sheetName val="음성방향"/>
      <sheetName val="설계변경내역 98"/>
      <sheetName val="공제구간조서"/>
      <sheetName val="견적대비표"/>
      <sheetName val="설계일반"/>
      <sheetName val="수압집계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PAINT"/>
      <sheetName val="NAMES"/>
      <sheetName val="시운전연료"/>
      <sheetName val="22단헾"/>
      <sheetName val="상 부"/>
      <sheetName val="차선도색현황"/>
      <sheetName val="단가적용(터널)"/>
      <sheetName val="단위가격_할증"/>
      <sheetName val="전선_및_전선ࠝ"/>
      <sheetName val="연동내역서"/>
      <sheetName val="일위대가 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적용(기尜_x0013_"/>
      <sheetName val="1-11조직표"/>
      <sheetName val="96.12"/>
      <sheetName val="22단丵"/>
      <sheetName val="SLIDES"/>
      <sheetName val="광혁기성"/>
      <sheetName val="정산입력"/>
      <sheetName val="전력"/>
      <sheetName val="eq_data"/>
      <sheetName val="품셈집계표"/>
      <sheetName val="자재조사표"/>
      <sheetName val="일반부표집계표"/>
      <sheetName val="매출단가"/>
      <sheetName val="M-EQPT-Z"/>
      <sheetName val="현장대리인계"/>
      <sheetName val="2000,_x0010__x0000_退˘踇"/>
      <sheetName val="조경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접지1종"/>
      <sheetName val="제품"/>
      <sheetName val="참조M"/>
      <sheetName val="BOX 본체"/>
      <sheetName val="포장공자재집계표"/>
      <sheetName val="3련 B姨#"/>
      <sheetName val="경로,구간현황"/>
      <sheetName val="시가지우회도로공내역서"/>
      <sheetName val="1_설계기준"/>
      <sheetName val="Pier 3"/>
      <sheetName val="NAI"/>
      <sheetName val="자탐수량산출서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일반수량집계"/>
      <sheetName val="OCM"/>
      <sheetName val="사용자정의"/>
      <sheetName val="제품표준규격"/>
      <sheetName val="전기설계변경"/>
      <sheetName val="AH-1 "/>
      <sheetName val="OHU"/>
      <sheetName val="형식별 개략공사비"/>
      <sheetName val="01_ 원가계산서"/>
      <sheetName val="작성"/>
      <sheetName val="CAT_5"/>
      <sheetName val="등록׃】"/>
      <sheetName val="등록_x0010__x0000_"/>
      <sheetName val="PART_DISCOUNT"/>
      <sheetName val="등록_x0000__x0000_"/>
      <sheetName val="민감도"/>
      <sheetName val="RAHMEN"/>
      <sheetName val="소상 &quot;1&quot;"/>
      <sheetName val="적점"/>
      <sheetName val="Cost bd-&quot;A&quot;"/>
      <sheetName val="Macro(AT)"/>
      <sheetName val="CALCULATION"/>
      <sheetName val="원가총괄"/>
      <sheetName val="매입세율"/>
      <sheetName val="회로내역(승인)"/>
      <sheetName val="IBASE"/>
      <sheetName val="»êÃ렀䡟ԯ_x0000_缀"/>
      <sheetName val="»êÃ︀ᇕ԰_x0000_缀"/>
      <sheetName val="갈현동"/>
      <sheetName val="예산대비"/>
      <sheetName val="4/_x0000_䠀"/>
      <sheetName val="4쌇栅/"/>
      <sheetName val="4က_x0000_က"/>
      <sheetName val="증栀ᙿ가"/>
      <sheetName val="수안보-헾】_x0005__x0000_"/>
      <sheetName val="국공유지및사유지"/>
      <sheetName val="총괄-1"/>
      <sheetName val="이토변실(A3-LINE)"/>
      <sheetName val="9509"/>
      <sheetName val="일위목차"/>
      <sheetName val="견적사양비교표"/>
      <sheetName val="시설물기초"/>
      <sheetName val="송전재료비"/>
      <sheetName val="FIN TUBE"/>
      <sheetName val="HED. &amp; PIPE"/>
      <sheetName val="PUMP SHT"/>
      <sheetName val="FEXS"/>
      <sheetName val="한전고리-을"/>
      <sheetName val=" ｹ-ﾌﾞﾙ"/>
      <sheetName val="MW-BM"/>
      <sheetName val="암거공"/>
      <sheetName val="평가내역"/>
      <sheetName val="직접인건비"/>
      <sheetName val="2.2.2입적표"/>
      <sheetName val="접속도로"/>
      <sheetName val="-15.0"/>
      <sheetName val="사리부설"/>
      <sheetName val="1월"/>
      <sheetName val="임대견적서"/>
      <sheetName val="36신丵〒_x0005_"/>
      <sheetName val="물량집계"/>
      <sheetName val="단가조사표"/>
      <sheetName val="설계내역서(기계)"/>
      <sheetName val="현장설က_x0000_蠀ᛟ"/>
      <sheetName val="학생내역"/>
      <sheetName val="기성내역"/>
      <sheetName val="환"/>
      <sheetName val="적용기준표(98년상반기)"/>
      <sheetName val="예산내역서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A 견적"/>
      <sheetName val="전기일위목록"/>
      <sheetName val="RE9604"/>
      <sheetName val="거푸집물량"/>
      <sheetName val="자재비"/>
      <sheetName val="UPDATA"/>
      <sheetName val="원가계산서(남측)"/>
      <sheetName val="제조 경영"/>
      <sheetName val="금광1터널"/>
      <sheetName val="G.R300경비"/>
      <sheetName val="세부狇譈"/>
      <sheetName val="사각맨ﻇ"/>
      <sheetName val="몰탈재븧܊"/>
      <sheetName val="견적의"/>
      <sheetName val="견적의烇彰"/>
      <sheetName val="토공집계표"/>
      <sheetName val="하도급선정의뢰서(습식공_x0000__x0000_"/>
      <sheetName val="앉음벽 (2)"/>
      <sheetName val="L-type"/>
      <sheetName val="2터널시점"/>
      <sheetName val="기본"/>
      <sheetName val="짉譥"/>
      <sheetName val="ᣉᎍ"/>
      <sheetName val="일위산출"/>
      <sheetName val="Oper Amount"/>
      <sheetName val="금액내렀቟"/>
      <sheetName val="금액내԰_x0000_"/>
      <sheetName val="E총"/>
      <sheetName val="성내동"/>
      <sheetName val="공종목록표"/>
      <sheetName val="인부임"/>
      <sheetName val="인원계획"/>
      <sheetName val="시행예산"/>
      <sheetName val="자압1"/>
      <sheetName val="조경내역"/>
      <sheetName val="물墸᎟鰀"/>
      <sheetName val="화재 탐지_x0005__x0000_"/>
      <sheetName val="단가비교표_공통1"/>
      <sheetName val="전신환매도徸"/>
      <sheetName val="업체별기성내역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골재산출"/>
      <sheetName val="자재목록표"/>
      <sheetName val="2002상반기노임기준"/>
      <sheetName val="단중聀"/>
      <sheetName val="예산조서(무선)"/>
      <sheetName val="사급자재총괄"/>
      <sheetName val="당정동경상이수"/>
      <sheetName val="당정동공통이수"/>
      <sheetName val="예산M11A"/>
      <sheetName val="APT"/>
      <sheetName val="WING3"/>
      <sheetName val=" 냉각수펌프"/>
      <sheetName val="구분자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소운반"/>
      <sheetName val="공종구간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역T형옹벽(3.0)"/>
      <sheetName val="내역서(삼호)"/>
      <sheetName val="지하1층"/>
      <sheetName val="공비대䠚"/>
      <sheetName val="금액내㔀቎"/>
      <sheetName val="옹벽기초자료"/>
      <sheetName val="본사인상전"/>
      <sheetName val="단가산출-기,교"/>
      <sheetName val="당사"/>
      <sheetName val="내역총괄2"/>
      <sheetName val="내역총괄3"/>
      <sheetName val="가중치"/>
      <sheetName val="주식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금액집계"/>
      <sheetName val="단양 00 아파트-세부내역"/>
      <sheetName val="C1ㅇ"/>
      <sheetName val="STD"/>
      <sheetName val="물가대비표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3본사"/>
      <sheetName val="세부내역서"/>
      <sheetName val="간선"/>
      <sheetName val="전압"/>
      <sheetName val="조도"/>
      <sheetName val="동력"/>
      <sheetName val="가공2원도"/>
      <sheetName val="COL"/>
      <sheetName val="일(4)"/>
      <sheetName val="투입비"/>
      <sheetName val="1F"/>
      <sheetName val="11.자재단가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49"/>
      <sheetName val="정산내역서"/>
      <sheetName val="설계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입고장부 (4)"/>
      <sheetName val="DATA-UPS"/>
      <sheetName val="건설장비기초단가"/>
      <sheetName val="샘플표지"/>
      <sheetName val="토공 total"/>
      <sheetName val="일반맨홀수량집계(A-7 LINE)"/>
      <sheetName val="옹벽1"/>
      <sheetName val="찍기"/>
      <sheetName val="공종별 집계"/>
      <sheetName val="일위(PN)"/>
      <sheetName val="Macro"/>
      <sheetName val="산출"/>
      <sheetName val="9-1차이내역."/>
      <sheetName val="Sheet22"/>
      <sheetName val="총괄표(1)"/>
      <sheetName val="공종별집계표"/>
      <sheetName val="부산4"/>
      <sheetName val="계약표지"/>
      <sheetName val="내역서-전체낙찰율"/>
      <sheetName val="개봉3동하수관"/>
      <sheetName val="일위대가-1"/>
      <sheetName val="장비부하"/>
      <sheetName val="조도계산(가로등NEW)"/>
      <sheetName val="내역5"/>
      <sheetName val="역간(덕_동)"/>
      <sheetName val="역간(의-덕)"/>
      <sheetName val="골조"/>
      <sheetName val="단가대비표(SYS)"/>
      <sheetName val="제조노임"/>
      <sheetName val="변품8-37"/>
      <sheetName val="참조(2)"/>
      <sheetName val="현장일보"/>
      <sheetName val="보집계표"/>
      <sheetName val="월말"/>
      <sheetName val="원본(갑지)"/>
      <sheetName val="ISBL-CIV"/>
      <sheetName val="단가대비"/>
      <sheetName val="99 조정금액"/>
      <sheetName val="전류"/>
      <sheetName val="포장절단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I_설계조건"/>
      <sheetName val="설산1_나"/>
      <sheetName val="sum1_(2)"/>
      <sheetName val="원가계산서_(총괄)"/>
      <sheetName val="원가계산서_(건축)"/>
      <sheetName val="Site_Expenses"/>
      <sheetName val="제원_설계조건"/>
      <sheetName val="노원열병합__건축공사기성내역서"/>
      <sheetName val="플랜트_설치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단면_(2)"/>
      <sheetName val="3-1_CB"/>
      <sheetName val="90_03실행_"/>
      <sheetName val="3_공통공사대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CABLE_SIZE-3"/>
      <sheetName val="일위대가_집계표"/>
      <sheetName val="ITB_COST"/>
      <sheetName val="노무비_근거"/>
      <sheetName val="design_criteria"/>
      <sheetName val="plan&amp;section_of_foundation"/>
      <sheetName val="단가표_"/>
      <sheetName val="공사비_내역_(가)"/>
      <sheetName val="임시급식_(2)"/>
      <sheetName val="unit_4"/>
      <sheetName val="Summary_Sheets"/>
      <sheetName val="5_정산서"/>
      <sheetName val="마산방향철근집계"/>
      <sheetName val="맨홀물량"/>
      <sheetName val="추가예산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암거"/>
      <sheetName val="정보"/>
      <sheetName val="간접경상비"/>
      <sheetName val="현대물량"/>
      <sheetName val="한화 둔산 내역서"/>
      <sheetName val="적격점수&lt;300억미만&gt;"/>
      <sheetName val="간이영수증"/>
      <sheetName val="Ⅴ-2.공종별내역"/>
      <sheetName val="가로등제어반 설치공사(수량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미드수량"/>
      <sheetName val="pbs_lambda"/>
      <sheetName val="Matériel embarqué PVC"/>
      <sheetName val="내역(정지)"/>
      <sheetName val="기지국"/>
      <sheetName val="약전닥트"/>
      <sheetName val="건축부하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내역서 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대비표"/>
      <sheetName val="총괄집桶青"/>
      <sheetName val="01상노임"/>
      <sheetName val="Instruction"/>
      <sheetName val="22단가(철完9"/>
      <sheetName val="지질조사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인공산출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단가견적조사표"/>
      <sheetName val="안정검토(온1)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투찰가"/>
      <sheetName val="구조대가"/>
      <sheetName val="포설대가1"/>
      <sheetName val="부대대가"/>
      <sheetName val="철근총괄집계표"/>
      <sheetName val="홈통받이수량"/>
      <sheetName val="공통가설공사"/>
      <sheetName val="공사수행방안"/>
      <sheetName val=" 토목 처리장도급내역서 "/>
      <sheetName val="Data2"/>
      <sheetName val="공사착공계"/>
      <sheetName val="참조 DATA"/>
      <sheetName val="spec"/>
      <sheetName val="program"/>
      <sheetName val="studbolt no."/>
      <sheetName val="studbolt size"/>
      <sheetName val="item sort no"/>
      <sheetName val="정보매체A동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적요"/>
      <sheetName val="조정내역"/>
      <sheetName val="조정_x0014__x0008_"/>
      <sheetName val="_x0000__x0008__x0000__x0008__x0000__x0006__x0000__x0004_"/>
      <sheetName val="상가지급현황"/>
      <sheetName val="D-3109"/>
      <sheetName val="부하"/>
      <sheetName val="도체종-상수표"/>
      <sheetName val="SRC-B3U2"/>
      <sheetName val="초기화면1"/>
      <sheetName val="13LPMCC"/>
      <sheetName val="sub"/>
      <sheetName val="마장"/>
      <sheetName val="3_바닥판설계1"/>
      <sheetName val="Piping_Design_Data"/>
      <sheetName val="H_PILE수량"/>
      <sheetName val="BSD_(2)"/>
      <sheetName val="7_1유효폭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40총괄"/>
      <sheetName val="40집계"/>
      <sheetName val="결재판"/>
      <sheetName val="사다리"/>
      <sheetName val="변경총괄지(1)"/>
      <sheetName val="기계경비(旉る_x0000__x0000_"/>
      <sheetName val="기계경비(贘_x0013_짘ࣅ"/>
      <sheetName val="파형강관집계"/>
      <sheetName val="성곽내역서"/>
      <sheetName val="MANUFACTORY"/>
      <sheetName val="16-1"/>
      <sheetName val="장비당단가 (1)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master(total)"/>
      <sheetName val="99년신청"/>
      <sheetName val="대가목록"/>
      <sheetName val="아수배전(1회)"/>
      <sheetName val="인건비_조사"/>
      <sheetName val="일위1"/>
      <sheetName val="공사설계서"/>
      <sheetName val="OZ049E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사통"/>
      <sheetName val="현장지䀀ኀ㠀ኃ"/>
      <sheetName val="건축원가"/>
      <sheetName val="집계(세부총괄)"/>
      <sheetName val="2000년하반기"/>
      <sheetName val="물가변동잔여물량세부내역서"/>
      <sheetName val="신규(방류시설)"/>
      <sheetName val="덤프트럭계수"/>
      <sheetName val="카메라"/>
      <sheetName val="미지급내역"/>
      <sheetName val="집계표(육상)"/>
      <sheetName val="102역사"/>
      <sheetName val="1.취수장"/>
      <sheetName val="상-교대(A1-A2)"/>
      <sheetName val="첨부1"/>
      <sheetName val="재료표"/>
      <sheetName val="금액결揄"/>
      <sheetName val="공사비 내역"/>
      <sheetName val="매입내역 "/>
      <sheetName val="거래처별지출내역"/>
      <sheetName val="2000_x0005__x0000__x0000_"/>
      <sheetName val="㩷"/>
      <sheetName val="렀ⵘ"/>
      <sheetName val="֭_x0000_"/>
      <sheetName val="Param"/>
      <sheetName val="입찰보Ⳡ"/>
      <sheetName val="자재표"/>
      <sheetName val="총(철거)"/>
      <sheetName val="RangeObject"/>
      <sheetName val="분뇨"/>
      <sheetName val="등록자료"/>
      <sheetName val="입력정보"/>
      <sheetName val="H-pile(250x250)"/>
      <sheetName val="H-pile(298x299)"/>
      <sheetName val="쌍송교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용수간선"/>
      <sheetName val="노무비(첨부4-4)"/>
      <sheetName val="일반부표"/>
      <sheetName val="왕십리방향"/>
      <sheetName val="TYPE1"/>
      <sheetName val="철근량"/>
      <sheetName val="자금청구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gvl"/>
      <sheetName val="전부인쇄"/>
      <sheetName val="1.외주공사"/>
      <sheetName val="2.직영공사"/>
      <sheetName val="첨부"/>
      <sheetName val="계산DATA입력"/>
      <sheetName val="계좌번호"/>
      <sheetName val="품종별월계"/>
      <sheetName val="청하배수"/>
      <sheetName val="다곡2교"/>
      <sheetName val="정화조"/>
      <sheetName val="원가집계"/>
      <sheetName val="견적시담(송포2공구)"/>
      <sheetName val="교량전기"/>
      <sheetName val="금융비용"/>
      <sheetName val="파이프류"/>
      <sheetName val="점검내역서(data) (2)"/>
      <sheetName val="2.주요계수총괄"/>
      <sheetName val="하부철근수량"/>
      <sheetName val="입찰사유서 제4공종 (흙깎기)"/>
      <sheetName val="D16"/>
      <sheetName val="D25"/>
      <sheetName val="D22"/>
      <sheetName val="자판실행"/>
      <sheetName val="단위세대물량"/>
      <sheetName val="낙찰표"/>
      <sheetName val="변경품셈"/>
      <sheetName val="WIND-EQ"/>
      <sheetName val="OCT.FDN"/>
      <sheetName val="기성내역서"/>
      <sheetName val="PAD TR보호대기초"/>
      <sheetName val="가로등기초"/>
      <sheetName val="HANDHOLE(2)"/>
      <sheetName val="N頀ᚃ"/>
      <sheetName val="N"/>
      <sheetName val="AHU집계"/>
      <sheetName val="공조기휀"/>
      <sheetName val="계양가시설"/>
      <sheetName val="삼성전기"/>
      <sheetName val="B부대공"/>
      <sheetName val="분양가격표"/>
      <sheetName val="일목"/>
      <sheetName val="기준표"/>
      <sheetName val="보호공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전체내ﰀ⁗"/>
      <sheetName val="제수변䊱ᅪ"/>
      <sheetName val="A(Rev.3)"/>
      <sheetName val="부총"/>
      <sheetName val="재료단가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횡배위치"/>
      <sheetName val="계산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공정코드"/>
      <sheetName val="평균터파기고(1-2,ASP)"/>
      <sheetName val="남양주부대"/>
      <sheetName val="단위목헾"/>
      <sheetName val="산출내역(K2)"/>
      <sheetName val="전체제잡비"/>
      <sheetName val="지입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안양동교 1안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지구단위계획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Sheet16 (2)"/>
      <sheetName val="시초1교"/>
      <sheetName val="대구-교대(A1)"/>
      <sheetName val="C.배수관공"/>
      <sheetName val="ꀀ"/>
      <sheetName val="목표세부명세"/>
      <sheetName val="본사공가현황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0.갑지"/>
      <sheetName val="구의33고"/>
      <sheetName val="건축공사 집계표"/>
      <sheetName val="토공대가"/>
      <sheetName val="B.O.M"/>
      <sheetName val="화전내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견적정보"/>
      <sheetName val="5.동별횡주관경"/>
      <sheetName val="154TW"/>
      <sheetName val="수주실적0709"/>
      <sheetName val="제4절-1"/>
      <sheetName val="PANEL"/>
      <sheetName val="표 지"/>
      <sheetName val="일위(시설)"/>
      <sheetName val="조건입력"/>
      <sheetName val="조건입력(2)"/>
      <sheetName val="장비선정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치수표"/>
      <sheetName val="허용전류-IEC DATA"/>
      <sheetName val="TYPE-U800"/>
      <sheetName val="배관내역"/>
      <sheetName val="POWER"/>
      <sheetName val="교대일반수량"/>
      <sheetName val="WO"/>
      <sheetName val="비용"/>
      <sheetName val="기둥"/>
      <sheetName val="저판(버림100)"/>
      <sheetName val="2.내역서"/>
      <sheetName val="적용환율"/>
      <sheetName val="대상공사(조달청)"/>
      <sheetName val="CRUDE RE-bar"/>
      <sheetName val="BID9697"/>
      <sheetName val="DS-최종"/>
      <sheetName val="PREFACE"/>
      <sheetName val="DATA-1"/>
      <sheetName val="간접총괄"/>
      <sheetName val="960318-1"/>
      <sheetName val="2006기계䈌ᅪ԰_x0000_缀"/>
      <sheetName val="배수관공"/>
      <sheetName val="기타공"/>
      <sheetName val="재원표"/>
      <sheetName val="FCU (2)"/>
      <sheetName val="장비분석"/>
      <sheetName val="석재장조사"/>
      <sheetName val="파일의이용"/>
      <sheetName val="유동표"/>
      <sheetName val="기성청구현황"/>
      <sheetName val="집"/>
      <sheetName val="JUCK֕_x0000_缀"/>
      <sheetName val="내역_FILE"/>
      <sheetName val="0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인수공규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nomi "/>
      <sheetName val="공정표(전체)"/>
      <sheetName val="무전표"/>
      <sheetName val="NOTE ALL"/>
      <sheetName val="VXXXXXXX"/>
      <sheetName val="내역서(당초변경)"/>
      <sheetName val="2.조명기구철거(일괄철거분)"/>
      <sheetName val="대운반(철재)"/>
      <sheetName val="시점교대"/>
      <sheetName val="설계수량"/>
      <sheetName val="3.2.1 마루높이결정"/>
      <sheetName val="hvac(제어동)"/>
      <sheetName val="제품橂"/>
      <sheetName val="피스표"/>
      <sheetName val="산업개발안내서"/>
      <sheetName val="ATM기초철가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직원자료입력"/>
      <sheetName val="1,2,3,4,5단위수량"/>
      <sheetName val="배관단가조사서"/>
      <sheetName val="조견표"/>
      <sheetName val="관헾"/>
      <sheetName val="원가(1︀"/>
      <sheetName val="원가(1䠀"/>
      <sheetName val="관聈"/>
      <sheetName val="관_x0005_"/>
      <sheetName val="제수午_x0013_ὐ"/>
      <sheetName val="암거단위-1련"/>
      <sheetName val="수안보-墰5壼5"/>
      <sheetName val="5.3 단면가정"/>
      <sheetName val="시추주상도"/>
      <sheetName val="케이블트레이"/>
      <sheetName val="일위집계(기존)"/>
      <sheetName val="북제주-표지"/>
      <sheetName val="COVERSHEET"/>
      <sheetName val="[YES.XLS][YES.XLS]4/_x0000_䠀"/>
      <sheetName val="[YES.XLS][YES.XLS]4쌇栅/"/>
      <sheetName val="뚝토공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당진1,2호기전선관설치및접지4차공사내역서-을지"/>
      <sheetName val="일위대가표(무)"/>
      <sheetName val="일위대가산출기초"/>
      <sheetName val="법면"/>
      <sheetName val="장비명"/>
      <sheetName val="cable-data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평균환율-USD"/>
      <sheetName val="인원동원계획"/>
      <sheetName val="BIDDING-SUM"/>
      <sheetName val="입︀"/>
      <sheetName val="품목납기"/>
      <sheetName val="시화점실행"/>
      <sheetName val=" 소방공사 산출근거"/>
      <sheetName val="YES.XLS"/>
      <sheetName val="2000.05"/>
      <sheetName val="물량증감"/>
      <sheetName val="9902"/>
      <sheetName val="환율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card1"/>
      <sheetName val="흙쌓기도수로설치현황(1)"/>
      <sheetName val="식재-외주 (2)"/>
      <sheetName val="유효폭의 계산"/>
      <sheetName val="archi(본사)"/>
      <sheetName val="※참고자료※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단가 (2)"/>
      <sheetName val="작용하중산정"/>
      <sheetName val="6차2회변경내역서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측구터파기공수량집계"/>
      <sheetName val="부대집계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Macro(부하)"/>
      <sheetName val="밀양노선별공사비명세서"/>
      <sheetName val="일위산출근거"/>
      <sheetName val="AIR_SHOWER(3인용)"/>
      <sheetName val="적격심사표"/>
      <sheetName val="선로정수계산"/>
      <sheetName val="실내건축일위대가"/>
      <sheetName val="산출근거1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EJ"/>
      <sheetName val="지입자재"/>
      <sheetName val="배전반용량계산"/>
      <sheetName val="세정탑 설계"/>
      <sheetName val="건축-물가변동"/>
      <sheetName val="기계설비-물가변동"/>
      <sheetName val="[YES.XLS][YES.XLS][YES.XLS]4/_x0000_䠀"/>
      <sheetName val="[YES.XLS][YES.XLS][YES.XLS]4쌇栅/"/>
      <sheetName val="품셈총괄표"/>
      <sheetName val="일반수량총괄집계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옥조"/>
      <sheetName val="기계경비산출"/>
      <sheetName val="전력구구조물산근2구간"/>
      <sheetName val="1_x0005_"/>
      <sheetName val="도면자료제출일정"/>
      <sheetName val="시공계_x0005_"/>
      <sheetName val="변경비_x0005__x0000_"/>
      <sheetName val="교대시점"/>
      <sheetName val="FB25JN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내역서1"/>
      <sheetName val="지중자재단가"/>
      <sheetName val="#3_일위대가목록"/>
      <sheetName val="#2_일위대가목록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±âÀÚÀç´ëºñÇ¥"/>
      <sheetName val="¿¬°áÀÓ½Ã"/>
      <sheetName val="°ü±Þ"/>
      <sheetName val="일위대가 (PM)"/>
      <sheetName val="임시전기공사설계서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36+45-113-18+19+20I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조명율"/>
      <sheetName val="상반기손익차2총괄"/>
      <sheetName val="DRAIN DRUM PIT D-301"/>
      <sheetName val="목록1"/>
      <sheetName val="목록2"/>
      <sheetName val="구조물공집계"/>
      <sheetName val="요약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토공총괄표"/>
      <sheetName val="1.3.1절점좌표"/>
      <sheetName val="1.1설계기준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투찰금액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5. 차단기 용량계산"/>
      <sheetName val="배수내역 (2)"/>
      <sheetName val="가공사"/>
      <sheetName val="6.2.1 지하차도 조도계산"/>
      <sheetName val="8공구 강재 수량"/>
      <sheetName val="EVALUATE물량산출서"/>
      <sheetName val="스라브"/>
      <sheetName val="Stem Footing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(14)전기품셈정산"/>
      <sheetName val="(12)전기경비"/>
      <sheetName val="8. _x0005__x0000__x0000_"/>
      <sheetName val="바이오"/>
      <sheetName val="잡철물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05 BOX"/>
      <sheetName val="02 SLAB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내역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개별직종노임단가(2005.1)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예가표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A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교량명원본"/>
      <sheetName val="BOX제원원본"/>
      <sheetName val="국도접속 차도부수량"/>
      <sheetName val="기က_x0000_退"/>
      <sheetName val="배수내역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목창호"/>
      <sheetName val="포장공총괄수량집계표"/>
      <sheetName val="5.2코핑"/>
      <sheetName val="전체내԰_x0000_"/>
      <sheetName val="토공총괄집계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공종별수량집계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토목변경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화산경계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SILICATE"/>
      <sheetName val="간접비내역-1"/>
      <sheetName val="검색"/>
      <sheetName val="내역갑지"/>
      <sheetName val="INSTR"/>
      <sheetName val="수지표"/>
      <sheetName val="셀명"/>
      <sheetName val="공통단가"/>
      <sheetName val="선수금"/>
      <sheetName val="도근좌표"/>
      <sheetName val="1.동력공사"/>
      <sheetName val="청주-교대(A1)"/>
      <sheetName val="수량산출서 갑지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전체-원가분리내역"/>
      <sheetName val="계화배수(3대)"/>
      <sheetName val="유리"/>
      <sheetName val="익산"/>
      <sheetName val="가격표"/>
      <sheetName val="건축외주"/>
      <sheetName val="Sheet1(X)"/>
      <sheetName val="인원조직표"/>
      <sheetName val="냉천부속동"/>
      <sheetName val="원가계산서 "/>
      <sheetName val="국별인원"/>
      <sheetName val="산출기초"/>
      <sheetName val="순환펌프"/>
      <sheetName val="저수조"/>
      <sheetName val="급,배기팬"/>
      <sheetName val="급탕순환펌프"/>
      <sheetName val="DATA(광속)"/>
      <sheetName val="REACTION芨.헾⿁_x0005__x0000_"/>
      <sheetName val="REACTION鴘E鵜E헾⼼_x0005_"/>
      <sheetName val="7단가"/>
      <sheetName val="정산내역"/>
      <sheetName val="횡배수관집현황(2공구)"/>
      <sheetName val="변경ᛅ⾒_x0005_"/>
      <sheetName val="공사직종별노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관리비"/>
      <sheetName val="집수정단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돈암사업"/>
      <sheetName val="단면A-A(TR)"/>
      <sheetName val="도시가스현황"/>
      <sheetName val="2차공사"/>
      <sheetName val="Imp-Data"/>
      <sheetName val="내역서 (1차)"/>
      <sheetName val="J형측구단위수량"/>
      <sheetName val="¿¹Á¤(3က"/>
      <sheetName val="SAMPLE"/>
      <sheetName val="inter"/>
      <sheetName val="건축공정"/>
      <sheetName val="방진공정"/>
      <sheetName val="조경공정"/>
      <sheetName val="단위수량산출"/>
      <sheetName val="전자"/>
      <sheetName val="환산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직급별"/>
      <sheetName val="S1099기장선행WOP"/>
      <sheetName val="LD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96보완계획7_12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working_load_at_the_btm_ft_"/>
      <sheetName val="stability_check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추천서"/>
      <sheetName val="설계변경내역"/>
      <sheetName val="빙장비사양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7.3.1 전력간선 굵기"/>
      <sheetName val="견적대비 견적서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심사공종"/>
      <sheetName val="상행-교대(A1-A2)"/>
      <sheetName val="combi(wall)"/>
      <sheetName val="제잡비(주공종)"/>
      <sheetName val="(3.품질관리 시험 총괄표)"/>
      <sheetName val="합계"/>
      <sheetName val="유첨헾】"/>
      <sheetName val="Picture"/>
      <sheetName val="철탑공사"/>
      <sheetName val="가설경비"/>
      <sheetName val="시점부교대"/>
      <sheetName val="표지판현황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외천교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PANEL 내역"/>
      <sheetName val="CPM챠트"/>
      <sheetName val="ALINE"/>
      <sheetName val="횡배수관설치현황"/>
      <sheetName val="96월별PL"/>
      <sheetName val="양식(직판용)"/>
      <sheetName val="항목등록"/>
      <sheetName val="입상내역"/>
      <sheetName val="본사업"/>
      <sheetName val="수장"/>
      <sheetName val="1호맨홀가감수량"/>
      <sheetName val="1-1평균터파기고(1)"/>
      <sheetName val="단가표(전산)"/>
      <sheetName val="2219-SPOOL BOM"/>
      <sheetName val="설명서"/>
      <sheetName val="3.2주형지지보"/>
      <sheetName val="x주형보 설계(3차로)"/>
      <sheetName val="부대tu"/>
      <sheetName val="우수공,맨홀,집수정"/>
      <sheetName val="은평작업지시대장"/>
      <sheetName val="옥외배관기본공량"/>
      <sheetName val="선우통상(을)"/>
      <sheetName val="견적서-골조공사"/>
      <sheetName val="적정심사"/>
      <sheetName val="건축2"/>
      <sheetName val="3-4호기 내역서"/>
      <sheetName val="인원계획-미화"/>
      <sheetName val="평형공사비"/>
      <sheetName val="토공검토G"/>
      <sheetName val="미지급금"/>
      <sheetName val="지하"/>
      <sheetName val="도"/>
      <sheetName val="CABdata"/>
      <sheetName val="기별수량산출서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W-현원가"/>
      <sheetName val="부대토목"/>
      <sheetName val="토목공종세부"/>
      <sheetName val="견적회신"/>
      <sheetName val="1. 가로등 설비 공사(산출)"/>
      <sheetName val="FAB4생산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N炬≹"/>
      <sheetName val="각종양식"/>
      <sheetName val="재료할증"/>
      <sheetName val="수량BOQ"/>
      <sheetName val="관세,통관수수료,운반비"/>
      <sheetName val="KS-301_WBS"/>
      <sheetName val="MixBed"/>
      <sheetName val="CondPol"/>
      <sheetName val="︀盕"/>
      <sheetName val="ᓈባ"/>
      <sheetName val="壈▞"/>
      <sheetName val="대창(장ԯ_x0000_"/>
      <sheetName val="전기일ꙭÀ_x0000_"/>
      <sheetName val="투찰(하수)"/>
      <sheetName val="암거 제원표-1단계"/>
      <sheetName val="전체내蠀ᒗ"/>
      <sheetName val="전체내︀盕"/>
      <sheetName val="일위대가(계측︩盕ԯ_x0000_"/>
      <sheetName val="전체내壈▞"/>
      <sheetName val="1호철근량"/>
      <sheetName val="산출서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총괄BOQ"/>
      <sheetName val="평균물량산출서"/>
      <sheetName val="합의서"/>
      <sheetName val="좌측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sheet"/>
      <sheetName val="b_gunmul"/>
      <sheetName val="b_balju (2)"/>
      <sheetName val="갑(전기)"/>
      <sheetName val="갑(계장)"/>
      <sheetName val="B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목공사품의서"/>
      <sheetName val="B1(반포1차)"/>
      <sheetName val="esc(건축)"/>
      <sheetName val="옥룡잡비"/>
      <sheetName val="일위대가집계표"/>
      <sheetName val="공예을"/>
      <sheetName val="골재및자재집계표"/>
      <sheetName val="배수통관(좌)"/>
      <sheetName val="현장유지관리비"/>
      <sheetName val="A-8 PD(도로중앙)"/>
      <sheetName val="수안보-纈!헾『"/>
      <sheetName val="수안보-丵〒_x0005__x0000_"/>
      <sheetName val="수안보-橂】_x0005__x0000_"/>
      <sheetName val="철집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가압장(토목)"/>
      <sheetName val="전선관"/>
      <sheetName val="5.정산ﵠ"/>
      <sheetName val="실행내역 "/>
      <sheetName val="참조 (2)"/>
      <sheetName val="교량data"/>
      <sheetName val="파일구성"/>
      <sheetName val="분전반"/>
      <sheetName val="database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안전시설"/>
      <sheetName val="20-25"/>
      <sheetName val="설치자재"/>
      <sheetName val="단중"/>
      <sheetName val="몰탈쐀/_x0000_"/>
      <sheetName val="실행ࠏE"/>
      <sheetName val="실행ဏ_x0000_"/>
      <sheetName val="시멘트,모래"/>
      <sheetName val="ASP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재료값"/>
      <sheetName val="보차도경계석수량"/>
      <sheetName val="48일위(기존)"/>
      <sheetName val="옥외외등집계표"/>
      <sheetName val="광통신 견적내역서1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제조부문배부"/>
      <sheetName val="XREF"/>
      <sheetName val="반포2차"/>
      <sheetName val="시공업체명부"/>
      <sheetName val="Direct (공사비대비)"/>
      <sheetName val=" 내역"/>
      <sheetName val="제출"/>
      <sheetName val="공사비예비관리공감측설산출내역"/>
      <sheetName val="TCDB"/>
      <sheetName val="1À"/>
      <sheetName val="1 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심사물량"/>
      <sheetName val="기타"/>
      <sheetName val="BID FORM"/>
      <sheetName val="Form of Bid"/>
      <sheetName val="이관문서목록표"/>
      <sheetName val="국내"/>
      <sheetName val="구천"/>
      <sheetName val="member design"/>
      <sheetName val="soil bearing check"/>
      <sheetName val="산출근거#2-3"/>
      <sheetName val="도급,하도급 예정금액"/>
      <sheetName val="산출(전기)"/>
      <sheetName val="DWG-CAB-I"/>
      <sheetName val="1공구내역서(1)"/>
      <sheetName val="설계서을"/>
      <sheetName val="공감비"/>
      <sheetName val="PROJECT BRIEF(EX.NEW)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토지조서"/>
      <sheetName val="부재별산출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 refreshError="1"/>
      <sheetData sheetId="1403" refreshError="1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/>
      <sheetData sheetId="266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/>
      <sheetData sheetId="3983"/>
      <sheetData sheetId="3984"/>
      <sheetData sheetId="3985" refreshError="1"/>
      <sheetData sheetId="3986" refreshError="1"/>
      <sheetData sheetId="3987" refreshError="1"/>
      <sheetData sheetId="3988"/>
      <sheetData sheetId="3989"/>
      <sheetData sheetId="3990"/>
      <sheetData sheetId="3991"/>
      <sheetData sheetId="3992" refreshError="1"/>
      <sheetData sheetId="3993" refreshError="1"/>
      <sheetData sheetId="3994" refreshError="1"/>
      <sheetData sheetId="3995" refreshError="1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/>
      <sheetData sheetId="4753"/>
      <sheetData sheetId="4754" refreshError="1"/>
      <sheetData sheetId="4755" refreshError="1"/>
      <sheetData sheetId="4756" refreshError="1"/>
      <sheetData sheetId="4757"/>
      <sheetData sheetId="4758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/>
      <sheetData sheetId="4774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CTEMCOST"/>
      <sheetName val="laroux"/>
      <sheetName val="ELECTRIC"/>
      <sheetName val="총괄내역서"/>
      <sheetName val="금액"/>
      <sheetName val="공정표"/>
      <sheetName val="4-10"/>
      <sheetName val="실행간접비용"/>
      <sheetName val="DATE"/>
      <sheetName val="변수값"/>
      <sheetName val="6호기"/>
      <sheetName val="도급기성"/>
      <sheetName val="목차"/>
      <sheetName val="평가데이터"/>
      <sheetName val="1-최종안"/>
      <sheetName val="사업분석-분양가결정"/>
      <sheetName val="현황"/>
      <sheetName val="을지"/>
      <sheetName val="nys"/>
      <sheetName val="공통"/>
      <sheetName val="실행철강하도"/>
      <sheetName val="인사자료총집계"/>
      <sheetName val="대갑기성내역"/>
      <sheetName val="중기상차"/>
      <sheetName val="AS복구"/>
      <sheetName val="중기터파기"/>
      <sheetName val="Sheet1"/>
      <sheetName val="Sheet1 (2)"/>
      <sheetName val="진주방향"/>
      <sheetName val="빌딩 안내"/>
      <sheetName val="CC16-내역서"/>
      <sheetName val="건축내역서"/>
      <sheetName val="설비내역서"/>
      <sheetName val="전기내역서"/>
      <sheetName val="집계표"/>
      <sheetName val="우수"/>
      <sheetName val="개산공사비"/>
      <sheetName val="현장관리비 산출내역"/>
      <sheetName val="조명시설"/>
      <sheetName val="11-2.아파트내역"/>
      <sheetName val="골재집계"/>
      <sheetName val="-레미콘집계"/>
      <sheetName val="-몰탈콘크리트"/>
      <sheetName val="설계가"/>
      <sheetName val="#REF"/>
      <sheetName val="실행대비"/>
      <sheetName val="실행"/>
      <sheetName val="한강운반비"/>
      <sheetName val="데이타"/>
      <sheetName val="식재인부"/>
      <sheetName val="아파트 내역"/>
      <sheetName val="견적"/>
      <sheetName val="단위수량"/>
      <sheetName val="정보"/>
      <sheetName val="내역서"/>
      <sheetName val="Total"/>
      <sheetName val="중기조종사 단위단가"/>
      <sheetName val="단가"/>
      <sheetName val="투자비"/>
      <sheetName val="조성원가DATA"/>
      <sheetName val="사업비"/>
      <sheetName val="용역비내역-진짜"/>
      <sheetName val="일위대가 "/>
      <sheetName val="건축내역"/>
      <sheetName val="관접합및부설"/>
      <sheetName val="증감내역서"/>
      <sheetName val="DATA"/>
      <sheetName val="접합 및 부설 "/>
      <sheetName val="토사(PE)"/>
      <sheetName val="CON'C"/>
      <sheetName val="일위목록"/>
      <sheetName val="견적서"/>
      <sheetName val="자판실행"/>
      <sheetName val="공사"/>
      <sheetName val="내역서1999.8최종"/>
      <sheetName val="구조물5월기성내역"/>
      <sheetName val="b_balju"/>
      <sheetName val="토목공사"/>
      <sheetName val="단가및재료비"/>
      <sheetName val="중기단가"/>
      <sheetName val="중기사용료"/>
      <sheetName val="Bulk"/>
      <sheetName val="갑지(추정)"/>
      <sheetName val="2003상반기노임기준"/>
      <sheetName val="Sheet1_(2)"/>
      <sheetName val="빌딩_안내"/>
      <sheetName val="현장관리비_산출내역"/>
      <sheetName val="일위대가표"/>
      <sheetName val="COST"/>
      <sheetName val="계정"/>
      <sheetName val="프랜트면허"/>
      <sheetName val="현황표-원래"/>
      <sheetName val="지급(진행중)"/>
      <sheetName val="월별수입"/>
      <sheetName val="전기"/>
      <sheetName val="계획금액"/>
      <sheetName val="노임DB"/>
      <sheetName val="기안"/>
      <sheetName val="연동내역"/>
      <sheetName val="1을"/>
      <sheetName val="기초단가"/>
      <sheetName val="21301동"/>
      <sheetName val="전차선로 물량표"/>
      <sheetName val="기초입력 DATA"/>
      <sheetName val="버스운행안내"/>
      <sheetName val="예방접종계획"/>
      <sheetName val="근태계획서"/>
      <sheetName val="참고사항"/>
      <sheetName val="근로자자료입력"/>
      <sheetName val="자재"/>
      <sheetName val="AS포장복구 "/>
      <sheetName val="평당공사비산정"/>
      <sheetName val="하중"/>
      <sheetName val="일위대가"/>
      <sheetName val="환경기계공정표 (3)"/>
      <sheetName val="노임"/>
      <sheetName val="정공공사"/>
      <sheetName val="자갈,시멘트,모래산출"/>
      <sheetName val="-철근집계"/>
      <sheetName val="포장재료(1)"/>
      <sheetName val="-흄관집계"/>
      <sheetName val="차액보증"/>
      <sheetName val="비계공사"/>
      <sheetName val="시장성초안camera"/>
      <sheetName val="원가"/>
      <sheetName val="교통대책내역"/>
      <sheetName val="D.건축"/>
      <sheetName val="전체내역 (2)"/>
      <sheetName val="수량산출"/>
      <sheetName val="Macro1"/>
      <sheetName val="총괄표"/>
      <sheetName val="노임단가"/>
      <sheetName val="식재가격"/>
      <sheetName val="중기사용료산출근거"/>
      <sheetName val="단가산출2"/>
      <sheetName val="단가 및 재료비"/>
      <sheetName val="요율"/>
      <sheetName val="직접경비"/>
      <sheetName val="직접인건비"/>
      <sheetName val="토공"/>
      <sheetName val="Sheet1_(2)1"/>
      <sheetName val="빌딩_안내1"/>
      <sheetName val="현장관리비_산출내역1"/>
      <sheetName val="접합_및_부설_"/>
      <sheetName val="중기조종사_단위단가"/>
      <sheetName val="내역서1999_8최종"/>
      <sheetName val="11-2_아파트내역"/>
      <sheetName val="아파트_내역"/>
      <sheetName val="일위대가_"/>
      <sheetName val="전차선로_물량표"/>
      <sheetName val="기초입력_DATA"/>
      <sheetName val="AS포장복구_"/>
      <sheetName val="울산시산표"/>
      <sheetName val="단위단가"/>
      <sheetName val="5사남"/>
      <sheetName val="일위대가목차"/>
      <sheetName val="토목주소"/>
      <sheetName val="노무"/>
      <sheetName val="데이터"/>
      <sheetName val="갑지"/>
      <sheetName val="단가_및_재료비"/>
      <sheetName val="환경기계공정표_(3)"/>
      <sheetName val="D_건축"/>
      <sheetName val="전체내역_(2)"/>
      <sheetName val="FAB별"/>
      <sheetName val="쌍송교"/>
      <sheetName val="설계예산서"/>
      <sheetName val="예산내역서"/>
      <sheetName val="계산서(곡선부)"/>
      <sheetName val="포장재료집계표"/>
      <sheetName val="원가data"/>
      <sheetName val="BOJUNGGM"/>
      <sheetName val="경영"/>
      <sheetName val="98년"/>
      <sheetName val="실적"/>
      <sheetName val="고유코드_설계"/>
      <sheetName val="원가계산하도"/>
      <sheetName val="관경별내역서"/>
      <sheetName val="내역"/>
      <sheetName val="날개벽수량표"/>
      <sheetName val="설계내역서"/>
      <sheetName val="총괄"/>
      <sheetName val="내부물량"/>
      <sheetName val="시멘트벽돌0.5B"/>
      <sheetName val="조적물량"/>
      <sheetName val="창호물량"/>
      <sheetName val="공사개요"/>
      <sheetName val="세금자료"/>
      <sheetName val="hvac(제어동)"/>
      <sheetName val="이름의 정의"/>
      <sheetName val="금융"/>
      <sheetName val="상호참고자료"/>
      <sheetName val="발주처자료입력"/>
      <sheetName val="회사기본자료"/>
      <sheetName val="하자보증자료"/>
      <sheetName val="기술자관련자료"/>
      <sheetName val="플랜트 설치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철거산출근거"/>
      <sheetName val="기본단가"/>
      <sheetName val="인건비 "/>
      <sheetName val="인건비(10)"/>
      <sheetName val="별도산출"/>
      <sheetName val="제경비율"/>
      <sheetName val="실행(ALT1)"/>
      <sheetName val="조건"/>
      <sheetName val="외주"/>
      <sheetName val="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원가"/>
      <sheetName val="조명시설"/>
      <sheetName val="경산"/>
      <sheetName val="철근량"/>
      <sheetName val="2000년1차"/>
      <sheetName val="구조물터파기수량집계"/>
      <sheetName val="측구터파기공수량집계"/>
      <sheetName val="배수공 시멘트 및 골재량 산출"/>
      <sheetName val="평가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단위수량"/>
      <sheetName val="자재 집계표"/>
      <sheetName val="주요자재집계표"/>
      <sheetName val="수량집계표"/>
      <sheetName val="수량산출"/>
      <sheetName val="맨홀공"/>
      <sheetName val="직노"/>
      <sheetName val="산출내역서집계표"/>
      <sheetName val="데이타"/>
      <sheetName val="식재인부"/>
      <sheetName val="유림골조"/>
      <sheetName val="터파기및재료"/>
      <sheetName val="이토변실(A3-LINE)"/>
      <sheetName val="C.배수관공"/>
      <sheetName val="마스터원본"/>
      <sheetName val="돈암사업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청"/>
      <sheetName val="시재"/>
      <sheetName val="총괄"/>
      <sheetName val="명세"/>
      <sheetName val="부채"/>
      <sheetName val="자산"/>
      <sheetName val="보조"/>
      <sheetName val="현황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식재인부"/>
      <sheetName val="은행"/>
      <sheetName val="남양시작동010313100%"/>
      <sheetName val="#2_일위대가목록"/>
      <sheetName val="개산공사비"/>
      <sheetName val="청구서"/>
      <sheetName val="지급자재"/>
      <sheetName val="guard(mac)"/>
      <sheetName val="노임이"/>
      <sheetName val="단가비교표"/>
      <sheetName val="입찰"/>
      <sheetName val="현경"/>
      <sheetName val="슬래브(PF)(하류)"/>
      <sheetName val="단가"/>
      <sheetName val="건축공사실행"/>
      <sheetName val="N賃率-職"/>
      <sheetName val="CTEMCOST"/>
      <sheetName val="투찰"/>
      <sheetName val="건축2"/>
      <sheetName val="포장물량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간접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개산공사비"/>
      <sheetName val="4.2유효폭의 계산"/>
      <sheetName val="일반부표"/>
      <sheetName val="공내역"/>
      <sheetName val="#REF"/>
      <sheetName val="투찰"/>
      <sheetName val="식재인부"/>
      <sheetName val="설계명세"/>
      <sheetName val="갑지(추정)"/>
      <sheetName val="사업추진일정"/>
      <sheetName val="토목착공이월"/>
      <sheetName val="터파기및재료"/>
      <sheetName val="4차원가계산서"/>
      <sheetName val="흙쌓기도수로설치현황"/>
      <sheetName val="토목공사"/>
      <sheetName val="E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마산월령동골조물량변경"/>
      <sheetName val="건축대비"/>
      <sheetName val="추가물량금액"/>
      <sheetName val="개략골조물량"/>
      <sheetName val="공사비내역(변경)"/>
      <sheetName val="시행대비증가요인 "/>
      <sheetName val="도곡E-1"/>
      <sheetName val="Sheet7"/>
      <sheetName val="품의서"/>
      <sheetName val="#REF"/>
      <sheetName val="Sheet4"/>
      <sheetName val="A"/>
      <sheetName val="코드"/>
      <sheetName val="Sheet3"/>
      <sheetName val="Sheet2"/>
      <sheetName val="2000년 공정표"/>
      <sheetName val="개산공사비"/>
      <sheetName val="인사자료총집계"/>
      <sheetName val="유림골조"/>
      <sheetName val="식재인부"/>
      <sheetName val="내역"/>
      <sheetName val="일반부표"/>
      <sheetName val="시중노임단가"/>
      <sheetName val="적심사표"/>
      <sheetName val="갑지"/>
      <sheetName val="공동"/>
      <sheetName val="단독"/>
      <sheetName val="부대시설"/>
      <sheetName val="Apt내역"/>
      <sheetName val="내역서"/>
      <sheetName val="대여현황"/>
      <sheetName val="cp1"/>
      <sheetName val="정보"/>
      <sheetName val="국내조달(통합-1)"/>
      <sheetName val="공사개요"/>
      <sheetName val="유첨3.적용기준"/>
      <sheetName val="공통비(전체)"/>
      <sheetName val="N賃率-職"/>
      <sheetName val="형틀공사"/>
      <sheetName val="아파트_9"/>
      <sheetName val="공통가설"/>
      <sheetName val="갑지(추정)"/>
      <sheetName val="안내"/>
      <sheetName val="신영극장"/>
      <sheetName val="투찰"/>
      <sheetName val="골조시행"/>
      <sheetName val="설계"/>
      <sheetName val="영업소실적"/>
      <sheetName val="자재(원원+원대)"/>
      <sheetName val="7.수지"/>
      <sheetName val="1,2,3,4,5단위수량"/>
      <sheetName val="현금"/>
      <sheetName val="토목공사"/>
      <sheetName val="단가표"/>
      <sheetName val="금액내역서"/>
      <sheetName val="입찰"/>
      <sheetName val="현경"/>
      <sheetName val="PI"/>
      <sheetName val="배수내역"/>
      <sheetName val="투찰가"/>
      <sheetName val="노무비"/>
      <sheetName val="산출내역서집계표"/>
      <sheetName val="수정시산표"/>
      <sheetName val="99년신청"/>
      <sheetName val="주관사업"/>
      <sheetName val="기본사항"/>
      <sheetName val="수리결과"/>
      <sheetName val="Total"/>
      <sheetName val="설계명세서"/>
      <sheetName val="토목"/>
      <sheetName val="변경내역"/>
      <sheetName val="내   역"/>
      <sheetName val="노임이"/>
      <sheetName val="직노"/>
      <sheetName val="Sheet6"/>
      <sheetName val="목포방향"/>
      <sheetName val="적상기초자료"/>
      <sheetName val="총물량"/>
      <sheetName val="총괄갑 "/>
      <sheetName val="차액보증"/>
      <sheetName val="일위대가표지"/>
      <sheetName val="수입"/>
      <sheetName val="98수문일위"/>
      <sheetName val="기계설비"/>
      <sheetName val="건축공사실행"/>
      <sheetName val="노임"/>
      <sheetName val="내역1"/>
      <sheetName val="Sheet5"/>
      <sheetName val="한진금융비"/>
      <sheetName val="실행내역"/>
      <sheetName val="간접"/>
      <sheetName val="본공사"/>
      <sheetName val="5.소재"/>
      <sheetName val="3.공통공사대비"/>
      <sheetName val="대비표(토공1안)"/>
      <sheetName val="변경서식"/>
      <sheetName val="Sheet1 (2)"/>
      <sheetName val="빗물받이(910-510-410)"/>
      <sheetName val="시행대비증가요인_"/>
      <sheetName val="유첨3_적용기준"/>
      <sheetName val="2000년_공정표"/>
      <sheetName val="7_수지"/>
      <sheetName val="내___역"/>
      <sheetName val="총괄갑_"/>
      <sheetName val="작업지시서-1호"/>
      <sheetName val="박상무"/>
      <sheetName val="곽병갑"/>
      <sheetName val="김석천"/>
      <sheetName val="오이균"/>
      <sheetName val="이명례"/>
      <sheetName val="공사비산출내역"/>
      <sheetName val="을지"/>
      <sheetName val="날개벽수량표"/>
      <sheetName val="교통대책내역"/>
      <sheetName val="환산"/>
      <sheetName val="자재+시공통보단가(85.35%)"/>
      <sheetName val="기초일위"/>
      <sheetName val="견적서-골조공사"/>
      <sheetName val="DATA"/>
      <sheetName val="원가계산 (2)"/>
      <sheetName val="4.2유효폭의 계산"/>
      <sheetName val="공비대비"/>
      <sheetName val="데이타"/>
      <sheetName val="시점교대"/>
      <sheetName val="CTEMCOST"/>
      <sheetName val="TIE-IN"/>
      <sheetName val="증감내역서"/>
      <sheetName val="시설물일위"/>
      <sheetName val="일위대가표"/>
      <sheetName val="견적공통"/>
      <sheetName val="추천서"/>
      <sheetName val="★도급내역"/>
      <sheetName val="기타공"/>
      <sheetName val="배수관공"/>
      <sheetName val="설비단가표"/>
      <sheetName val="분당임차변경"/>
      <sheetName val="Macro1"/>
      <sheetName val="일위대가"/>
      <sheetName val="Sheet1_(2)"/>
      <sheetName val="견적내역"/>
      <sheetName val="을-ATYPE"/>
      <sheetName val="대비"/>
      <sheetName val="단가"/>
      <sheetName val="소비자가"/>
      <sheetName val="유림총괄"/>
      <sheetName val="골조"/>
      <sheetName val="PILE"/>
      <sheetName val="공통비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fax"/>
      <sheetName val="협조문"/>
      <sheetName val="협조전"/>
      <sheetName val="속초교동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별표"/>
      <sheetName val="미장"/>
      <sheetName val="철골"/>
      <sheetName val="갑지_추정_"/>
      <sheetName val="원내역서3"/>
      <sheetName val="실행대비"/>
      <sheetName val="공통부대비"/>
      <sheetName val="손익차9월2"/>
      <sheetName val="내역(중앙)"/>
      <sheetName val="뒤차축소"/>
      <sheetName val="입력"/>
      <sheetName val="건축2"/>
      <sheetName val="대전-교대(A1-A2)"/>
      <sheetName val="견적서"/>
      <sheetName val="5월"/>
      <sheetName val="회사99"/>
      <sheetName val="97 사업추정(WEKI)"/>
      <sheetName val="하수급견적대비"/>
      <sheetName val="수원공사비"/>
      <sheetName val="자재대"/>
      <sheetName val="명단"/>
      <sheetName val="원형1호맨홀토공수량"/>
      <sheetName val="견적조건"/>
      <sheetName val="목차갑지"/>
      <sheetName val="실행내역서"/>
      <sheetName val="자재집계"/>
      <sheetName val="모래시멘트"/>
      <sheetName val="토공총괄"/>
      <sheetName val="토공총괄 (2)"/>
      <sheetName val="토적도로"/>
      <sheetName val="배수토공집계"/>
      <sheetName val="맨홀조서"/>
      <sheetName val="관 조서"/>
      <sheetName val="연결관조서"/>
      <sheetName val="연장조서"/>
      <sheetName val="배수공"/>
      <sheetName val="배수재료"/>
      <sheetName val="옹벽조서"/>
      <sheetName val="구조물공"/>
      <sheetName val="신축이음조서"/>
      <sheetName val="신축이음"/>
      <sheetName val="포장공"/>
      <sheetName val="부대공토공집계"/>
      <sheetName val="부대공"/>
      <sheetName val="산출근거"/>
      <sheetName val="폐기물 산출"/>
      <sheetName val="가로등설치"/>
      <sheetName val="집수정조서"/>
      <sheetName val="안전관리비"/>
      <sheetName val="매입세"/>
      <sheetName val="공사비증감"/>
      <sheetName val="공내역"/>
      <sheetName val="설계명세"/>
      <sheetName val="단가산출"/>
      <sheetName val="1월"/>
      <sheetName val="실행철강하도"/>
      <sheetName val="총집계표"/>
      <sheetName val="General Data"/>
      <sheetName val="실행내역서 "/>
      <sheetName val="6공구(당초)"/>
      <sheetName val="부대내역"/>
      <sheetName val="백호우계수"/>
      <sheetName val="가설개략"/>
      <sheetName val="간접비"/>
      <sheetName val="남양시작동010313100%"/>
      <sheetName val="은행"/>
      <sheetName val="DATE"/>
      <sheetName val="명세서"/>
      <sheetName val="명세"/>
      <sheetName val="2공구산출내역"/>
      <sheetName val="2단계"/>
      <sheetName val="기본단가표"/>
      <sheetName val="주소록"/>
      <sheetName val="단위단가"/>
      <sheetName val="종배수관"/>
      <sheetName val="첨"/>
      <sheetName val="시장성초안camera"/>
      <sheetName val="공조기"/>
      <sheetName val="단가비교표"/>
      <sheetName val="종현황"/>
      <sheetName val=""/>
      <sheetName val="대비표"/>
      <sheetName val="동별내역-3월5일"/>
      <sheetName val="유효폭의 계산"/>
      <sheetName val="회사정보"/>
      <sheetName val="변경내역을"/>
      <sheetName val="내역서적용수량"/>
      <sheetName val="다곡2교"/>
      <sheetName val="CT"/>
      <sheetName val="총괄"/>
      <sheetName val="유림콘도"/>
      <sheetName val="현장관리비데이타"/>
      <sheetName val="Sheet1"/>
      <sheetName val="마감사양"/>
      <sheetName val="0"/>
      <sheetName val="덕전리"/>
      <sheetName val="4-1. 매출원가 손익계획 집계표"/>
      <sheetName val="XREF"/>
      <sheetName val="목록"/>
      <sheetName val="중기"/>
      <sheetName val="원본"/>
      <sheetName val="0000"/>
      <sheetName val="98NS-N"/>
      <sheetName val="예산명세서"/>
      <sheetName val="건축원가"/>
      <sheetName val="토사(PE)"/>
      <sheetName val="기초1"/>
      <sheetName val="7-1노임"/>
      <sheetName val="집계표"/>
      <sheetName val="기초"/>
      <sheetName val="삼홍테크"/>
      <sheetName val="포장물량집계"/>
      <sheetName val="도근좌표"/>
      <sheetName val="플랜트 설치"/>
      <sheetName val="우각부보강"/>
      <sheetName val="5사남"/>
      <sheetName val="분양가"/>
      <sheetName val="가로등내"/>
      <sheetName val="조건표"/>
      <sheetName val="1차설계변경내역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조명시설"/>
      <sheetName val="토공"/>
      <sheetName val="FC-101"/>
      <sheetName val="조직"/>
      <sheetName val="수량산출"/>
      <sheetName val="현장경비"/>
      <sheetName val="ttl"/>
      <sheetName val="입찰내역 발주처 양식"/>
      <sheetName val="사유서제출현황-2"/>
      <sheetName val="(1)본선수량집계"/>
      <sheetName val="8.PILE  (돌출)"/>
      <sheetName val="간접비(1)"/>
      <sheetName val="쌍송교"/>
      <sheetName val="부하계산"/>
      <sheetName val="사업부배부A"/>
      <sheetName val="수납장배치도"/>
      <sheetName val="일위대가(가설)"/>
      <sheetName val="범례표"/>
      <sheetName val="대구은행"/>
      <sheetName val="법인구분"/>
      <sheetName val="기초코드"/>
      <sheetName val="본지사합"/>
      <sheetName val="시산표"/>
      <sheetName val="관리,공감"/>
      <sheetName val="노임단가"/>
      <sheetName val="선수금"/>
      <sheetName val="노무비단가"/>
      <sheetName val="gyun"/>
      <sheetName val="CONCRETE"/>
      <sheetName val="EXCAVATION"/>
      <sheetName val="BREAKDOWN"/>
      <sheetName val="203"/>
      <sheetName val="개요"/>
      <sheetName val="견적정보"/>
      <sheetName val="여과지동"/>
      <sheetName val="기초자료"/>
      <sheetName val="원가서"/>
      <sheetName val="Macro3"/>
      <sheetName val="원가계산서"/>
      <sheetName val="sg"/>
      <sheetName val="목표세부명세"/>
      <sheetName val="동원(3)"/>
      <sheetName val="예정(3)"/>
      <sheetName val="수목표준대가"/>
      <sheetName val="건축개요"/>
      <sheetName val="TOWER 12TON"/>
      <sheetName val="TOWER 10TON"/>
      <sheetName val="공정표 (2)"/>
      <sheetName val="전기"/>
      <sheetName val="횡배수관집현황(2공구)"/>
      <sheetName val="시행대비증가요인_2"/>
      <sheetName val="2000년_공정표2"/>
      <sheetName val="유첨3_적용기준2"/>
      <sheetName val="7_수지2"/>
      <sheetName val="내___역2"/>
      <sheetName val="총괄갑_2"/>
      <sheetName val="5_소재1"/>
      <sheetName val="3_공통공사대비1"/>
      <sheetName val="Sheet1_(2)2"/>
      <sheetName val="4_2유효폭의_계산1"/>
      <sheetName val="시행대비_(2)1"/>
      <sheetName val="자재+시공통보단가(85_35%)1"/>
      <sheetName val="97_사업추정(WEKI)1"/>
      <sheetName val="토공총괄_(2)1"/>
      <sheetName val="관_조서1"/>
      <sheetName val="폐기물_산출1"/>
      <sheetName val="시행대비증가요인_1"/>
      <sheetName val="2000년_공정표1"/>
      <sheetName val="유첨3_적용기준1"/>
      <sheetName val="7_수지1"/>
      <sheetName val="내___역1"/>
      <sheetName val="총괄갑_1"/>
      <sheetName val="5_소재"/>
      <sheetName val="3_공통공사대비"/>
      <sheetName val="Sheet1_(2)1"/>
      <sheetName val="4_2유효폭의_계산"/>
      <sheetName val="시행대비_(2)"/>
      <sheetName val="자재+시공통보단가(85_35%)"/>
      <sheetName val="97_사업추정(WEKI)"/>
      <sheetName val="토공총괄_(2)"/>
      <sheetName val="관_조서"/>
      <sheetName val="폐기물_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실적전체당월"/>
      <sheetName val="국내조달(통합-1)"/>
      <sheetName val="코드표"/>
      <sheetName val="손익분석"/>
      <sheetName val="일반부표"/>
      <sheetName val="빗물받이(910-510-410)"/>
      <sheetName val="갑지(추정)"/>
      <sheetName val="식재인부"/>
      <sheetName val="명세"/>
      <sheetName val="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"/>
      <sheetName val="용도별 시장"/>
      <sheetName val="용도별 시장 (2)"/>
      <sheetName val="LW"/>
      <sheetName val="CW"/>
      <sheetName val="RMB (2)"/>
      <sheetName val="RC"/>
      <sheetName val="RT"/>
      <sheetName val="RT산출1"/>
      <sheetName val="RT산출1 (2)"/>
      <sheetName val="RT난출2 (3)"/>
      <sheetName val="RT난출2"/>
      <sheetName val="RT산출3"/>
      <sheetName val="제품별 (98.6)"/>
      <sheetName val="조선용암면"/>
      <sheetName val="조선용암면 (2)"/>
      <sheetName val="산출근거"/>
      <sheetName val="소요환산"/>
      <sheetName val="산출내역서집계표"/>
      <sheetName val="단가"/>
      <sheetName val="DATE"/>
      <sheetName val="4차원가계산서"/>
      <sheetName val="산출내역서"/>
      <sheetName val="Total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기계경비(시간당)"/>
      <sheetName val="램머"/>
      <sheetName val="말뚝지지력산정"/>
      <sheetName val="신표지1"/>
      <sheetName val="수량산출"/>
      <sheetName val="산출금액내역"/>
      <sheetName val="용수량(생활용수)"/>
      <sheetName val="자재대"/>
      <sheetName val="공구"/>
      <sheetName val="장비집계"/>
      <sheetName val="3BL공동구 수량"/>
      <sheetName val="자재집계표"/>
      <sheetName val="가중치"/>
      <sheetName val="제-노임"/>
      <sheetName val="제직재"/>
      <sheetName val="공제수량총집계표"/>
      <sheetName val="명세서"/>
      <sheetName val="주차구획선수량"/>
      <sheetName val="일위대가9803"/>
      <sheetName val="임금단가"/>
      <sheetName val="총괄"/>
      <sheetName val="실행철강하도"/>
      <sheetName val="토적표"/>
      <sheetName val="한강운반비"/>
      <sheetName val="신우"/>
      <sheetName val="원본(갑지)"/>
      <sheetName val="단열-자재"/>
      <sheetName val="조경내역서"/>
      <sheetName val="청천내"/>
      <sheetName val="공사개요"/>
      <sheetName val="포장공"/>
      <sheetName val="DATE"/>
      <sheetName val="경산"/>
      <sheetName val="평가데이터"/>
      <sheetName val="9GNG운반"/>
      <sheetName val="COPING"/>
      <sheetName val="#REF"/>
      <sheetName val="내역서"/>
      <sheetName val="집계표"/>
      <sheetName val="구천"/>
      <sheetName val="내역"/>
      <sheetName val="2공구하도급내역서"/>
      <sheetName val="품셈집계표"/>
      <sheetName val="자재조사표"/>
      <sheetName val="데이타"/>
      <sheetName val="설계내역서"/>
      <sheetName val="총투입계"/>
      <sheetName val="일위"/>
      <sheetName val="설계예산서"/>
      <sheetName val="요율"/>
      <sheetName val="3.공통공사대비"/>
      <sheetName val="98수문일위"/>
      <sheetName val="Sheet5"/>
      <sheetName val="협력업체"/>
      <sheetName val="기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기계경비"/>
      <sheetName val="현장예산"/>
      <sheetName val="예총"/>
      <sheetName val="2000년1차"/>
      <sheetName val="2000전체분"/>
      <sheetName val="터파기및재료"/>
      <sheetName val="SANBAISU"/>
      <sheetName val="코드표"/>
      <sheetName val="날개벽수량표"/>
      <sheetName val="원가"/>
      <sheetName val="현장경비"/>
      <sheetName val="방배동내역(리라)"/>
      <sheetName val="건축공사집계표"/>
      <sheetName val="방배동내역 (총괄)"/>
      <sheetName val="부대공사총괄"/>
      <sheetName val="Total"/>
      <sheetName val="조명율표"/>
      <sheetName val="심사공종"/>
      <sheetName val="우수맨홀공제단위수량"/>
      <sheetName val="노임이"/>
      <sheetName val="부하계산서"/>
      <sheetName val="전선 및 전선관"/>
      <sheetName val="수량3"/>
      <sheetName val="토목검측서"/>
      <sheetName val="ABUT수량-A1"/>
      <sheetName val="동원인원"/>
      <sheetName val="옹벽일반수량"/>
      <sheetName val="설비"/>
      <sheetName val="환경기계공정표 (3)"/>
      <sheetName val="절대삭제금지"/>
      <sheetName val="12호기내역서(건축분)"/>
      <sheetName val="자료입력"/>
      <sheetName val="bid"/>
      <sheetName val="빙장비사양"/>
      <sheetName val="대치판정"/>
      <sheetName val="차액보증"/>
      <sheetName val="자재단가"/>
      <sheetName val="연습"/>
      <sheetName val="철근량"/>
      <sheetName val="비교1"/>
      <sheetName val="물량표"/>
      <sheetName val="Sheet4"/>
      <sheetName val="구의33고"/>
      <sheetName val="TOTAL_BOQ"/>
      <sheetName val="9.정착구 보강"/>
      <sheetName val="CTEMCOST"/>
      <sheetName val="간접"/>
      <sheetName val="H-PILE수량집계"/>
      <sheetName val="견적"/>
      <sheetName val="파형강관집계"/>
      <sheetName val="설계예산"/>
      <sheetName val="3BL공동구_수량"/>
      <sheetName val="시선유도표지집계표"/>
      <sheetName val="70%"/>
      <sheetName val="범례표"/>
      <sheetName val="맨홀수량"/>
      <sheetName val="가압장(토목)"/>
      <sheetName val="안정검토"/>
      <sheetName val="단면설계"/>
      <sheetName val="6PILE  (돌출)"/>
      <sheetName val="공사기본내용입력"/>
      <sheetName val="연결관암거"/>
      <sheetName val="설계서을"/>
      <sheetName val="준검 내역서"/>
      <sheetName val="대창(함평)"/>
      <sheetName val="대창(장성)"/>
      <sheetName val="대창(함평)-창열"/>
      <sheetName val="Sheet3"/>
      <sheetName val="구조물터파기수량집계"/>
      <sheetName val="배수공 시멘트 및 골재량 산출"/>
      <sheetName val="공량(1월22일)"/>
      <sheetName val="측구터파기공수량집계"/>
      <sheetName val="96보완계획7.12"/>
      <sheetName val="초기화면"/>
      <sheetName val="입찰안"/>
      <sheetName val="전기단가조사서"/>
      <sheetName val="관급자재"/>
      <sheetName val="일위대가표"/>
      <sheetName val="빗물받이(910-510-410)"/>
      <sheetName val="EACT10"/>
      <sheetName val="WORK"/>
      <sheetName val="(A)내역서"/>
      <sheetName val="관접합및부설"/>
      <sheetName val="단가"/>
      <sheetName val="실행내역서"/>
      <sheetName val="배관배선 단가조사"/>
      <sheetName val="일위대가집계"/>
      <sheetName val="본선차로수량집계표"/>
      <sheetName val="을"/>
      <sheetName val="SG"/>
      <sheetName val="실행대비"/>
      <sheetName val="증감내역서"/>
      <sheetName val="총괄내역서"/>
      <sheetName val="200"/>
      <sheetName val="내역서단가산출용"/>
      <sheetName val="단가산출"/>
      <sheetName val="교대(A1)"/>
      <sheetName val="입력란"/>
      <sheetName val="97노임단가"/>
      <sheetName val="시설물단가표"/>
      <sheetName val="노무비단가표"/>
      <sheetName val="기초자료입력"/>
      <sheetName val="토사(PE)"/>
      <sheetName val="날개벽"/>
      <sheetName val="하조서"/>
      <sheetName val="현장경상비"/>
      <sheetName val="Sheet2"/>
      <sheetName val="몰탈"/>
      <sheetName val="일반수량"/>
      <sheetName val="기초코드"/>
      <sheetName val="8.PILE  (돌출)"/>
      <sheetName val="산출근거"/>
      <sheetName val="N賃率-職"/>
      <sheetName val="T13(P68~72,78)"/>
      <sheetName val="데리네이타현황"/>
      <sheetName val="총집계표"/>
      <sheetName val="실행내역"/>
      <sheetName val="설계"/>
      <sheetName val="다곡2교"/>
      <sheetName val="하수급견적대비"/>
      <sheetName val="1차 내역서"/>
      <sheetName val="slurrywall설계가"/>
      <sheetName val="을지"/>
      <sheetName val="database"/>
      <sheetName val="목차"/>
      <sheetName val="2002하반기노임기준"/>
      <sheetName val="danga"/>
      <sheetName val="ilch"/>
      <sheetName val="DATA"/>
      <sheetName val="공사"/>
      <sheetName val="오수주요자재"/>
      <sheetName val="s"/>
      <sheetName val="갑지"/>
      <sheetName val="품셈"/>
      <sheetName val="INPUT"/>
      <sheetName val="시운전연료"/>
      <sheetName val="노임"/>
      <sheetName val="b_balju"/>
      <sheetName val="수량증감표"/>
      <sheetName val="터파기운반비산출"/>
      <sheetName val="산적토운반비산출"/>
      <sheetName val="적용단가"/>
      <sheetName val="연장및면적(좌측)"/>
      <sheetName val="wall"/>
      <sheetName val="인부임"/>
      <sheetName val="원가+내역"/>
      <sheetName val="선정요령"/>
      <sheetName val="설계명세서"/>
      <sheetName val="중기사용료"/>
      <sheetName val="조경"/>
      <sheetName val="덕전리"/>
      <sheetName val="원형맨홀수량"/>
      <sheetName val="금액"/>
      <sheetName val="시점교대"/>
      <sheetName val="TYPE-A"/>
      <sheetName val="부대내역"/>
      <sheetName val="공사비증감"/>
      <sheetName val="화설내"/>
      <sheetName val="수로단위수량"/>
      <sheetName val="PI"/>
      <sheetName val="단가조사-2"/>
      <sheetName val="배수공 주요자재 집계표"/>
      <sheetName val="Sheet1 (2)"/>
      <sheetName val="공사비집계"/>
      <sheetName val="배수공"/>
      <sheetName val="파일의이용"/>
      <sheetName val="청 구"/>
      <sheetName val="설계산출기초"/>
      <sheetName val="guard(mac)"/>
      <sheetName val="입찰견적보고서"/>
      <sheetName val="할증"/>
      <sheetName val="전기"/>
      <sheetName val="마산방향"/>
      <sheetName val="진주방향"/>
      <sheetName val="15"/>
      <sheetName val="DATA 입력란"/>
      <sheetName val="1. 설계조건 2.단면가정 3. 하중계산"/>
      <sheetName val="BSD (2)"/>
      <sheetName val="단양 00 아파트-세부내역"/>
      <sheetName val="본사공가현황"/>
      <sheetName val="대비"/>
      <sheetName val="MAT"/>
      <sheetName val="기본일위"/>
      <sheetName val="신호등일위대가"/>
      <sheetName val="흄관기초"/>
      <sheetName val="현금흐름"/>
      <sheetName val="정부노임단가"/>
      <sheetName val="일위대가_가설_"/>
      <sheetName val="대로근거"/>
      <sheetName val="중로근거"/>
      <sheetName val="수주추정"/>
      <sheetName val="Customer Databas"/>
      <sheetName val="갑지1"/>
      <sheetName val="준공평가"/>
      <sheetName val="교대철근집계"/>
      <sheetName val="토목(용인)"/>
      <sheetName val="이토변실(A3-LINE)"/>
      <sheetName val="tggwan(mac)"/>
      <sheetName val="총괄내역"/>
      <sheetName val="일반수량총괄집계"/>
      <sheetName val="단면가정"/>
      <sheetName val="상 부"/>
      <sheetName val="내역_FILE"/>
      <sheetName val="내역서(전기)"/>
      <sheetName val="공사분석"/>
      <sheetName val="연속벽현황"/>
      <sheetName val="원가서"/>
      <sheetName val="단가 (2)"/>
      <sheetName val="설계예시"/>
      <sheetName val="식재인부"/>
      <sheetName val="확약서"/>
      <sheetName val="배수철근"/>
      <sheetName val="내역갑지"/>
      <sheetName val="단"/>
      <sheetName val="98NS-N"/>
      <sheetName val="원유_BANK"/>
      <sheetName val="도기류"/>
      <sheetName val="프랜트면허"/>
      <sheetName val="특수선일위대가"/>
      <sheetName val="용산1(해보)"/>
      <sheetName val="공사비 증감 내역서"/>
      <sheetName val="일위단위"/>
      <sheetName val="VXXXXXX"/>
      <sheetName val="수량집계"/>
      <sheetName val="SORCE1"/>
      <sheetName val="물가대비표"/>
      <sheetName val="Sheet2 (2)"/>
      <sheetName val="단위단가"/>
      <sheetName val="변경비교-을"/>
      <sheetName val="9-1차이내역"/>
      <sheetName val="직노"/>
      <sheetName val="집수정(600-700)"/>
      <sheetName val="기초단가"/>
      <sheetName val="내역서01"/>
      <sheetName val="1.수인터널"/>
      <sheetName val="고유코드_설계"/>
      <sheetName val="PROJECT BRIEF(EX.NEW)"/>
      <sheetName val="Site Expenses"/>
      <sheetName val="용역비내역-진짜"/>
      <sheetName val="계양가시설"/>
      <sheetName val="교각1"/>
      <sheetName val="세금자료"/>
      <sheetName val="차선도색-연장,수량(1)"/>
      <sheetName val="수산(당)"/>
      <sheetName val="이름정의"/>
      <sheetName val="Macro1"/>
      <sheetName val="날개벽(TYPE2)"/>
      <sheetName val="교각계산"/>
      <sheetName val="우각부보강"/>
      <sheetName val="옹벽수량집계"/>
      <sheetName val="4.내진설계"/>
      <sheetName val=" ｹ-ﾌﾞﾙ"/>
      <sheetName val="흙쌓기도수로설치현황"/>
      <sheetName val="토공(우물통,기타) "/>
      <sheetName val="계수시트"/>
      <sheetName val="11.1 단면hwp"/>
      <sheetName val="노임단가 (2)"/>
      <sheetName val="원형1호맨홀토공수량"/>
      <sheetName val="실행견적"/>
      <sheetName val="수입"/>
      <sheetName val="관급자재대"/>
      <sheetName val="중기사용료산출근거"/>
      <sheetName val="단가 및 재료비"/>
      <sheetName val="공용(현대건설공구)"/>
      <sheetName val="현대건설공구(UNIT)"/>
      <sheetName val="낙석방지수량"/>
      <sheetName val="실행간접비용"/>
      <sheetName val="산출내역서집계표"/>
      <sheetName val="자재"/>
      <sheetName val="건축내역서 (경제상무실)"/>
      <sheetName val="원가계산하도"/>
      <sheetName val="입력자료"/>
      <sheetName val="설내역서 "/>
      <sheetName val="간지"/>
      <sheetName val="현장소운반"/>
      <sheetName val="관구보호몰탈"/>
      <sheetName val="공사설명서"/>
      <sheetName val="건축내역"/>
      <sheetName val="남양내역"/>
      <sheetName val="MAIN_TABLE"/>
      <sheetName val="1.설계조건"/>
      <sheetName val="조건"/>
      <sheetName val="노임단가"/>
      <sheetName val="기초일위"/>
      <sheetName val="수목단가"/>
      <sheetName val="시설수량표"/>
      <sheetName val="시설일위"/>
      <sheetName val="식재수량표"/>
      <sheetName val="1차설계변경내역"/>
      <sheetName val="관경별내역서"/>
      <sheetName val="포장복구집계"/>
      <sheetName val="추가예산"/>
      <sheetName val="단중표"/>
      <sheetName val="현장관리비참조"/>
      <sheetName val="내역표지"/>
      <sheetName val="앵커구조계산"/>
      <sheetName val="건축공사"/>
      <sheetName val="환율CHANGE"/>
      <sheetName val="2호맨홀공제수량"/>
      <sheetName val="내역서1999.8최종"/>
      <sheetName val="직접경비"/>
      <sheetName val="직접인건비"/>
      <sheetName val="수안보-MBR1"/>
      <sheetName val="참조"/>
      <sheetName val="제경비율"/>
      <sheetName val="산출내역서"/>
      <sheetName val="공사명입력"/>
      <sheetName val="근로자자료입력"/>
      <sheetName val="참고자료"/>
      <sheetName val="GI-LIST"/>
      <sheetName val="단위수량산출"/>
      <sheetName val="금액내역서"/>
      <sheetName val="날개벽(시점좌측)"/>
      <sheetName val="기둥(원형)"/>
      <sheetName val="참고사항"/>
      <sheetName val="공내역"/>
      <sheetName val="7.PILE  (돌출)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지중자재단가"/>
      <sheetName val="예가표"/>
      <sheetName val="출장내역"/>
      <sheetName val="우수공"/>
      <sheetName val="개요"/>
      <sheetName val="1.우편집중내역서"/>
      <sheetName val="일위대가(가설)"/>
      <sheetName val="표지"/>
      <sheetName val="노무비"/>
      <sheetName val="재료비단가"/>
      <sheetName val="사각맨홀"/>
      <sheetName val="경비_원본"/>
      <sheetName val="토목공사"/>
      <sheetName val="설계조건"/>
      <sheetName val="마산월령동골조물량변경"/>
      <sheetName val="견적서"/>
      <sheetName val="연도별cash"/>
      <sheetName val="전 기"/>
      <sheetName val="대림경상68억"/>
      <sheetName val="예정공정표"/>
      <sheetName val="공비현2"/>
      <sheetName val="도급내역"/>
      <sheetName val="물집"/>
      <sheetName val="도급금액"/>
      <sheetName val="재노경"/>
      <sheetName val="설계가"/>
      <sheetName val="인원투입"/>
      <sheetName val="각형맨홀"/>
      <sheetName val="중강당 내역"/>
      <sheetName val="총괄표"/>
      <sheetName val="사  업  비  수  지  예  산  서"/>
      <sheetName val="해평견적"/>
      <sheetName val="A-8 PD(도로중앙)"/>
      <sheetName val="호프"/>
      <sheetName val="물가시세"/>
      <sheetName val="터파기단면도(보도)"/>
      <sheetName val="Baby일위대가"/>
      <sheetName val="세부내역서"/>
      <sheetName val="효성CB 1P기초"/>
      <sheetName val="조견표"/>
      <sheetName val="전차선로 물량표"/>
      <sheetName val="역T형교대(말뚝기초)"/>
      <sheetName val="단가조건(02년)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플랜트 설치"/>
      <sheetName val="토목주소"/>
      <sheetName val="GR"/>
      <sheetName val="배수통관(좌)"/>
      <sheetName val="INPUT(덕도방향-시점)"/>
      <sheetName val="평내중"/>
      <sheetName val="공량산출서"/>
      <sheetName val="9811"/>
      <sheetName val="위치조서"/>
      <sheetName val="내역(신례)"/>
      <sheetName val="옹벽공 수량집계표"/>
      <sheetName val="교사기준면적(중)"/>
      <sheetName val="pier-1"/>
      <sheetName val="06 일위대가목록"/>
      <sheetName val="공사현황"/>
      <sheetName val="내역전기"/>
      <sheetName val="감액총괄표"/>
      <sheetName val="1000 DB구축 부표"/>
      <sheetName val="단가(1)"/>
      <sheetName val="시점경사로"/>
      <sheetName val="총 원가계산"/>
      <sheetName val="하도급 검토"/>
      <sheetName val="단가조정표"/>
      <sheetName val="산근"/>
      <sheetName val="우수"/>
      <sheetName val="설계내역"/>
      <sheetName val="사통"/>
      <sheetName val="내역서적용수량"/>
      <sheetName val="포장물량집계"/>
      <sheetName val="입력"/>
      <sheetName val="계림(함평)"/>
      <sheetName val="계림(장성)"/>
      <sheetName val="산수배수"/>
      <sheetName val="포장공자재집계표"/>
      <sheetName val="표지 (2)"/>
      <sheetName val="슬래브수량"/>
      <sheetName val="일위대가(1)"/>
      <sheetName val="갑지(추정)"/>
      <sheetName val="보도포장연장조서-표준차도부"/>
      <sheetName val="표준차도부연장조서-ASP"/>
      <sheetName val="설계명세서(종합)"/>
      <sheetName val="소요자재"/>
      <sheetName val="노무산출서"/>
      <sheetName val="부표총괄"/>
      <sheetName val="뚝토공"/>
      <sheetName val="단면 (2)"/>
      <sheetName val="유림골조"/>
      <sheetName val="결과조달"/>
      <sheetName val="내역서 (2)"/>
      <sheetName val="콘크리트타설집계표"/>
      <sheetName val="APT"/>
      <sheetName val="수량집계표"/>
      <sheetName val="탄성1"/>
      <sheetName val="집수A"/>
      <sheetName val="보차도경계석"/>
      <sheetName val="구조물공집계"/>
      <sheetName val="상행-교대(A1-A2)"/>
      <sheetName val="수목표준대가"/>
      <sheetName val="건축공사실행"/>
      <sheetName val="입력DATA"/>
      <sheetName val="바닥판"/>
      <sheetName val="VII-2현장경비"/>
      <sheetName val="Ⅴ-2.공종별내역"/>
      <sheetName val="입력시트"/>
      <sheetName val="출력X"/>
      <sheetName val="가로등내역서"/>
      <sheetName val="nys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1.설계기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(당평)자재"/>
      <sheetName val="당초명세(평)"/>
      <sheetName val="GAEYO"/>
      <sheetName val="도장수량(하1)"/>
      <sheetName val="주형"/>
      <sheetName val="포장공수량집계표"/>
      <sheetName val="코드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3.하중계산"/>
      <sheetName val=" 상부공통집계(총괄)"/>
      <sheetName val="순공사비"/>
      <sheetName val="1"/>
      <sheetName val="공사품의서"/>
      <sheetName val="4.2.1 마루높이 검토"/>
      <sheetName val="반포2차"/>
      <sheetName val="첨"/>
      <sheetName val="6공구(당초)"/>
      <sheetName val="시설물기초"/>
      <sheetName val="SLAB&quot;1&quot;"/>
      <sheetName val="중요"/>
      <sheetName val="총내역서"/>
      <sheetName val="List"/>
      <sheetName val="품셈TABLE"/>
      <sheetName val="낙찰표"/>
      <sheetName val="단 box"/>
      <sheetName val="폐기물"/>
      <sheetName val="2공구산출내역"/>
      <sheetName val="수량산출서-2"/>
      <sheetName val="단가목록"/>
      <sheetName val="시화점실행"/>
      <sheetName val="해외(원화)"/>
      <sheetName val="원하도급내역서(당초)"/>
      <sheetName val="사유서제출현황-2"/>
      <sheetName val="지장물 철거 물량 산출서"/>
      <sheetName val="민감도"/>
      <sheetName val="2_단면가정"/>
      <sheetName val="조명일위"/>
      <sheetName val="가열로SW"/>
      <sheetName val="99노임단가"/>
      <sheetName val="unitpric"/>
      <sheetName val="noyim"/>
      <sheetName val="03전반노무비"/>
      <sheetName val="포장공수량집계"/>
      <sheetName val="골재집계"/>
      <sheetName val="-레미콘집계"/>
      <sheetName val="-몰탈콘크리트"/>
      <sheetName val="자갈,시멘트,모래산출"/>
      <sheetName val="-철근집계"/>
      <sheetName val="CAT_5"/>
      <sheetName val="경영상태"/>
      <sheetName val="계측제어설비"/>
      <sheetName val="1차"/>
      <sheetName val="포장재료(1)"/>
      <sheetName val="-흄관집계"/>
      <sheetName val="고창방향"/>
      <sheetName val="sst,stl창호"/>
      <sheetName val="역T형"/>
      <sheetName val="ETC"/>
      <sheetName val="A4"/>
      <sheetName val="기안"/>
      <sheetName val="2-1. 경관조명 내역총괄표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부대tu"/>
      <sheetName val="45,46"/>
      <sheetName val="기존포장깨기"/>
      <sheetName val="석축헐기"/>
      <sheetName val="단면치수"/>
      <sheetName val="sub"/>
      <sheetName val="인부노임"/>
      <sheetName val="노면및방향"/>
      <sheetName val="맨홀수량산출(A-LINE)"/>
      <sheetName val="예산명세서"/>
      <sheetName val="인건비"/>
      <sheetName val="05-원가계산"/>
      <sheetName val="특별교실"/>
      <sheetName val="ELECTRIC"/>
      <sheetName val="Y-WORK"/>
      <sheetName val="BJJIN"/>
      <sheetName val="설-원가"/>
      <sheetName val="일위집계표"/>
      <sheetName val="계산서(곡선부)"/>
      <sheetName val="포장재료집계표"/>
      <sheetName val="기본"/>
      <sheetName val="견적대비표"/>
      <sheetName val="공정data"/>
      <sheetName val="설계내역2"/>
      <sheetName val="공종단가"/>
      <sheetName val="증감대비"/>
      <sheetName val="토공"/>
      <sheetName val="일위대가-1"/>
      <sheetName val="P4-C"/>
      <sheetName val="J형측구단위수량"/>
      <sheetName val="단가산출서(기계)"/>
      <sheetName val="배관단가조사서"/>
      <sheetName val="DB"/>
      <sheetName val="건축내역서"/>
      <sheetName val="말뚝기초(안정검토)-외측"/>
      <sheetName val="일위_파일"/>
      <sheetName val="달서천-대비"/>
      <sheetName val="현장관리비"/>
      <sheetName val="소방"/>
      <sheetName val="공통비(전체)"/>
      <sheetName val="-치수표(곡선부)"/>
      <sheetName val="산출내역(K2)"/>
      <sheetName val="도로경계단위"/>
      <sheetName val="단위중량"/>
      <sheetName val="이음개소"/>
      <sheetName val="돌담교 상부수량"/>
      <sheetName val="가계부"/>
      <sheetName val="제품목록"/>
      <sheetName val="매입매출관리"/>
      <sheetName val="Sheet22"/>
      <sheetName val="수량명세서"/>
      <sheetName val="토공정보"/>
      <sheetName val="관로토공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단가산출서"/>
      <sheetName val="단위수량"/>
      <sheetName val="I一般比"/>
      <sheetName val="금호"/>
      <sheetName val="J直材4"/>
      <sheetName val="안전시설"/>
      <sheetName val="철근단면적"/>
      <sheetName val="수질정화시설"/>
      <sheetName val="HRSG SMALL07220"/>
      <sheetName val="쇠(1)"/>
      <sheetName val="가격(3)"/>
      <sheetName val="ⴭⴭⴭⴭⴭ"/>
      <sheetName val="관경"/>
      <sheetName val="전기혼잡제경비(45)"/>
      <sheetName val="2"/>
      <sheetName val="3"/>
      <sheetName val="4"/>
      <sheetName val="6"/>
      <sheetName val="가로등설치"/>
      <sheetName val="setup"/>
      <sheetName val="제잡비"/>
      <sheetName val="설계기준"/>
      <sheetName val="내역1"/>
      <sheetName val="99노임기준"/>
      <sheetName val="단가대비표"/>
      <sheetName val="가도공"/>
      <sheetName val="형질변경"/>
      <sheetName val="인건비 "/>
      <sheetName val="5수지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토목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중기손료"/>
      <sheetName val="1단계"/>
      <sheetName val="내역서 제출"/>
      <sheetName val="우수받이"/>
      <sheetName val="테이블"/>
      <sheetName val="건축"/>
      <sheetName val="원가계산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경비"/>
      <sheetName val="법면단"/>
      <sheetName val="전체내역서"/>
      <sheetName val="배수공수집"/>
      <sheetName val="08-공사비총괄표"/>
      <sheetName val="01-적용기준"/>
      <sheetName val="산근(1)"/>
      <sheetName val="집수정"/>
      <sheetName val="투입비"/>
      <sheetName val="pier(각형)"/>
      <sheetName val="예산"/>
      <sheetName val="구성비"/>
      <sheetName val="투찰추정"/>
      <sheetName val="A4288"/>
      <sheetName val="지급(1)"/>
      <sheetName val="집행안"/>
      <sheetName val="7-2"/>
      <sheetName val="중기손료집계(1209)"/>
      <sheetName val="기계경비및산출근거서"/>
      <sheetName val="골막이(야매)"/>
      <sheetName val="몰탈재료산출"/>
      <sheetName val="8.석축단위(H=1.5M)"/>
      <sheetName val="기자재비"/>
      <sheetName val="4차원가계산서"/>
      <sheetName val="횡배수관집현황(2공구)"/>
      <sheetName val="신축(단위)"/>
      <sheetName val="배수관토공산출"/>
      <sheetName val="도급"/>
      <sheetName val="아파트 내역"/>
      <sheetName val="물가시세표"/>
      <sheetName val="노임 및 중기단가"/>
      <sheetName val="옥룡잡비"/>
      <sheetName val="흙막이 개산견적"/>
      <sheetName val="구조물철거타공정이월"/>
      <sheetName val="99총공사내역서"/>
      <sheetName val="교대(A1-A2)"/>
      <sheetName val="화해(함평)"/>
      <sheetName val="화해(장성)"/>
      <sheetName val="앵커설치(590)"/>
      <sheetName val="보안등"/>
      <sheetName val="FAB별"/>
      <sheetName val="분전함신설"/>
      <sheetName val="접지1종"/>
      <sheetName val="화전내"/>
      <sheetName val="1공구내역서(1)"/>
      <sheetName val="기초자료"/>
      <sheetName val="2.대외공문"/>
      <sheetName val="공통가설"/>
      <sheetName val="소방사항"/>
      <sheetName val="견적대비"/>
      <sheetName val="적용(기계)"/>
      <sheetName val="1-1평균터파기고(1)"/>
      <sheetName val="가설"/>
      <sheetName val="일람표"/>
      <sheetName val="A 견적"/>
      <sheetName val="공통가설(기준안)"/>
      <sheetName val="미드수량"/>
      <sheetName val="단가산출2"/>
      <sheetName val="약전설비"/>
      <sheetName val="별표 "/>
      <sheetName val="영동(D)"/>
      <sheetName val="6차2회변경내역서"/>
      <sheetName val="본체"/>
      <sheetName val="97년 추정"/>
      <sheetName val="spiral"/>
      <sheetName val="공사비_NDE"/>
      <sheetName val="건축명"/>
      <sheetName val="기계명"/>
      <sheetName val="전기명"/>
      <sheetName val="TOSHIBA-Structure"/>
      <sheetName val="포집"/>
      <sheetName val="코스모공장 (어음)"/>
      <sheetName val="원가계산서 "/>
      <sheetName val="자재비"/>
      <sheetName val="은행"/>
      <sheetName val="노단"/>
      <sheetName val="단산"/>
      <sheetName val="명세"/>
      <sheetName val="일대"/>
      <sheetName val="교통대책내역"/>
      <sheetName val="개별직종노임단가(2005.1)"/>
      <sheetName val="비품"/>
      <sheetName val="90.03실행 "/>
      <sheetName val="1차기성"/>
      <sheetName val="자재표"/>
      <sheetName val="본문"/>
      <sheetName val="변화치수"/>
      <sheetName val="단가조사서"/>
      <sheetName val="새공통(96임금인상기준)"/>
      <sheetName val="시중노임단가"/>
      <sheetName val="어음수표추가테스트"/>
      <sheetName val="일위목록"/>
      <sheetName val="4 공통갑지"/>
      <sheetName val="품종별월계"/>
      <sheetName val="전신환매도율"/>
      <sheetName val="골조"/>
      <sheetName val="난방방식분류"/>
      <sheetName val="공사정보입력"/>
      <sheetName val="설비내역서"/>
      <sheetName val="전기내역서"/>
      <sheetName val="실행"/>
      <sheetName val="공사설계"/>
      <sheetName val="배지거총재료집계표"/>
      <sheetName val="cal"/>
      <sheetName val="단가조사표"/>
      <sheetName val="설계내역서(기계)"/>
      <sheetName val="1.3.1절점좌표"/>
      <sheetName val="1.1설계기준"/>
      <sheetName val="수토공단위당"/>
      <sheetName val="중단원본"/>
      <sheetName val="업체별담당"/>
      <sheetName val="사본 _ b_balju"/>
      <sheetName val="업무처리전"/>
      <sheetName val="기기리스트"/>
      <sheetName val="골조시행"/>
      <sheetName val="공종집계"/>
      <sheetName val="하도급계획"/>
      <sheetName val="관일"/>
      <sheetName val="직재"/>
      <sheetName val="재집"/>
      <sheetName val="3.하중산정4.지지력"/>
      <sheetName val="적용토목"/>
      <sheetName val="15-1)VE제안서(유형2,4)"/>
      <sheetName val="포장면적산출"/>
      <sheetName val="포장수량집계"/>
      <sheetName val="gyun"/>
      <sheetName val="자재 집계표"/>
      <sheetName val="설계명세"/>
      <sheetName val="투입비분석표"/>
      <sheetName val="단가산출서 (2)"/>
      <sheetName val="이름"/>
      <sheetName val="급여표"/>
      <sheetName val="직원투입계획"/>
      <sheetName val="준공정산"/>
      <sheetName val="철거산출근거"/>
      <sheetName val="01"/>
      <sheetName val="중기조종사 단위단가"/>
      <sheetName val="(2)자금(신용)"/>
      <sheetName val="FOOTING단면력"/>
      <sheetName val="암거단위-1련"/>
      <sheetName val="견적보고"/>
      <sheetName val="inputdata"/>
      <sheetName val="DATA입력"/>
      <sheetName val="36+45-113-18+19+20I"/>
      <sheetName val="목록"/>
      <sheetName val="토공사B동추가"/>
      <sheetName val="심사물량"/>
      <sheetName val="1.RAMP-A"/>
      <sheetName val="1_CB"/>
      <sheetName val="옹벽공_수량집계표"/>
      <sheetName val="A-8_PD(도로중앙)"/>
      <sheetName val="Flaer_Area"/>
      <sheetName val="내역서1999_8최종"/>
      <sheetName val="1_설계기준"/>
      <sheetName val="단가_및_재료비"/>
      <sheetName val="건축내역서_(경제상무실)"/>
      <sheetName val="설내역서_"/>
      <sheetName val="일위산출"/>
      <sheetName val="공사비예산서(토목분)"/>
      <sheetName val="수량산출서"/>
      <sheetName val="細目"/>
      <sheetName val="배수관산출"/>
      <sheetName val="지장물헐기조서"/>
      <sheetName val="입출재고현황 (2)"/>
      <sheetName val="종단계산"/>
      <sheetName val="토공(본관-토사)"/>
      <sheetName val="토공(분기관-토사)"/>
      <sheetName val="토공(분기관-암)"/>
      <sheetName val="토공(본관-암)"/>
      <sheetName val="음료실행"/>
      <sheetName val="제경비최종"/>
      <sheetName val="연부97-1"/>
      <sheetName val="찍기"/>
      <sheetName val="대총괄"/>
      <sheetName val="실행(ALT1)"/>
      <sheetName val="깨기"/>
      <sheetName val="입력장소"/>
      <sheetName val="물류최종8월7"/>
      <sheetName val="ESC (공정표기준)"/>
      <sheetName val="일위대가 "/>
      <sheetName val="공통갑지"/>
      <sheetName val="기성청구조서"/>
      <sheetName val="단가조사"/>
      <sheetName val="준공조서"/>
      <sheetName val="공사준공계"/>
      <sheetName val="준공검사보고서"/>
      <sheetName val="구조물공"/>
      <sheetName val="부대공"/>
      <sheetName val="국공유지및사유지"/>
      <sheetName val="기초계산(Pmax)"/>
      <sheetName val="수량간지코드"/>
      <sheetName val="수량목차코드"/>
      <sheetName val="쌍송교"/>
      <sheetName val="BOJUNGGM"/>
      <sheetName val="금전출납"/>
      <sheetName val="직영명부"/>
      <sheetName val="PAINT"/>
      <sheetName val="방화도료"/>
      <sheetName val="집계"/>
      <sheetName val="유림총괄"/>
      <sheetName val="인사자료총집계"/>
      <sheetName val="개산공사비"/>
      <sheetName val="10동"/>
      <sheetName val="작성"/>
      <sheetName val="적요"/>
      <sheetName val="견적단가"/>
      <sheetName val="계약내역서"/>
      <sheetName val="금속및금속창호"/>
      <sheetName val="S.중기사용료"/>
      <sheetName val="일위(PN)"/>
      <sheetName val="공정추가"/>
      <sheetName val="공통자료"/>
      <sheetName val="203"/>
      <sheetName val="물량표S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지장물C"/>
      <sheetName val="법면"/>
      <sheetName val="중기일위대가"/>
      <sheetName val="배수공1"/>
      <sheetName val="일반부표"/>
      <sheetName val="전기일위대가"/>
      <sheetName val="토목품셈"/>
      <sheetName val="마산방향철근집계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A-4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지구단위계획"/>
      <sheetName val="type-F"/>
      <sheetName val="수량산출근거"/>
      <sheetName val="XL4Poppy"/>
      <sheetName val="소업1교"/>
      <sheetName val="변경후-SHEET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맨홀수량산출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중기집계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소비자가"/>
      <sheetName val="가시설수량"/>
      <sheetName val="POL6차-PIPING"/>
      <sheetName val="b_balju_cho"/>
      <sheetName val="토목명"/>
      <sheetName val="노무비단가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구체"/>
      <sheetName val="좌측날개벽"/>
      <sheetName val="우측날개벽"/>
      <sheetName val="Macro2"/>
      <sheetName val="년도별노임표"/>
      <sheetName val="중기목록표"/>
      <sheetName val="FILE1"/>
      <sheetName val="안전장치"/>
      <sheetName val="노임,재료비"/>
      <sheetName val="초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토공개요"/>
      <sheetName val="토공(1)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값"/>
      <sheetName val="단가표"/>
      <sheetName val="CABLE"/>
      <sheetName val="포장공총괄수량집계표"/>
      <sheetName val="역T형옹벽(3.0)"/>
      <sheetName val="공사내역서(을)실행"/>
      <sheetName val="수불계획서(전체)"/>
      <sheetName val="정부노임"/>
      <sheetName val="9509"/>
      <sheetName val="1. 총괄 집계표"/>
      <sheetName val="-배수구조물공토공"/>
      <sheetName val="계산서(직선부)"/>
      <sheetName val="횡배수관재료-"/>
      <sheetName val="콘크리트측구연장"/>
      <sheetName val="표지(예시)"/>
      <sheetName val="형식 - 1-2-3"/>
      <sheetName val="기초입력 DATA"/>
      <sheetName val="2.관대집계표"/>
      <sheetName val="대포2교접속"/>
      <sheetName val="천방교접속"/>
      <sheetName val="지수980731이후"/>
      <sheetName val="도체종-상수표"/>
      <sheetName val="판매시설"/>
      <sheetName val="계정"/>
      <sheetName val="주요재료비(원본)"/>
      <sheetName val="2000.05"/>
      <sheetName val="위치"/>
      <sheetName val="서울대규장각(가시설흙막이)"/>
      <sheetName val="용소리교"/>
      <sheetName val="49"/>
      <sheetName val="2.건축"/>
      <sheetName val="터널조도"/>
      <sheetName val="99노임단_x0007_"/>
      <sheetName val="99노임단쌇"/>
      <sheetName val="전통건설"/>
      <sheetName val="3BL공동구_수량2"/>
      <sheetName val="준검_내역서1"/>
      <sheetName val="3_공통공사대비1"/>
      <sheetName val="방배동내역_(총괄)1"/>
      <sheetName val="9_정착구_보강1"/>
      <sheetName val="단가_(2)1"/>
      <sheetName val="6PILE__(돌출)1"/>
      <sheetName val="환경기계공정표_(3)1"/>
      <sheetName val="전선_및_전선관1"/>
      <sheetName val="1차_내역서1"/>
      <sheetName val="DATA_입력란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7_PILE__(돌출)1"/>
      <sheetName val="8_PILE__(돌출)1"/>
      <sheetName val="사__업__비__수__지__예__산__서1"/>
      <sheetName val="토공(우물통,기타)_"/>
      <sheetName val="11_1_단면hwp"/>
      <sheetName val="노임단가_(2)"/>
      <sheetName val="Sheet1_(2)1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단면_(2)"/>
      <sheetName val="1_설계조건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표지_(2)"/>
      <sheetName val="단가_및_재료비1"/>
      <sheetName val="Ⅴ-2_공종별내역"/>
      <sheetName val="4_내진설계"/>
      <sheetName val="_ｹ-ﾌﾞﾙ"/>
      <sheetName val="플랜트_설치"/>
      <sheetName val="지구_리스트"/>
      <sheetName val="1000_DB구축_부표"/>
      <sheetName val="효성CB_1P기초"/>
      <sheetName val="전차선로_물량표"/>
      <sheetName val="1_CB1"/>
      <sheetName val="1_설계기준1"/>
      <sheetName val="Flaer_Area1"/>
      <sheetName val="1_우편집중내역서"/>
      <sheetName val="하도급_검토"/>
      <sheetName val="지장물_철거_물량_산출서"/>
      <sheetName val="4_2_1_마루높이_검토"/>
      <sheetName val="3_하중계산"/>
      <sheetName val="_상부공통집계(총괄)"/>
      <sheetName val="단_box"/>
      <sheetName val="중강당_내역"/>
      <sheetName val="2-1__경관조명_내역총괄표"/>
      <sheetName val="총_원가계산"/>
      <sheetName val="돌담교_상부수량1"/>
      <sheetName val="HRSG_SMALL07220"/>
      <sheetName val="아파트_내역"/>
      <sheetName val="노임_및_중기단가"/>
      <sheetName val="내역서_1"/>
      <sheetName val="내역서_제출"/>
      <sheetName val="설명서_"/>
      <sheetName val="8_석축단위(H=1_5M)"/>
      <sheetName val="2_대외공문"/>
      <sheetName val="별표_"/>
      <sheetName val="인건비_"/>
      <sheetName val="신규_수주분(사용자_정의)"/>
      <sheetName val="plan&amp;section_of_foundation1"/>
      <sheetName val="pile_bearing_capa_&amp;_arrenge"/>
      <sheetName val="design_load1"/>
      <sheetName val="working_load_at_the_btm_ft_1"/>
      <sheetName val="stability_check1"/>
      <sheetName val="design_criteria1"/>
      <sheetName val="3_하중산정4_지지력"/>
      <sheetName val="COMPARISON_TABLE"/>
      <sheetName val="crude_SLAB_RE-bar"/>
      <sheetName val="CRUDE_RE-bar"/>
      <sheetName val="2_입력sheet"/>
      <sheetName val="(3_품질관리_시험_총괄표)"/>
      <sheetName val="2_가정단면"/>
      <sheetName val="Pier_3"/>
      <sheetName val="수량산출서_갑지"/>
      <sheetName val="1062-X방향_"/>
      <sheetName val="표__지"/>
      <sheetName val="BOX(1_5X1_5)"/>
      <sheetName val="1_2_1_마루높이결정"/>
      <sheetName val="단면__2_"/>
      <sheetName val="Dike_for_49T03_&amp;_49T04"/>
      <sheetName val="Dike_for_49T02,_05~07,_19_(1)"/>
      <sheetName val="_냉각수펌프"/>
      <sheetName val="ENE-CAL_1"/>
      <sheetName val="ITB_COST"/>
      <sheetName val="2011_(4)"/>
      <sheetName val="설계기준_및_하중계산"/>
      <sheetName val="11_자재단가"/>
      <sheetName val="PAD_TR보호대기초"/>
      <sheetName val="각사별공사비분개_"/>
      <sheetName val="역T형(H=6_0)_(2)"/>
      <sheetName val="2_토목공사"/>
      <sheetName val="AS포장복구_"/>
      <sheetName val="개별직종노임단가(2003_9)"/>
      <sheetName val="3련_BOX"/>
      <sheetName val="내역-_CCTV"/>
      <sheetName val="EQUIP_LIST"/>
      <sheetName val="실행내역(10_13)"/>
      <sheetName val="기존건물_깨기원단위"/>
      <sheetName val="철근량_산정"/>
      <sheetName val="노_표-조"/>
      <sheetName val="슬래브_-연속(3경간)"/>
      <sheetName val="4_2유효폭의_계산"/>
      <sheetName val="참여현황_(직원)"/>
      <sheetName val="견적가"/>
      <sheetName val="길어깨단위"/>
      <sheetName val="유효폭의 계산"/>
      <sheetName val="사본___b_balju"/>
      <sheetName val="개별직종노임단가(2005_1)"/>
      <sheetName val="전국현황"/>
      <sheetName val="DHEQSUPT"/>
      <sheetName val="전력간선(신설)"/>
      <sheetName val="CABLE SIZE-1"/>
      <sheetName val="목표세부명세"/>
      <sheetName val="부경대총괄내역서"/>
      <sheetName val="CONCRETE"/>
      <sheetName val="STEEL BOX 단면설계(SEC.8)"/>
      <sheetName val="식생블럭"/>
      <sheetName val="토목내역서(변경1)"/>
      <sheetName val="본선 토공 분배표"/>
      <sheetName val="신푝지1"/>
      <sheetName val="Requirement(Work Crew)"/>
      <sheetName val="수리결과"/>
      <sheetName val="케이블트레이"/>
      <sheetName val="절대건들지마시오"/>
      <sheetName val="기계설비품셈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모래기초"/>
      <sheetName val="공조기휀"/>
      <sheetName val="기시공토적"/>
      <sheetName val="공정자료2"/>
      <sheetName val="아파트"/>
      <sheetName val="나.설계조건"/>
      <sheetName val="스파이더산출근거"/>
      <sheetName val="설계서"/>
      <sheetName val="구분자"/>
      <sheetName val="1.취수장"/>
      <sheetName val="총괄-1"/>
      <sheetName val="실행내역서 "/>
      <sheetName val="공사품旼ã"/>
      <sheetName val="5.장비(안)"/>
      <sheetName val="(참고)지급수수료"/>
      <sheetName val="한일양산"/>
      <sheetName val="산출"/>
      <sheetName val="C.배수관공"/>
      <sheetName val="콘크스"/>
      <sheetName val="HC-04"/>
      <sheetName val="개소별수량산출"/>
      <sheetName val="입찰품의서"/>
      <sheetName val="협력업체기성(첨부)"/>
      <sheetName val="잡비계산"/>
      <sheetName val="2012노임단가"/>
      <sheetName val="본댐설계"/>
      <sheetName val="SCHE"/>
      <sheetName val="설계총괄표"/>
      <sheetName val="Quantity"/>
      <sheetName val="신평리 권리자명부"/>
      <sheetName val="화산경계"/>
      <sheetName val="3.2주형지지보"/>
      <sheetName val="상수도내역서"/>
      <sheetName val="자동제어"/>
      <sheetName val="수주현황2월"/>
      <sheetName val="PIPE(UG)내역"/>
      <sheetName val="차수공개요"/>
      <sheetName val="품목납기"/>
      <sheetName val="현장청취복명서"/>
      <sheetName val="전산output"/>
      <sheetName val="표준내역"/>
      <sheetName val=" "/>
      <sheetName val="LOPCALC"/>
      <sheetName val="도면명"/>
      <sheetName val="평균터파기"/>
      <sheetName val="추정공사비_산출내역1.xlsx"/>
      <sheetName val="견적대비 견적서"/>
      <sheetName val="음봉방향"/>
      <sheetName val="건축집계"/>
      <sheetName val="BOQ"/>
      <sheetName val="1호-아(오)0.4"/>
      <sheetName val="Model"/>
      <sheetName val="CONSTRUCTION COMPONENT"/>
      <sheetName val="접속 SLAB,BRACKET 설계"/>
      <sheetName val="가정급수관"/>
      <sheetName val="EQ"/>
      <sheetName val="맨홀토공수량"/>
      <sheetName val="2000년하반기"/>
      <sheetName val="EP0618"/>
      <sheetName val="기초(중마오수)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화단 철거"/>
      <sheetName val="중기비"/>
      <sheetName val="CABLE SIZE-3"/>
      <sheetName val="수지예산"/>
      <sheetName val="예정(3)"/>
      <sheetName val="측구공"/>
      <sheetName val="입력값"/>
      <sheetName val="옥내아파트(전기)"/>
      <sheetName val="점수계산1-2"/>
      <sheetName val="Sheet16"/>
      <sheetName val="Sheet14"/>
      <sheetName val="부하"/>
      <sheetName val="Sheet13"/>
      <sheetName val="최적단면"/>
      <sheetName val="cable data1"/>
      <sheetName val="간접비계산"/>
      <sheetName val="wk prgs"/>
      <sheetName val="Berm"/>
      <sheetName val="2.2 S-Curve"/>
      <sheetName val="설계개요"/>
      <sheetName val="IMPEADENCE MAP 취수장"/>
      <sheetName val="AC포장수량"/>
      <sheetName val="기본DATA"/>
      <sheetName val="총수량집계표"/>
      <sheetName val="약품설비"/>
      <sheetName val="COPING-1"/>
      <sheetName val="역T형교대-2수량"/>
      <sheetName val="1-1"/>
      <sheetName val="일위대가_호표"/>
      <sheetName val="일위대가_호표 (계약)"/>
      <sheetName val="주beam"/>
      <sheetName val="2. 공원조도"/>
      <sheetName val="설직재_1"/>
      <sheetName val="업무"/>
      <sheetName val="견적1"/>
      <sheetName val="인부신상자료"/>
      <sheetName val="001"/>
      <sheetName val="2F 회의실견적(5_14 일대)"/>
      <sheetName val="총_구조물공"/>
      <sheetName val="(X)품셈집계"/>
      <sheetName val="대3류 "/>
      <sheetName val="부대시설"/>
      <sheetName val="설치조서"/>
      <sheetName val="배수공집계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제경비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견적갑지"/>
      <sheetName val="물량내역"/>
      <sheetName val="소요자재명세서"/>
      <sheetName val="0"/>
      <sheetName val="변수값"/>
      <sheetName val="단면A-A(TR)"/>
      <sheetName val="계획집계"/>
      <sheetName val="PILE"/>
      <sheetName val="점검총괄"/>
      <sheetName val="공사내역서"/>
      <sheetName val="스톱로그내역"/>
      <sheetName val="2006계약"/>
      <sheetName val="변경당시노임단가표"/>
      <sheetName val="작업 반복"/>
      <sheetName val="상세"/>
      <sheetName val="상하차비용(기계상차)"/>
      <sheetName val="수간보호"/>
      <sheetName val="운반비"/>
      <sheetName val="공종목록표"/>
      <sheetName val="부대집계"/>
      <sheetName val="100만평"/>
      <sheetName val="노임산출서"/>
      <sheetName val="돈암사업"/>
      <sheetName val="單價表단가표"/>
      <sheetName val="FAB消防报警"/>
      <sheetName val="工程量计算书"/>
      <sheetName val="FAB计算式"/>
      <sheetName val="내역단위"/>
      <sheetName val="코드명"/>
      <sheetName val="구조물단위표"/>
      <sheetName val="관포설품"/>
      <sheetName val="동원단위"/>
      <sheetName val="인수공규격"/>
      <sheetName val="구조물절단규격"/>
      <sheetName val="거리별운반단가"/>
      <sheetName val="현황판"/>
      <sheetName val="2_단면_x0000__x0000_"/>
      <sheetName val="상수구조화편집부표"/>
      <sheetName val="상부"/>
      <sheetName val="취수탑"/>
      <sheetName val="SANTOGO"/>
      <sheetName val="개비온집계"/>
      <sheetName val="개비온 단위"/>
      <sheetName val="제잡비계산"/>
      <sheetName val="토공 total"/>
      <sheetName val="적용단가표"/>
      <sheetName val="설계서(7)"/>
      <sheetName val="설계공통자료입력"/>
      <sheetName val="품셈표"/>
      <sheetName val="공사개별자료입력"/>
      <sheetName val="공사비예산서"/>
      <sheetName val="참고"/>
      <sheetName val="SLAB"/>
      <sheetName val="배수공 내역서 적용수량"/>
      <sheetName val="일위집계"/>
      <sheetName val="(당氐⿾_x0000__x0000_"/>
      <sheetName val="(당_x0000__x0000__x0005__x0000_"/>
      <sheetName val="주소"/>
      <sheetName val="1.설계기준 "/>
      <sheetName val="재료값"/>
      <sheetName val="일용직내역"/>
      <sheetName val="맨홀공수량집계"/>
      <sheetName val="1호맨홀수량집계"/>
      <sheetName val="2호맨홀수량집계"/>
      <sheetName val="3호맨홀수량집계"/>
      <sheetName val="맨홀뚜껑단위수량"/>
      <sheetName val="일 위 대 가 표"/>
      <sheetName val="1,2공구원가계산서"/>
      <sheetName val="1공구산출내역서"/>
      <sheetName val="경비2내역"/>
      <sheetName val="설계예산서(2_소천우회토목)"/>
      <sheetName val="광장"/>
      <sheetName val="3_공통공사_x0000_庘"/>
      <sheetName val="3_공통공사_x0000_隒"/>
      <sheetName val="퇴직금(울산천상)"/>
      <sheetName val="Project Brief"/>
      <sheetName val="자재단가비교표"/>
      <sheetName val="C1.공사개요"/>
      <sheetName val="A1.스케쥴"/>
      <sheetName val="의뢰서"/>
      <sheetName val="5.2.6~7공사요율"/>
      <sheetName val="국소별공정"/>
      <sheetName val="1SPAN"/>
      <sheetName val="당진1,2호기전선관설치및접지4차공사내역서-을지"/>
      <sheetName val="내역서 (변경단가)"/>
      <sheetName val="토공유동표"/>
      <sheetName val="마포토정"/>
      <sheetName val="98지급계획"/>
      <sheetName val="제수변수량"/>
      <sheetName val="15)VE제안서(유형1)"/>
      <sheetName val="12)아이디어 목록 및 개략평가"/>
      <sheetName val="11)VE 예비검토서"/>
      <sheetName val="15-3)VE제안서(가치향상 등)"/>
      <sheetName val="연속벽¼_x0000_"/>
      <sheetName val="이름표"/>
      <sheetName val="조_x0000__x0000__x0005_"/>
      <sheetName val="13후반노무비"/>
      <sheetName val="1袼ࣉ"/>
      <sheetName val="흥양2교토공집계표"/>
      <sheetName val="101동"/>
      <sheetName val="BOX수량"/>
      <sheetName val="RAMP 단면(R2)"/>
      <sheetName val="신고조서"/>
      <sheetName val="96정변2"/>
      <sheetName val="차수"/>
      <sheetName val="공사비총괄표"/>
      <sheetName val="항목등록"/>
      <sheetName val="102역사"/>
      <sheetName val="목차 "/>
      <sheetName val="직접공사비"/>
      <sheetName val="0506생활권구적"/>
      <sheetName val="간접1"/>
      <sheetName val="공정코드"/>
      <sheetName val="우수내용"/>
      <sheetName val="기성내역"/>
      <sheetName val="공통가설공사"/>
      <sheetName val="재료집계표"/>
      <sheetName val="각종양식"/>
      <sheetName val="암거단위"/>
      <sheetName val="오동"/>
      <sheetName val="대조"/>
      <sheetName val="나한"/>
      <sheetName val="월말"/>
      <sheetName val="업무분장"/>
      <sheetName val="발주내역"/>
      <sheetName val="토목내역서 (도급단가)"/>
      <sheetName val="예산M11A"/>
      <sheetName val="내역_ver1.0"/>
      <sheetName val="세골재  T2 변경 현황"/>
      <sheetName val="0.단가"/>
      <sheetName val="중기"/>
      <sheetName val="CIVIL4"/>
      <sheetName val="내역서중"/>
      <sheetName val="PSCbeam설계"/>
      <sheetName val="4. 주형설계"/>
      <sheetName val="바닥판의 설계"/>
      <sheetName val="2.단면가정"/>
      <sheetName val="수우미양가(Vlookup)"/>
      <sheetName val="세부내역서(전기)"/>
      <sheetName val="소보"/>
      <sheetName val="포장면적집계"/>
      <sheetName val="RFP002"/>
      <sheetName val="Rooms"/>
      <sheetName val="Chiet tinh dz35"/>
      <sheetName val="TABLE DB"/>
      <sheetName val="쌍용 data base"/>
      <sheetName val="CTG"/>
      <sheetName val="구조물공위치조서"/>
      <sheetName val="TYPE1"/>
      <sheetName val="LKVL-CK-HT-GD1"/>
      <sheetName val="TONGKE-HT"/>
      <sheetName val="장비사양"/>
      <sheetName val="Tables"/>
      <sheetName val="현장별계약현황('98.10.31)"/>
      <sheetName val="배수내역 (2)"/>
      <sheetName val="편입용지조서"/>
      <sheetName val="pvc연결관"/>
      <sheetName val="계약ITEM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Thuc thanh"/>
      <sheetName val="264"/>
      <sheetName val="침하계"/>
      <sheetName val="2_2_S-Curve"/>
      <sheetName val="DI-ESTI"/>
      <sheetName val="일위대가표(유단가)"/>
      <sheetName val="Civil. Sub-Station 1"/>
      <sheetName val="Coax Designer"/>
      <sheetName val="tong du toan"/>
      <sheetName val="DAF-2"/>
      <sheetName val="MAIN GATE HOUSE"/>
      <sheetName val="Rebar"/>
      <sheetName val="Bảng mã VT"/>
      <sheetName val="S0"/>
      <sheetName val="단지조성공(가포)"/>
      <sheetName val="도"/>
      <sheetName val="항목"/>
      <sheetName val="DNW"/>
      <sheetName val="아스콘단위"/>
      <sheetName val="汇总表"/>
      <sheetName val="정읍농소"/>
      <sheetName val="Contents"/>
      <sheetName val="개방1"/>
      <sheetName val="N10(미지급) "/>
      <sheetName val="(평균)"/>
      <sheetName val="노무비 근거"/>
      <sheetName val="수량집"/>
      <sheetName val="MAIN"/>
      <sheetName val="개인"/>
      <sheetName val="도수로수량산출"/>
      <sheetName val="ATM기초철가"/>
      <sheetName val="지장물_data"/>
      <sheetName val="공사착공계"/>
      <sheetName val=" 총괄표"/>
      <sheetName val="기본1"/>
      <sheetName val="수정일위대가"/>
      <sheetName val="입력변수"/>
      <sheetName val="집계표(OPTION)"/>
      <sheetName val="기흥하도용"/>
      <sheetName val="가격조사서"/>
      <sheetName val="암거"/>
      <sheetName val="표준차도부연장집계-ASP"/>
      <sheetName val="조경일람"/>
      <sheetName val="일위(수원)"/>
      <sheetName val="전체제잡비"/>
      <sheetName val="종배수관면벽구"/>
      <sheetName val="종배수관위치조서"/>
      <sheetName val="1련박스"/>
      <sheetName val="대부예산서"/>
      <sheetName val="배수장토목공사비"/>
      <sheetName val="암거 제원표-1단계"/>
      <sheetName val="분뇨"/>
      <sheetName val="상-교대(A1-A2)"/>
      <sheetName val="집기손료"/>
      <sheetName val="암거 제원표"/>
      <sheetName val="WING3"/>
      <sheetName val="수요개발과판매량"/>
      <sheetName val="지질조사"/>
      <sheetName val="소도3교"/>
      <sheetName val="연돌일위집계"/>
      <sheetName val="교량"/>
      <sheetName val="문학간접"/>
      <sheetName val="보증수수료산출"/>
      <sheetName val="건축기계설비표선정수장"/>
      <sheetName val="지점별강우량"/>
      <sheetName val="절대지우지말것"/>
      <sheetName val="보도단위"/>
      <sheetName val="건축-물가변동"/>
      <sheetName val="간지1"/>
      <sheetName val="1.사유서"/>
      <sheetName val="간지2"/>
      <sheetName val="간지3"/>
      <sheetName val="부재별집계표"/>
      <sheetName val="도면"/>
      <sheetName val="인건-측정"/>
      <sheetName val="상촌2교-일반수량집계"/>
      <sheetName val="고상실행"/>
      <sheetName val="분전반계산서(석관)"/>
      <sheetName val="시멘,골재"/>
      <sheetName val="콘크집계"/>
      <sheetName val="낙차공"/>
      <sheetName val="자재집계1"/>
      <sheetName val="측구날개벽"/>
      <sheetName val="sum1 (2)"/>
      <sheetName val="도급양식"/>
      <sheetName val="U형개거"/>
      <sheetName val="포장절단"/>
      <sheetName val="90.0_x0000_"/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매출현황"/>
      <sheetName val="입력정보"/>
      <sheetName val="백호우계수"/>
      <sheetName val="직접시공계획서"/>
      <sheetName val="공사기본자료"/>
      <sheetName val="전체공내역서"/>
      <sheetName val="노무비지급명세"/>
      <sheetName val="기성내역서"/>
      <sheetName val="시설물일위"/>
      <sheetName val="BEND LOSS"/>
      <sheetName val="자재집게표 "/>
      <sheetName val="공정율"/>
      <sheetName val="단가(마감)"/>
      <sheetName val="입력데이타"/>
      <sheetName val="5월급여"/>
      <sheetName val="90_03실행_"/>
      <sheetName val="흙막이_개산견적"/>
      <sheetName val="A_견적"/>
      <sheetName val="코스모공장_(어음)"/>
      <sheetName val="1_3_1절점좌표"/>
      <sheetName val="1_1설계기준"/>
      <sheetName val="97년_추정"/>
      <sheetName val="자재_집계표"/>
      <sheetName val="원가계산서_"/>
      <sheetName val="일위대가_"/>
      <sheetName val="입출재고현황_(2)"/>
      <sheetName val="수배전반"/>
      <sheetName val="공종구간"/>
      <sheetName val=" 갑  지 "/>
      <sheetName val="정산"/>
      <sheetName val="수자재단위당"/>
      <sheetName val="본장"/>
      <sheetName val="지지력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건공요율"/>
      <sheetName val="5"/>
      <sheetName val="Constant"/>
      <sheetName val="명단"/>
      <sheetName val="Code03"/>
      <sheetName val="공구원가계산"/>
      <sheetName val="공문"/>
      <sheetName val="10"/>
      <sheetName val="11"/>
      <sheetName val="12"/>
      <sheetName val="13"/>
      <sheetName val="14"/>
      <sheetName val="16"/>
      <sheetName val="7"/>
      <sheetName val="8"/>
      <sheetName val="9"/>
      <sheetName val="투자비"/>
      <sheetName val="사업비"/>
      <sheetName val="조성원가DATA"/>
      <sheetName val="중사"/>
      <sheetName val="말뚝물량"/>
      <sheetName val="수목데이타"/>
      <sheetName val="A"/>
      <sheetName val="산출근거#2-3"/>
      <sheetName val="기단"/>
      <sheetName val="포장(수량)-관로부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봉양~조차장간고하개명(신설)"/>
      <sheetName val="청구내역(9807)"/>
      <sheetName val="노원열병합  건축공사기성내역서"/>
      <sheetName val="유동표(변경)"/>
      <sheetName val="가설건물"/>
      <sheetName val="공통(20-91)"/>
      <sheetName val="공용시설내역"/>
      <sheetName val="변경실행(2차) "/>
      <sheetName val="L-type"/>
      <sheetName val="비교표"/>
      <sheetName val="부하(성남)"/>
      <sheetName val="외천교"/>
      <sheetName val="Sheet17"/>
      <sheetName val="자재수량"/>
      <sheetName val="간접비"/>
      <sheetName val="Macro(AT)"/>
      <sheetName val="동력부하(도산)"/>
      <sheetName val="MACRO(MCC)"/>
      <sheetName val="토공A"/>
      <sheetName val="5. 차단기 용량계산"/>
      <sheetName val="BLOCK(1)"/>
      <sheetName val="CA지입"/>
      <sheetName val="관리사무소"/>
      <sheetName val="다이꾸"/>
      <sheetName val="cost"/>
      <sheetName val="품의서"/>
      <sheetName val="FEXS"/>
      <sheetName val="7.1유효폭"/>
      <sheetName val="TRE TABLE"/>
      <sheetName val="기계실"/>
      <sheetName val="입고장부 (4)"/>
      <sheetName val="EJ"/>
      <sheetName val="W-현원가"/>
      <sheetName val="조명율데이타"/>
      <sheetName val="도담구내 개소별 명세"/>
      <sheetName val="매크로"/>
      <sheetName val="외주가공"/>
      <sheetName val="대구실행"/>
      <sheetName val="현장지지물물량"/>
      <sheetName val="현장관리비내역서"/>
      <sheetName val="예산서"/>
      <sheetName val="c_balju"/>
      <sheetName val="J"/>
      <sheetName val="협조전"/>
      <sheetName val="지진시"/>
      <sheetName val="맨홀수량집계"/>
      <sheetName val="MBR9"/>
      <sheetName val="4)유동표"/>
      <sheetName val="I.설계조건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배수관공"/>
      <sheetName val="Cost bd-&quot;A&quot;"/>
      <sheetName val="조도계산서 (도서)"/>
      <sheetName val="L_RPTA05_목록"/>
      <sheetName val="IMP(MAIN)"/>
      <sheetName val="IMP (REACTOR)"/>
      <sheetName val="TABLE"/>
      <sheetName val="BQ"/>
      <sheetName val="환률"/>
      <sheetName val="RAHMEN"/>
      <sheetName val="Languages"/>
      <sheetName val="명단원자료(이전)"/>
      <sheetName val="옹벽기초자료"/>
      <sheetName val="경상비"/>
      <sheetName val="산거각호표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설산1.나"/>
      <sheetName val="본사S"/>
      <sheetName val="96작생능"/>
      <sheetName val="접속도로1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TYPE-1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DA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하중계산"/>
      <sheetName val="비대칭계수"/>
      <sheetName val="전동기 SPEC"/>
      <sheetName val="일반맨홀수량집계(A-7 LINE)"/>
      <sheetName val="I_설계조건"/>
      <sheetName val="변경실행(2차)_"/>
      <sheetName val="토공계산서(부체도로)"/>
      <sheetName val="토공산출(주차장)"/>
      <sheetName val="현장관리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LEGEND"/>
      <sheetName val="PROJECT COST ESTIMATE (cont)"/>
      <sheetName val="할증 "/>
      <sheetName val="일위대가(원본)"/>
      <sheetName val="집행(2-1)"/>
      <sheetName val="LG제품"/>
      <sheetName val="환율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내역서"/>
      <sheetName val="견적접수"/>
      <sheetName val="오산갈곳"/>
      <sheetName val="#230,#235"/>
      <sheetName val="5공철탑검토표"/>
      <sheetName val="4공철탑검토"/>
      <sheetName val="설계내역(2001)"/>
      <sheetName val="5.정산서"/>
      <sheetName val="아파트 "/>
      <sheetName val="잡비"/>
      <sheetName val="전기일위목록"/>
      <sheetName val="SE-611"/>
      <sheetName val="1을"/>
      <sheetName val="장비당단가 (1)"/>
      <sheetName val="선로정수계산"/>
      <sheetName val="관세,통관수수료,운반비"/>
      <sheetName val="동원(3)"/>
      <sheetName val="경영혁신본부"/>
      <sheetName val="nomi "/>
      <sheetName val="현장"/>
      <sheetName val="3-1.CB"/>
      <sheetName val="MCC제원"/>
      <sheetName val="SUM (INQNO."/>
      <sheetName val="99.6"/>
      <sheetName val="자료(통합)"/>
      <sheetName val="대상공사(조달청)"/>
      <sheetName val="가시설단위수량"/>
      <sheetName val="토목변경"/>
      <sheetName val="집수정단"/>
      <sheetName val="총계"/>
      <sheetName val="FD"/>
      <sheetName val="99관저"/>
      <sheetName val="FB25JN"/>
      <sheetName val="NAI"/>
      <sheetName val="관람석제출"/>
      <sheetName val="노무"/>
      <sheetName val="시설C"/>
      <sheetName val="사진"/>
      <sheetName val="조직표"/>
      <sheetName val="2.내역서"/>
      <sheetName val="BOX 본체"/>
      <sheetName val="6.교좌면보강"/>
      <sheetName val="수로집계"/>
      <sheetName val="1차증가원가계산"/>
      <sheetName val="STORAGE"/>
      <sheetName val="TYPE-U800"/>
      <sheetName val="구동"/>
      <sheetName val="안정검토(온1)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간접경상비"/>
      <sheetName val="전기설계변경"/>
      <sheetName val="참조(2)"/>
      <sheetName val="BR.1(원)"/>
      <sheetName val="농로수량집계"/>
      <sheetName val="농로토공집계"/>
      <sheetName val="예산서(6)"/>
      <sheetName val="COMPRESSOR"/>
      <sheetName val="WIND-EQ"/>
      <sheetName val="견적업체"/>
      <sheetName val="AS복구"/>
      <sheetName val="중기터파기"/>
      <sheetName val="중기상차"/>
      <sheetName val="수문일1"/>
      <sheetName val="02 SLAB"/>
      <sheetName val="05 BOX"/>
      <sheetName val="---FAB#1업무일지---"/>
      <sheetName val="빙축열"/>
      <sheetName val="화재 탐지 설비"/>
      <sheetName val="영업소실적"/>
      <sheetName val="06_공정표"/>
      <sheetName val="D-3503"/>
      <sheetName val="물량산출근거"/>
      <sheetName val="FACTOR"/>
      <sheetName val="GRDBS"/>
      <sheetName val="EQT-ESTN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적정심사"/>
      <sheetName val="4b Consolidated PL"/>
      <sheetName val="Proposal"/>
      <sheetName val="변수2"/>
      <sheetName val="저항"/>
      <sheetName val="Oper Amount"/>
      <sheetName val="DATA(BAC)"/>
      <sheetName val="주형지지보"/>
      <sheetName val="Data&amp;Result"/>
      <sheetName val="현황CODE"/>
      <sheetName val="손익현황"/>
      <sheetName val="PLAN_FEB97"/>
      <sheetName val="LAB"/>
      <sheetName val="노원열병합__건축공사기성내역서1"/>
      <sheetName val="전차선로_물량표1"/>
      <sheetName val="배수공_주요자재_집계표1"/>
      <sheetName val="조도계산서_(도서)"/>
      <sheetName val="입고장부_(4)"/>
      <sheetName val="IMP_(REACTOR)"/>
      <sheetName val="7_1유효폭"/>
      <sheetName val="5__차단기_용량계산"/>
      <sheetName val="도담구내_개소별_명세"/>
      <sheetName val="가로등제어반_설치공사(수량)"/>
      <sheetName val="E_P_T수량산출서"/>
      <sheetName val="단가표_"/>
      <sheetName val="3-1_CB"/>
      <sheetName val="설산1_나"/>
      <sheetName val="2F_회의실견적(5_14_일대)"/>
      <sheetName val="CHITIET_VL-NC-TT_-1p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Macro(전동기)"/>
      <sheetName val="횡배수관단위수량"/>
      <sheetName val="L형옹벽(key)"/>
      <sheetName val="가시설(TYPE-A)"/>
      <sheetName val="샘플표지"/>
      <sheetName val="총공사집계"/>
      <sheetName val="대가집계(1)"/>
      <sheetName val="대가집계"/>
      <sheetName val="집계(1)"/>
      <sheetName val="단가산출(1)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예산M12A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coll#"/>
      <sheetName val="CC Down load 0716"/>
      <sheetName val="경상비내역"/>
      <sheetName val="총요약서"/>
      <sheetName val="저"/>
      <sheetName val="일반관리비"/>
      <sheetName val="B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건축원가계산서"/>
      <sheetName val="중간부"/>
      <sheetName val="우배수"/>
      <sheetName val="Elec LG"/>
      <sheetName val="TOYO"/>
      <sheetName val="D_MUC"/>
      <sheetName val="Cst Pkg-Eden"/>
      <sheetName val="교대"/>
      <sheetName val="사업량총괄"/>
      <sheetName val="공사설계서"/>
      <sheetName val="입력그림"/>
      <sheetName val="01후반노무비"/>
      <sheetName val="Ⅶ-2.현장경비산출"/>
      <sheetName val="조선용암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시트"/>
      <sheetName val="Module3"/>
      <sheetName val="Module1"/>
      <sheetName val="박스만들기"/>
      <sheetName val="자재추출"/>
      <sheetName val="자재리스트"/>
      <sheetName val="대-건-일"/>
      <sheetName val="Sheet1"/>
      <sheetName val="대건일"/>
      <sheetName val="DATA"/>
      <sheetName val="내역"/>
      <sheetName val="대치판정"/>
      <sheetName val="C3"/>
      <sheetName val="보할공정"/>
      <sheetName val="Sheet5"/>
      <sheetName val="기계경비"/>
      <sheetName val="내역서(total)"/>
      <sheetName val="신공"/>
      <sheetName val="갑지"/>
      <sheetName val="원가서"/>
      <sheetName val="직접비"/>
      <sheetName val="공사개요"/>
      <sheetName val="실행철강하도"/>
      <sheetName val="개산공사비"/>
      <sheetName val="내역서"/>
      <sheetName val="설계내역서"/>
      <sheetName val="차액보증"/>
      <sheetName val="실행내역서 "/>
      <sheetName val="실행"/>
      <sheetName val="배수관공"/>
      <sheetName val="배수공"/>
      <sheetName val="암거"/>
      <sheetName val="포장공"/>
      <sheetName val="보집계표"/>
      <sheetName val="1차3회-개소별명세서-빨간색-인쇄용(21873)"/>
      <sheetName val="일위대가(1)"/>
      <sheetName val="Total"/>
      <sheetName val="남양내역"/>
      <sheetName val="집계표"/>
      <sheetName val="사업장공제"/>
      <sheetName val="정부노임단가"/>
      <sheetName val="s.v"/>
      <sheetName val="위치"/>
      <sheetName val="연장및면적(좌측)"/>
      <sheetName val="갑지(추정)"/>
      <sheetName val="XL4Poppy"/>
      <sheetName val="공사비"/>
      <sheetName val="설계명세"/>
      <sheetName val="도근좌표"/>
      <sheetName val="공내역"/>
      <sheetName val="현장지지물물량"/>
      <sheetName val="도급b_balju"/>
      <sheetName val="기계내역"/>
      <sheetName val="#REF"/>
      <sheetName val="SG"/>
      <sheetName val="b_balju"/>
      <sheetName val="실행내역서_"/>
      <sheetName val="조명시설"/>
      <sheetName val="건축"/>
      <sheetName val="일위대가(가설)"/>
      <sheetName val="단조-노임"/>
      <sheetName val="토공산근"/>
      <sheetName val="일위대가표"/>
      <sheetName val="파이프류"/>
      <sheetName val="단가"/>
      <sheetName val="G.R300경비"/>
      <sheetName val="기계경비(시간당)"/>
      <sheetName val="견적조건"/>
      <sheetName val="덕전리"/>
      <sheetName val="투찰"/>
      <sheetName val="BID"/>
      <sheetName val="설비"/>
      <sheetName val="토목"/>
      <sheetName val="금액내역서"/>
      <sheetName val="집계"/>
      <sheetName val="일위목록"/>
      <sheetName val="방음벽기초"/>
      <sheetName val="DATE"/>
      <sheetName val="자재비"/>
      <sheetName val="주안3차A-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원재"/>
      <sheetName val="원재출고"/>
      <sheetName val="ITEM별"/>
      <sheetName val="부재예실"/>
      <sheetName val="기성내역"/>
      <sheetName val="내역서"/>
      <sheetName val="2000년1차"/>
      <sheetName val="건축2"/>
      <sheetName val="사유서제출현황-2"/>
      <sheetName val="기초자료"/>
      <sheetName val="토목"/>
      <sheetName val="설계내역서"/>
      <sheetName val="당진1,2호기전선관설치및접지4차공사내역서-을지"/>
      <sheetName val="6월 출고 일일보고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주거용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서"/>
      <sheetName val="공정집계"/>
      <sheetName val="입찰안"/>
      <sheetName val="조명시설"/>
      <sheetName val="조명일위"/>
      <sheetName val="제품원재"/>
      <sheetName val="조명율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  <sheetName val="토목"/>
      <sheetName val="설명서 "/>
      <sheetName val="guard(mac)"/>
      <sheetName val="골재산출"/>
      <sheetName val="산출근거"/>
      <sheetName val="공동구수량"/>
      <sheetName val="우수받이"/>
      <sheetName val="DATA"/>
      <sheetName val="내역"/>
      <sheetName val="철근량"/>
      <sheetName val="우수내용"/>
      <sheetName val="흥양2교토공집계표"/>
      <sheetName val="#REF"/>
      <sheetName val="집계표"/>
      <sheetName val="각종양식"/>
      <sheetName val="암거단위"/>
      <sheetName val="오동"/>
      <sheetName val="대조"/>
      <sheetName val="나한"/>
      <sheetName val="차수공개요"/>
      <sheetName val="말뚝지지력산정"/>
      <sheetName val="입찰안"/>
      <sheetName val="분석"/>
      <sheetName val="상시"/>
      <sheetName val="신고조서"/>
      <sheetName val="바닥판"/>
      <sheetName val="입력DATA"/>
      <sheetName val="재료"/>
      <sheetName val="일위대가표"/>
      <sheetName val="96정변2"/>
      <sheetName val="식생블럭단위수량"/>
      <sheetName val="적용토목"/>
      <sheetName val="당초"/>
      <sheetName val="표지"/>
      <sheetName val="Sheet1"/>
      <sheetName val="일위대가1"/>
      <sheetName val="지장물C"/>
      <sheetName val="6PILE  (돌출)"/>
      <sheetName val="BOX수량"/>
      <sheetName val="토공(우물통,기타) "/>
      <sheetName val="총수량집계표"/>
      <sheetName val="찍기"/>
      <sheetName val="상수도토공집계표"/>
      <sheetName val="Y-WORK"/>
      <sheetName val="추가예산"/>
      <sheetName val="BID"/>
      <sheetName val="수량산출"/>
      <sheetName val="날개벽수량표"/>
      <sheetName val="견적서"/>
      <sheetName val="TYPE-A"/>
      <sheetName val="총괄표"/>
      <sheetName val="주beam"/>
      <sheetName val="교각1"/>
      <sheetName val="일위대가목차"/>
      <sheetName val="인명부"/>
      <sheetName val="물량표"/>
      <sheetName val="PIPING"/>
      <sheetName val="#3_일위대가목록"/>
      <sheetName val="#2_일위대가목록"/>
      <sheetName val="공사비총괄표"/>
      <sheetName val="실행"/>
      <sheetName val="간접1"/>
      <sheetName val="노임"/>
      <sheetName val="노임단가"/>
      <sheetName val="직접공사비"/>
      <sheetName val="2000년1차"/>
      <sheetName val="2000전체분"/>
      <sheetName val="0506생활권구적"/>
      <sheetName val="공정코드"/>
      <sheetName val="3BL공동구 수량"/>
      <sheetName val="총괄내역"/>
      <sheetName val="날개벽"/>
      <sheetName val="터파기및재료"/>
      <sheetName val="대로근거"/>
      <sheetName val="부대내역"/>
      <sheetName val="내역서1999.8최종"/>
      <sheetName val="조명율표"/>
      <sheetName val="중로근거"/>
      <sheetName val="내역서"/>
      <sheetName val="입력란"/>
      <sheetName val="97노임단가"/>
      <sheetName val="코드"/>
      <sheetName val="산근"/>
      <sheetName val="I一般比"/>
      <sheetName val="해평견적"/>
      <sheetName val="발주내역"/>
      <sheetName val="102역사"/>
      <sheetName val="공통가설공사"/>
      <sheetName val="갑지"/>
      <sheetName val="차수"/>
      <sheetName val="공사비산출내역"/>
      <sheetName val="기성내역"/>
      <sheetName val="MAIN"/>
      <sheetName val="실행철강하도"/>
      <sheetName val="재료비"/>
      <sheetName val="기계경비(시간당)"/>
      <sheetName val="램머"/>
      <sheetName val="뚝토공"/>
      <sheetName val="목차 "/>
      <sheetName val="97년 추정"/>
      <sheetName val="도로경계단위"/>
      <sheetName val="원형1호맨홀토공수량"/>
      <sheetName val="INPUT"/>
      <sheetName val="일위대가9803"/>
      <sheetName val="월말"/>
      <sheetName val="4.2유효폭의 계산"/>
      <sheetName val="수량집"/>
      <sheetName val="포장물량집계"/>
      <sheetName val="설직재-1"/>
      <sheetName val="예산M11A"/>
      <sheetName val="COPING"/>
      <sheetName val="단가표"/>
      <sheetName val="지중자재단가"/>
      <sheetName val="내역서중"/>
      <sheetName val="자재단가비교표"/>
      <sheetName val="DATE"/>
      <sheetName val="약품공급2"/>
      <sheetName val="자료입력"/>
      <sheetName val="H-PILE수량집계"/>
      <sheetName val="재료집계표"/>
      <sheetName val="총괄내역서"/>
      <sheetName val="신천3호용수로"/>
      <sheetName val="품셈TABLE"/>
      <sheetName val="세부내역서(전기)"/>
      <sheetName val="단가산출"/>
      <sheetName val="차압계산"/>
      <sheetName val="항목등록"/>
      <sheetName val="금액내역서"/>
      <sheetName val="4. 주형설계"/>
      <sheetName val="1,2공구원가계산서"/>
      <sheetName val="2공구산출내역"/>
      <sheetName val="1공구산출내역서"/>
      <sheetName val="대창(함평)"/>
      <sheetName val="대창(장성)"/>
      <sheetName val="대창(함평)-창열"/>
      <sheetName val="암거 제원표"/>
      <sheetName val="WING3"/>
      <sheetName val="산출내역서"/>
      <sheetName val="99총공사내역서"/>
      <sheetName val="원가"/>
      <sheetName val="세부내역"/>
      <sheetName val="증감내역서"/>
      <sheetName val="노무비"/>
      <sheetName val="단양 00 아파트-세부내역"/>
      <sheetName val="일위대가목록"/>
      <sheetName val="지급자재"/>
      <sheetName val="CTEMCOST"/>
      <sheetName val="RAMP 단면(R2)"/>
      <sheetName val="업무분장"/>
      <sheetName val="단가조사서"/>
      <sheetName val="토목내역서 (도급단가)"/>
      <sheetName val="중기"/>
      <sheetName val="NYS"/>
      <sheetName val="대림경상68억"/>
      <sheetName val="총괄"/>
      <sheetName val="시중노임단가"/>
      <sheetName val="준검 내역서"/>
      <sheetName val="초기화면"/>
      <sheetName val="역T형교대(말뚝기초)"/>
      <sheetName val="세골재  T2 변경 현황"/>
      <sheetName val="0.단가"/>
      <sheetName val="단면 (2)"/>
      <sheetName val="내역서 제출"/>
      <sheetName val="대부예산서"/>
      <sheetName val="CODE"/>
      <sheetName val="기초공"/>
      <sheetName val="MOTOR"/>
      <sheetName val="기둥(원형)"/>
      <sheetName val="참조"/>
      <sheetName val="유림골조"/>
      <sheetName val="2.단면가정"/>
      <sheetName val="교각계산"/>
      <sheetName val="소도3교"/>
      <sheetName val="내역_ver1.0"/>
      <sheetName val="물가자료"/>
      <sheetName val="접지수량"/>
      <sheetName val="CAT_5"/>
      <sheetName val="CIVIL4"/>
      <sheetName val="101동"/>
      <sheetName val="골조"/>
      <sheetName val="실행대비"/>
      <sheetName val="실행간접비용"/>
      <sheetName val="제잡비"/>
      <sheetName val="수량산출서"/>
      <sheetName val="8.석축단위(H=1.5M)"/>
      <sheetName val="대비"/>
      <sheetName val="2000용수잠관-수량집계"/>
      <sheetName val="토사(PE)"/>
      <sheetName val="PSCbeam설계"/>
      <sheetName val="노임이"/>
      <sheetName val="단가 및 재료비"/>
      <sheetName val="중기사용료산출근거"/>
      <sheetName val="빗물받이(910-510-410)"/>
      <sheetName val="표준차도부연장집계-ASP"/>
      <sheetName val="계수시트"/>
      <sheetName val="단가일람"/>
      <sheetName val="조경일람"/>
      <sheetName val="지질조사"/>
      <sheetName val="토공 total"/>
      <sheetName val="원형맨홀수량"/>
      <sheetName val="우수공"/>
      <sheetName val="C.배수관공"/>
      <sheetName val="기초자료"/>
      <sheetName val="양식3"/>
      <sheetName val="연돌일위집계"/>
      <sheetName val="수안보-MBR1"/>
      <sheetName val="실행내역"/>
      <sheetName val="단가"/>
      <sheetName val="일위(수원)"/>
      <sheetName val="덕전리"/>
      <sheetName val="소요자재명세서"/>
      <sheetName val="노무비명세서"/>
      <sheetName val="직노"/>
      <sheetName val="1호맨홀토공"/>
      <sheetName val="수우미양가(Vlookup)"/>
      <sheetName val="노무비 근거"/>
      <sheetName val="코드표"/>
      <sheetName val="역T형(H=6.0) (2)"/>
      <sheetName val="인수공규격"/>
      <sheetName val="건축내역"/>
      <sheetName val="간지"/>
      <sheetName val="MAIN_TABLE"/>
      <sheetName val="200"/>
      <sheetName val="차액보증"/>
      <sheetName val="견적990322"/>
      <sheetName val="지장물_data"/>
      <sheetName val="공사착공계"/>
      <sheetName val="배수내역"/>
      <sheetName val="ATM기초철가"/>
      <sheetName val="Sheet2"/>
      <sheetName val="맨홀수량"/>
      <sheetName val=" 총괄표"/>
      <sheetName val="표  지"/>
      <sheetName val="내역서적용수량"/>
      <sheetName val="3련 BOX"/>
      <sheetName val="CC16-내역서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crude.SLAB RE-bar"/>
      <sheetName val="CRUDE RE-bar"/>
      <sheetName val="입력변수"/>
      <sheetName val="집계표(OPTION)"/>
      <sheetName val="보차도경계석"/>
      <sheetName val="견적단가"/>
      <sheetName val="용수량(생활용수)"/>
      <sheetName val="금융비용"/>
      <sheetName val="단가비교표_공통1"/>
      <sheetName val="제경비"/>
      <sheetName val="H-pile(298x299)"/>
      <sheetName val="H-pile(250x250)"/>
      <sheetName val="Customer Databas"/>
      <sheetName val="개인"/>
      <sheetName val="도수로수량산출"/>
      <sheetName val="장비집계"/>
      <sheetName val="단면가정"/>
      <sheetName val="WORK"/>
      <sheetName val="바닥판의 설계"/>
      <sheetName val="전체제잡비"/>
      <sheetName val="미드수량"/>
      <sheetName val="기흥하도용"/>
      <sheetName val="당진1,2호기전선관설치및접지4차공사내역서-을지"/>
      <sheetName val="가격조사서"/>
      <sheetName val="배수공"/>
      <sheetName val="암거"/>
      <sheetName val="포장공"/>
      <sheetName val="Sheet5"/>
      <sheetName val="을지"/>
      <sheetName val="제직재"/>
      <sheetName val="종배수관면벽구"/>
      <sheetName val="종배수관위치조서"/>
      <sheetName val="N賃率-職"/>
      <sheetName val="INPUT(덕도방향-시점)"/>
      <sheetName val="ABUT수량-A1"/>
      <sheetName val="3.하중산정4.지지력"/>
      <sheetName val="1련박스"/>
      <sheetName val="참고사항"/>
      <sheetName val="집기손료"/>
      <sheetName val="요율"/>
      <sheetName val="날개벽(시점좌측)"/>
      <sheetName val="을"/>
      <sheetName val="수요개발과판매량"/>
      <sheetName val="배수장토목공사비"/>
      <sheetName val="중기근거"/>
      <sheetName val="본체"/>
      <sheetName val="보도단위"/>
      <sheetName val="일위-1"/>
      <sheetName val="단위중량"/>
      <sheetName val="소보"/>
      <sheetName val="포장면적집계"/>
      <sheetName val="출력X"/>
      <sheetName val="설계조건"/>
      <sheetName val="안정계산"/>
      <sheetName val="단면검토"/>
      <sheetName val="마산월령동골조물량변경"/>
      <sheetName val="총괄-1"/>
      <sheetName val="암거 제원표-1단계"/>
      <sheetName val="분뇨"/>
      <sheetName val="건축-물가변동"/>
      <sheetName val="전기"/>
      <sheetName val="율촌법률사무소2내역"/>
      <sheetName val="문학간접"/>
      <sheetName val="간접"/>
      <sheetName val="보증수수료산출"/>
      <sheetName val="Macro1"/>
      <sheetName val="자료"/>
      <sheetName val="시행후면적"/>
      <sheetName val="상-교대(A1-A2)"/>
      <sheetName val="교량"/>
      <sheetName val="수량3"/>
      <sheetName val="VE절감"/>
      <sheetName val="자재단가"/>
      <sheetName val="건축공사"/>
      <sheetName val="JUCKEYK"/>
      <sheetName val="구조물터파기수량집계"/>
      <sheetName val="전체"/>
      <sheetName val="특별땅고르기"/>
      <sheetName val="교수설계"/>
      <sheetName val="woo(mac)"/>
      <sheetName val="설치조서"/>
      <sheetName val="Sheet3"/>
      <sheetName val="배수공집계표"/>
      <sheetName val="예정공정표"/>
      <sheetName val="여과지동"/>
      <sheetName val="연결관수량 (2)"/>
      <sheetName val="사다리"/>
      <sheetName val="철집"/>
      <sheetName val="토적표"/>
      <sheetName val="천방교접속"/>
      <sheetName val="대포2교접속"/>
      <sheetName val="Macro(전선)"/>
      <sheetName val="원가서"/>
      <sheetName val="위치조서"/>
      <sheetName val="DB"/>
      <sheetName val="지점별강우량"/>
      <sheetName val="토공(1)"/>
      <sheetName val="절대지우지말것"/>
      <sheetName val="우각부보강"/>
      <sheetName val="신우"/>
      <sheetName val="재료할증"/>
      <sheetName val="원가계산서구조조정"/>
      <sheetName val="갑지(추정)"/>
      <sheetName val="갑지1"/>
      <sheetName val="건축기계설비표선정수장"/>
      <sheetName val="수량집계표"/>
      <sheetName val="토공집계표"/>
      <sheetName val="CALCULATION"/>
      <sheetName val="설계개요"/>
      <sheetName val="spiral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9GNG운반"/>
      <sheetName val="데이타"/>
      <sheetName val="Front"/>
      <sheetName val="wall"/>
      <sheetName val="앵커(3안)"/>
      <sheetName val="공구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경산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CON'C"/>
      <sheetName val="토목주소"/>
      <sheetName val="기안"/>
      <sheetName val="1단계"/>
      <sheetName val="테이블"/>
      <sheetName val="관급자재대"/>
      <sheetName val="봉방동근생"/>
      <sheetName val="1.수량집계"/>
      <sheetName val="원가계산서"/>
      <sheetName val="알맹이"/>
      <sheetName val="48전력선로일위"/>
      <sheetName val="최적단면"/>
      <sheetName val="수습"/>
      <sheetName val="총공사내역서"/>
      <sheetName val="공사직종별노임"/>
      <sheetName val="2.건축"/>
      <sheetName val="설계명세"/>
      <sheetName val="Sheet1 (2)"/>
      <sheetName val="영창26"/>
      <sheetName val="AIR SHOWER(3인용)"/>
      <sheetName val="국도접속 차도부수량"/>
      <sheetName val="인부신상자료"/>
      <sheetName val="기타 정보통신공사"/>
      <sheetName val="노임,기계경비"/>
      <sheetName val="단가조사"/>
      <sheetName val="재료단가"/>
      <sheetName val="기존단가 (2)"/>
      <sheetName val="우수공,맨홀,집수정"/>
      <sheetName val="슬래브수량"/>
      <sheetName val="대공종"/>
      <sheetName val="1062-X방향 "/>
      <sheetName val="포장공사"/>
      <sheetName val="환경보전비B"/>
      <sheetName val="가옥철거(지장물조서)"/>
      <sheetName val="진주방향"/>
      <sheetName val="FAB별"/>
      <sheetName val="산출근거1"/>
      <sheetName val="토공집계(rp)"/>
      <sheetName val="식재인부"/>
      <sheetName val="암거날개벽"/>
      <sheetName val="공문"/>
      <sheetName val="라멘수량"/>
      <sheetName val="예정(3)"/>
      <sheetName val="터널조도"/>
      <sheetName val="소비자가"/>
      <sheetName val="내역서(전기)"/>
      <sheetName val="부경대총괄내역서"/>
      <sheetName val="유효폭의 계산"/>
      <sheetName val="입상내역"/>
      <sheetName val="수량집계"/>
      <sheetName val="s"/>
      <sheetName val="측구터파기공수량집계"/>
      <sheetName val="배수공 시멘트 및 골재량 산출"/>
      <sheetName val="FAB4생산"/>
      <sheetName val="EQT-ESTN"/>
      <sheetName val="직원자료입력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대전(세창동)"/>
      <sheetName val="마산방향철근집계"/>
      <sheetName val="마산방향"/>
      <sheetName val="사유서제출현황-2"/>
      <sheetName val="변경내역"/>
      <sheetName val="주차장(T4)"/>
      <sheetName val="40총괄"/>
      <sheetName val="40집계"/>
      <sheetName val="면적산출근거(실측)"/>
      <sheetName val="내역기준"/>
      <sheetName val="CON포장수량"/>
      <sheetName val="ACUNIT"/>
      <sheetName val="CONUNIT"/>
      <sheetName val="도근좌표"/>
      <sheetName val="백호우계수"/>
      <sheetName val="ⴭⴭⴭⴭⴭ"/>
      <sheetName val="보도공제면적"/>
      <sheetName val="건축원가계산서"/>
      <sheetName val="전기일위목록"/>
      <sheetName val="6월 출고 일일보고"/>
      <sheetName val="4)유동표"/>
      <sheetName val="6공구(당초)"/>
      <sheetName val="수량BOQ"/>
      <sheetName val="자재표"/>
      <sheetName val="종배수관설치현황"/>
      <sheetName val="합계"/>
      <sheetName val="archi(본사)"/>
      <sheetName val="증감대비표"/>
      <sheetName val="4.하중산정"/>
      <sheetName val="자재일람"/>
      <sheetName val="6PILE__(돌출)"/>
      <sheetName val="설명서_"/>
      <sheetName val="내역서1999_8최종"/>
      <sheetName val="목차_"/>
      <sheetName val="97년_추정"/>
      <sheetName val="4_2유효폭의_계산"/>
      <sheetName val="4__주형설계"/>
      <sheetName val="단면_(2)"/>
      <sheetName val="8_석축단위(H=1_5M)"/>
      <sheetName val="세골재__T2_변경_현황"/>
      <sheetName val="0_단가"/>
      <sheetName val="가도공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1호토공"/>
      <sheetName val="공사비증감"/>
      <sheetName val="장비사양"/>
      <sheetName val="Tables"/>
      <sheetName val="공통가설"/>
      <sheetName val="unitpric"/>
      <sheetName val="계약서"/>
      <sheetName val="수량산출표"/>
      <sheetName val="포장(수량)-관로부"/>
      <sheetName val="재료비단가"/>
      <sheetName val="환율"/>
      <sheetName val="본사공가현황"/>
      <sheetName val="내역전기"/>
      <sheetName val="database"/>
      <sheetName val="공통비(전체)"/>
      <sheetName val="8설7발"/>
      <sheetName val="BOX 본체"/>
      <sheetName val="제수변 수량집계표(보통)"/>
      <sheetName val="업체별기성내역"/>
      <sheetName val="기성부분 내역집계표-기계공사"/>
      <sheetName val="현장설명"/>
      <sheetName val="이토변실(A3-LINE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공기압축기실"/>
      <sheetName val="단가산출서1"/>
      <sheetName val="좌측"/>
      <sheetName val="수입"/>
      <sheetName val="hvac(제어동)"/>
      <sheetName val="조경"/>
      <sheetName val="방음벽기초(H=4m)"/>
      <sheetName val="SILICATE"/>
      <sheetName val="TB-내역서"/>
      <sheetName val="내역서_"/>
      <sheetName val="시설물기초"/>
      <sheetName val="역T형"/>
      <sheetName val="합계금액"/>
      <sheetName val="관리,공감"/>
      <sheetName val="WVAL"/>
      <sheetName val="1"/>
      <sheetName val="ITEM"/>
      <sheetName val="용산1(해보)"/>
      <sheetName val="몰탈재료산출"/>
      <sheetName val="일위대가(가설)"/>
      <sheetName val="연령현황"/>
      <sheetName val="전기일위대가"/>
      <sheetName val="hvac내역서(제어동)"/>
      <sheetName val="표지 (2)"/>
      <sheetName val="PAINT"/>
      <sheetName val="SUMMARY"/>
      <sheetName val="99노임기준"/>
      <sheetName val="총집계"/>
      <sheetName val="주경기-오배수"/>
      <sheetName val="2호맨홀공제수량"/>
      <sheetName val="토공총괄집계"/>
      <sheetName val="하수급견적대비"/>
      <sheetName val="1.설계기준"/>
      <sheetName val="기기리스트"/>
      <sheetName val="1,2,3,4,5단위수량"/>
      <sheetName val="sw1"/>
      <sheetName val="W3단면"/>
      <sheetName val="송라터널총괄"/>
      <sheetName val="세목전체"/>
      <sheetName val="20관리비율"/>
      <sheetName val="플랜트 설치"/>
      <sheetName val="견적조건"/>
      <sheetName val="개략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안산기계장치"/>
      <sheetName val="TEL"/>
      <sheetName val="설계예시"/>
      <sheetName val="FILE1"/>
      <sheetName val="돌담교_상부수량"/>
      <sheetName val="CON기초"/>
      <sheetName val="SAP_INPUT"/>
      <sheetName val="6호기"/>
      <sheetName val="건축명"/>
      <sheetName val="기계명"/>
      <sheetName val="전기명"/>
      <sheetName val="토목명"/>
      <sheetName val="설계기준"/>
      <sheetName val="내역1"/>
      <sheetName val="단중표"/>
      <sheetName val="구체"/>
      <sheetName val="좌측날개벽"/>
      <sheetName val="우측날개벽"/>
      <sheetName val="setup"/>
      <sheetName val="시설물단가표"/>
      <sheetName val="노무비단가표"/>
      <sheetName val="기초자료입력"/>
      <sheetName val="품셈"/>
      <sheetName val="인부임"/>
      <sheetName val="원가+내역"/>
      <sheetName val="선정요령"/>
      <sheetName val="시선유도표지집계표"/>
      <sheetName val="중기사용료"/>
      <sheetName val="2002하반기노임기준"/>
      <sheetName val="단가 (2)"/>
      <sheetName val="절대삭제금지"/>
      <sheetName val="시운전연료"/>
      <sheetName val="b_balju"/>
      <sheetName val="98수문일위"/>
      <sheetName val="수량증감표"/>
      <sheetName val="터파기운반비산출"/>
      <sheetName val="산적토운반비산출"/>
      <sheetName val="적용단가"/>
      <sheetName val="비교1"/>
      <sheetName val="Sheet4"/>
      <sheetName val="구의33고"/>
      <sheetName val="(A)내역서"/>
      <sheetName val="연장및면적(좌측)"/>
      <sheetName val="slurrywall설계가"/>
      <sheetName val="1차 내역서"/>
      <sheetName val="할증"/>
      <sheetName val="확약서"/>
      <sheetName val="SORCE1"/>
      <sheetName val="물가대비표"/>
      <sheetName val="Sheet2 (2)"/>
      <sheetName val="건축내역서 (경제상무실)"/>
      <sheetName val="수산(당)"/>
      <sheetName val="화설내"/>
      <sheetName val="기초코드"/>
      <sheetName val="토목검측서"/>
      <sheetName val="9811"/>
      <sheetName val="SG"/>
      <sheetName val="신호등일위대가"/>
      <sheetName val="흄관기초"/>
      <sheetName val="하조서"/>
      <sheetName val="98NS-N"/>
      <sheetName val="몰탈"/>
      <sheetName val="집수정(600-700)"/>
      <sheetName val="내역서01"/>
      <sheetName val="1.수인터널"/>
      <sheetName val="프랜트면허"/>
      <sheetName val="오수주요자재"/>
      <sheetName val="조건"/>
      <sheetName val="DATA 입력란"/>
      <sheetName val="1. 설계조건 2.단면가정 3. 하중계산"/>
      <sheetName val="T13(P68~72,78)"/>
      <sheetName val="MAT"/>
      <sheetName val="연도별cash"/>
      <sheetName val="대비표"/>
      <sheetName val="1_설계조건"/>
      <sheetName val="00000"/>
      <sheetName val="개요"/>
      <sheetName val="공사"/>
      <sheetName val="7-1.인건비"/>
      <sheetName val="DATA 입력부"/>
      <sheetName val="현황산출서"/>
      <sheetName val="수량분배표"/>
      <sheetName val="기초(중마오수)"/>
      <sheetName val="하도급원가계산총괄표(식재)"/>
      <sheetName val="각사별공사비분개 "/>
      <sheetName val="지하"/>
      <sheetName val="7급줄떼공"/>
      <sheetName val="당정동공통이수"/>
      <sheetName val="당정동경상이수"/>
      <sheetName val="접합수량(피벗)"/>
      <sheetName val="B"/>
      <sheetName val="1Month+Sheet2!"/>
      <sheetName val="내역서(중수)"/>
      <sheetName val="Toolbox"/>
      <sheetName val="건축공사집계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중기조종사 단위단가"/>
      <sheetName val="전동기"/>
      <sheetName val="PROJECT BRIEF(EX.NEW)"/>
      <sheetName val="전기내역"/>
      <sheetName val="중간"/>
      <sheetName val="직재"/>
      <sheetName val="상부집계표"/>
      <sheetName val="관급"/>
      <sheetName val="일위대가(1)"/>
      <sheetName val="이름정의"/>
      <sheetName val="초기화면1"/>
      <sheetName val="유별자산배수"/>
      <sheetName val="토공"/>
      <sheetName val="2.2.2입적표"/>
      <sheetName val="Sheet17"/>
      <sheetName val="가로등내역서"/>
      <sheetName val="내력서"/>
      <sheetName val="신규 수주분(사용자 정의)"/>
      <sheetName val="DATA2000"/>
      <sheetName val="공사비예산서(토목분)"/>
      <sheetName val="식재일위대가"/>
      <sheetName val="원가입력"/>
      <sheetName val="7.PILE  (돌출)"/>
      <sheetName val="손익분석"/>
      <sheetName val="일위대가(건축)"/>
      <sheetName val="직공비"/>
      <sheetName val="일반부표"/>
      <sheetName val="실행내역(10.13)"/>
      <sheetName val="도급"/>
      <sheetName val="대전가오_견출_집계표"/>
      <sheetName val="작업입력"/>
      <sheetName val="2003상반기노임기준"/>
      <sheetName val="POL6차-PIPING"/>
      <sheetName val="b_balju_cho"/>
      <sheetName val="거래처등록"/>
      <sheetName val="참고자료"/>
      <sheetName val="단가대비표"/>
      <sheetName val="2.가정단면"/>
      <sheetName val="사급자재"/>
      <sheetName val="방음벽기초"/>
      <sheetName val="노무비단가"/>
      <sheetName val="2.토목공사"/>
      <sheetName val="기본일위"/>
      <sheetName val="중동공구"/>
      <sheetName val="안전장치"/>
      <sheetName val="건물철거"/>
      <sheetName val="기타배수구조물깨기-단위수량"/>
      <sheetName val="BOX-1510"/>
      <sheetName val="내역을"/>
      <sheetName val="신규보류입력"/>
      <sheetName val="입력"/>
      <sheetName val="단면치수"/>
      <sheetName val="수로BOX"/>
      <sheetName val="수량"/>
      <sheetName val="단가산출2"/>
      <sheetName val="단가산출1"/>
      <sheetName val="실행견적"/>
      <sheetName val="전기단가조사서"/>
      <sheetName val="배수철근"/>
      <sheetName val="용역비내역-진짜"/>
      <sheetName val="일위단위"/>
      <sheetName val="공사비집계"/>
      <sheetName val="설계"/>
      <sheetName val="EACT10"/>
      <sheetName val="GI-LIST"/>
      <sheetName val="파일의이용"/>
      <sheetName val="음성방향"/>
      <sheetName val="산출기준자료"/>
      <sheetName val="구역화물"/>
      <sheetName val="단위목록"/>
      <sheetName val="시험비"/>
      <sheetName val="청 구"/>
      <sheetName val="설계산출기초"/>
      <sheetName val="날개벽(TYPE2)"/>
      <sheetName val="고유코드_설계"/>
      <sheetName val="도기류"/>
      <sheetName val="내역갑지"/>
      <sheetName val="A-8 PD(도로중앙)"/>
      <sheetName val="9-1차이내역"/>
      <sheetName val="BSD (2)"/>
      <sheetName val="일반수량총괄집계"/>
      <sheetName val="차선도색-연장,수량(1)"/>
      <sheetName val="호프"/>
      <sheetName val="토목(용인)"/>
      <sheetName val="물가시세"/>
      <sheetName val="공내역"/>
      <sheetName val="사  업  비  수  지  예  산  서"/>
      <sheetName val="터파기단면도(보도)"/>
      <sheetName val="현장관리비참조"/>
      <sheetName val="다곡2교"/>
      <sheetName val="포장복구집계"/>
      <sheetName val="흙쌓기도수로설치현황"/>
      <sheetName val="관접합및부설"/>
      <sheetName val="시점교대"/>
      <sheetName val="설계가"/>
      <sheetName val="현금흐름"/>
      <sheetName val="Baby일위대가"/>
      <sheetName val="남양내역"/>
      <sheetName val="상 부"/>
      <sheetName val="현장소운반"/>
      <sheetName val="관구보호몰탈"/>
      <sheetName val="조직표"/>
      <sheetName val="CABLE"/>
      <sheetName val="자재테이블"/>
      <sheetName val="옹벽수량집계"/>
      <sheetName val="배수통관(좌)"/>
      <sheetName val="옥외등신설"/>
      <sheetName val="저케CV22신설"/>
      <sheetName val="저케CV38신설"/>
      <sheetName val="저케CV8신설"/>
      <sheetName val="접지3종"/>
      <sheetName val="기본파일"/>
      <sheetName val="결과조달"/>
      <sheetName val="직접노무"/>
      <sheetName val="직접재료"/>
      <sheetName val="직종표"/>
      <sheetName val="목록"/>
      <sheetName val="정거장 설계조건"/>
      <sheetName val="(1)본선수량집계"/>
      <sheetName val="제경비산출서"/>
      <sheetName val="양수장(기계)"/>
      <sheetName val="기초도면제작"/>
      <sheetName val="신림자금"/>
      <sheetName val="2002년12월"/>
      <sheetName val="asd"/>
      <sheetName val="부하자료"/>
      <sheetName val="기본단가표"/>
      <sheetName val="오수공수량집계표"/>
      <sheetName val="준검_내역서"/>
      <sheetName val="역T형(H=6_0)_(2)"/>
      <sheetName val="토공(우물통,기타)_"/>
      <sheetName val="2_단면가정"/>
      <sheetName val="RAMP_단면(R2)"/>
      <sheetName val="국도접속_차도부수량"/>
      <sheetName val="토공_total"/>
      <sheetName val="내역서_제출"/>
      <sheetName val="C_배수관공"/>
      <sheetName val="노무비_근거"/>
      <sheetName val="crude_SLAB_RE-bar"/>
      <sheetName val="3련_BOX"/>
      <sheetName val="단가_및_재료비"/>
      <sheetName val="3_하중산정4_지지력"/>
      <sheetName val="연결관수량_(2)"/>
      <sheetName val="Customer_Databas"/>
      <sheetName val="내역_ver1_0"/>
      <sheetName val="CRUDE_RE-bar"/>
      <sheetName val="토목내역서_(도급단가)"/>
      <sheetName val="바닥판의_설계"/>
      <sheetName val="단양_00_아파트-세부내역"/>
      <sheetName val="_총괄표"/>
      <sheetName val="표__지"/>
      <sheetName val="암거_제원표-1단계"/>
      <sheetName val="암거_제원표"/>
      <sheetName val="구조물공"/>
      <sheetName val="총괄BOQ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직접재료비데이타"/>
      <sheetName val="산근(1)"/>
      <sheetName val="수량산출서 갑지"/>
      <sheetName val="(C)원내역"/>
      <sheetName val="Eq. Mobilization"/>
      <sheetName val="지역"/>
      <sheetName val="집"/>
      <sheetName val="견적대비 견적서"/>
      <sheetName val="일위총괄"/>
      <sheetName val="교통안전시설집계표"/>
      <sheetName val="1.우편집중내역서"/>
      <sheetName val="선수금"/>
      <sheetName val="1TL종점(1)"/>
      <sheetName val="노면표지 수량"/>
      <sheetName val="토공사"/>
      <sheetName val="AIR_SHOWER(3인용)"/>
      <sheetName val="8_PILE__(돌출)"/>
      <sheetName val="중기목록표"/>
      <sheetName val="시간당중기사용료"/>
      <sheetName val="입찰견적보고서"/>
      <sheetName val="XL4Poppy"/>
      <sheetName val="자재집계 (2)"/>
      <sheetName val="인공산출"/>
      <sheetName val="load"/>
      <sheetName val="#4 PSV"/>
      <sheetName val="물푸기"/>
      <sheetName val="사유서"/>
      <sheetName val="Manmonth(입력)"/>
      <sheetName val="1단계 (2)"/>
      <sheetName val="sub"/>
      <sheetName val="전산output"/>
      <sheetName val="배수관산출"/>
      <sheetName val="지하시설물작성"/>
      <sheetName val="원"/>
      <sheetName val="유림콘도"/>
      <sheetName val="인원배치"/>
      <sheetName val="환경평가"/>
      <sheetName val="인구"/>
      <sheetName val="SHEET"/>
      <sheetName val="안양동교 1안"/>
      <sheetName val="집 계 표"/>
      <sheetName val="효성CB 1P기초"/>
      <sheetName val="내역서1"/>
      <sheetName val="노.표-조"/>
      <sheetName val="SANTOGO"/>
      <sheetName val="제잡비계산"/>
      <sheetName val="eq_data"/>
      <sheetName val="비주거용"/>
      <sheetName val="FORM-0"/>
      <sheetName val="실행(1)"/>
      <sheetName val="직접경비호표"/>
      <sheetName val="C3"/>
      <sheetName val="세부내역서"/>
      <sheetName val="준공정산"/>
      <sheetName val="공사비예"/>
      <sheetName val="6.간접공사비 外"/>
      <sheetName val="조경수목"/>
      <sheetName val="퇴직공제부금"/>
      <sheetName val="평균노임"/>
      <sheetName val="기본가정"/>
      <sheetName val="인입관수량총괄"/>
      <sheetName val="청주(철골발주의뢰서)"/>
      <sheetName val="9509"/>
      <sheetName val="2004일위대가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진입로 지세할증산출(다사분기)"/>
      <sheetName val=" FURNACE현설"/>
      <sheetName val="일위대가(계측기설치)"/>
      <sheetName val="절취및터파기"/>
      <sheetName val="CPM챠트"/>
      <sheetName val="조작대(1연)"/>
      <sheetName val="토적계산서"/>
      <sheetName val="법면"/>
      <sheetName val="부대공"/>
      <sheetName val="중기일위대가"/>
      <sheetName val="배수공1"/>
      <sheetName val="COMPARISON TABLE"/>
      <sheetName val="부대공Ⅱ"/>
      <sheetName val="견적대비"/>
      <sheetName val="통영LNG입찰현황"/>
      <sheetName val="슬래브"/>
      <sheetName val="토목품셈"/>
      <sheetName val="내역및총괄"/>
      <sheetName val="2.입력sheet"/>
      <sheetName val="M1"/>
      <sheetName val="(3.품질관리 시험 총괄표)"/>
      <sheetName val="토량1-1"/>
      <sheetName val="산출내역서집계표"/>
      <sheetName val="별표 "/>
      <sheetName val="음료실행"/>
      <sheetName val="공량산출서"/>
      <sheetName val="물가시세표"/>
      <sheetName val="1.2.1 마루높이결정"/>
      <sheetName val="정렬"/>
      <sheetName val="&lt;목록&gt;"/>
      <sheetName val="입찰보고"/>
      <sheetName val="단면 _2_"/>
      <sheetName val="옥룡잡비"/>
      <sheetName val="설계변경원가계산총괄표"/>
      <sheetName val="BOILING검토"/>
      <sheetName val="차선도색현황"/>
      <sheetName val="U-TYPE(1)"/>
      <sheetName val="A-4"/>
      <sheetName val="토공총괄표"/>
      <sheetName val="COL"/>
      <sheetName val="상승요인분석"/>
      <sheetName val="식재일위"/>
      <sheetName val="옹벽"/>
      <sheetName val=" 냉각수펌프"/>
      <sheetName val="기자재비"/>
      <sheetName val="전력구구조물산근"/>
      <sheetName val="도로경계블럭연장조서"/>
      <sheetName val="관경별우수관집계"/>
      <sheetName val="현장일반사항"/>
      <sheetName val="원형측구(B-type)"/>
      <sheetName val="변경후-SHEET"/>
      <sheetName val="지주목시비량산출서"/>
      <sheetName val="DIAPHRAGM"/>
      <sheetName val="산근(PE,300)"/>
      <sheetName val="특2호하천산근"/>
      <sheetName val="특2호부관하천산근"/>
      <sheetName val="2011.(4)"/>
      <sheetName val="Pier 3"/>
      <sheetName val="※참고자료※"/>
      <sheetName val="원하도급내역서(당초)"/>
      <sheetName val="전력"/>
      <sheetName val="UEC영화관본공사내역"/>
      <sheetName val="대운산출"/>
      <sheetName val="소방현물"/>
      <sheetName val="도장수량(하1)"/>
      <sheetName val="주형"/>
      <sheetName val="BOX전기내역"/>
      <sheetName val="소운반"/>
      <sheetName val="단가(1)"/>
      <sheetName val="참조M"/>
      <sheetName val="지구단위계획"/>
      <sheetName val="ASP"/>
      <sheetName val="예산작성기준(전기)"/>
      <sheetName val="SLIDES"/>
      <sheetName val="단가(반정1교-원주)"/>
      <sheetName val="Sheet10"/>
      <sheetName val="간지9)"/>
      <sheetName val="수정내역서"/>
      <sheetName val="공사내역"/>
      <sheetName val="자재목록"/>
      <sheetName val="BOX(1.5X1.5)"/>
      <sheetName val="PD-5(직선)"/>
      <sheetName val="일반공사"/>
      <sheetName val="웅진교-S2"/>
      <sheetName val="기계시공"/>
      <sheetName val="우수관"/>
      <sheetName val="인천제철"/>
      <sheetName val="PAD TR보호대기초"/>
      <sheetName val="가로등기초"/>
      <sheetName val="기계경비일람"/>
      <sheetName val="별총"/>
      <sheetName val="BID9697"/>
      <sheetName val="관경"/>
      <sheetName val="토목내역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지급자재조서"/>
      <sheetName val="주식"/>
      <sheetName val="집계표(육상)"/>
      <sheetName val="조건표"/>
      <sheetName val="Sheet15"/>
      <sheetName val="하중"/>
      <sheetName val="소업1교"/>
      <sheetName val="노무비계"/>
      <sheetName val="sheeet2"/>
      <sheetName val="plan&amp;section_of_foundation"/>
      <sheetName val="working_load_at_the_btm_ft_"/>
      <sheetName val="stability_check"/>
      <sheetName val="design_criteria"/>
      <sheetName val="design_load"/>
      <sheetName val="상수도공-간지"/>
      <sheetName val="품의"/>
      <sheetName val="재집"/>
      <sheetName val="주요자재집계표"/>
      <sheetName val="예상"/>
      <sheetName val="통합"/>
      <sheetName val="맨홀평균높이"/>
      <sheetName val="종배수관(신)"/>
      <sheetName val="적용단위길이"/>
      <sheetName val="종배수관면벽신"/>
      <sheetName val="계단"/>
      <sheetName val="터널구조물산근"/>
      <sheetName val="type-F"/>
      <sheetName val="WEON"/>
      <sheetName val="유림총괄"/>
      <sheetName val="바닥판(1)"/>
      <sheetName val="설계기준 및 하중계산"/>
      <sheetName val="11.자재단가"/>
      <sheetName val="공종별수량집계"/>
      <sheetName val="중기집계"/>
      <sheetName val="예산대비"/>
      <sheetName val="현장관리비"/>
      <sheetName val="산근목록"/>
      <sheetName val="슬래브(유곡)"/>
      <sheetName val="0226"/>
      <sheetName val="은행"/>
      <sheetName val="입력시트"/>
      <sheetName val="공사현황"/>
      <sheetName val="수량산출근거"/>
      <sheetName val="수로단위수량"/>
      <sheetName val="계산서(곡선부)"/>
      <sheetName val="-치수표(곡선부)"/>
      <sheetName val="설정"/>
      <sheetName val="전차선로 물량표"/>
      <sheetName val="기계내역"/>
      <sheetName val="품셈총괄표"/>
      <sheetName val="FOOTING단면력"/>
      <sheetName val="대정2공구"/>
      <sheetName val="단위량당중기"/>
      <sheetName val="P3"/>
      <sheetName val="GAEYO"/>
      <sheetName val="SUMDO"/>
      <sheetName val="ENDDO"/>
      <sheetName val="PLDB"/>
      <sheetName val="AAA"/>
      <sheetName val="M-HOUR"/>
      <sheetName val="공기"/>
      <sheetName val="집계"/>
      <sheetName val="포장직선구간"/>
      <sheetName val="맨홀토공수량"/>
      <sheetName val="Macro(차단기)"/>
      <sheetName val="분전함신설"/>
      <sheetName val="접지1종"/>
      <sheetName val="BOX-1515"/>
      <sheetName val="맨홀수량산출"/>
      <sheetName val="3CHBDC"/>
      <sheetName val="간접비내역-1"/>
      <sheetName val="기둥"/>
      <sheetName val="저판(버림100)"/>
      <sheetName val="계화배수"/>
      <sheetName val="국공유지및사유지"/>
      <sheetName val="inter"/>
      <sheetName val="DESCRIPTION"/>
      <sheetName val="내역(전체)"/>
      <sheetName val="석축"/>
      <sheetName val="예산내역서"/>
      <sheetName val="수목표준대가"/>
      <sheetName val="BOQ"/>
      <sheetName val="2000년하반기"/>
      <sheetName val="Dike for 49T03 &amp; 49T04"/>
      <sheetName val="Dike for 49T02, 05~07, 19 (1)"/>
      <sheetName val="wk prgs"/>
      <sheetName val="Berm"/>
      <sheetName val="M_DB"/>
      <sheetName val="TYPE"/>
      <sheetName val="costing_FE"/>
      <sheetName val="공종집계"/>
      <sheetName val="화단 철거"/>
      <sheetName val="수지예산"/>
      <sheetName val="Sheet6"/>
      <sheetName val="북방3터널"/>
      <sheetName val="전계가"/>
      <sheetName val="공통부대비"/>
      <sheetName val="추정공사비_산출내역1.xlsx"/>
      <sheetName val="EQ"/>
      <sheetName val="약품설비"/>
      <sheetName val="COPING-1"/>
      <sheetName val="역T형교대-2수량"/>
      <sheetName val="변화치수"/>
      <sheetName val="부속동"/>
      <sheetName val="밸브설치"/>
      <sheetName val="관로토공"/>
      <sheetName val="Model"/>
      <sheetName val="CONSTRUCTION COMPONENT"/>
      <sheetName val="접속 SLAB,BRACKET 설계"/>
      <sheetName val="우수"/>
      <sheetName val="cable data1"/>
      <sheetName val="중기비"/>
      <sheetName val="IMPEADENCE MAP 취수장"/>
      <sheetName val="평균터파기"/>
      <sheetName val="Sheet16"/>
      <sheetName val="Sheet14"/>
      <sheetName val="부하"/>
      <sheetName val="APT"/>
      <sheetName val="Sheet13"/>
      <sheetName val="1호-아(오)0.4"/>
      <sheetName val="EP0618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내역서_1"/>
      <sheetName val="1_우편집중내역서"/>
      <sheetName val="1_설계기준"/>
      <sheetName val="Sheet1_(2)"/>
      <sheetName val="신규_수주분(사용자_정의)"/>
      <sheetName val="pile_bearing_capa_&amp;_arrenge"/>
      <sheetName val="플랜트_설치"/>
      <sheetName val="DATA_입력란"/>
      <sheetName val="2_가정단면"/>
      <sheetName val="표지_(2)"/>
      <sheetName val="COMPARISON_TABLE"/>
      <sheetName val="건축집계"/>
      <sheetName val="인건비"/>
      <sheetName val="옥내아파트(전기)"/>
      <sheetName val="입력값"/>
      <sheetName val="측구공"/>
      <sheetName val="결재갑지"/>
      <sheetName val="BOX(1_5X1_5)"/>
      <sheetName val="2_입력sheet"/>
      <sheetName val="(3_품질관리_시험_총괄표)"/>
      <sheetName val="별표_"/>
      <sheetName val="7_PILE__(돌출)"/>
      <sheetName val="종단계산"/>
      <sheetName val="J直材4"/>
      <sheetName val="구조물공위치조서"/>
      <sheetName val="영동(D)"/>
      <sheetName val="AC포장수량"/>
      <sheetName val="기본DATA"/>
      <sheetName val="예가표"/>
      <sheetName val="간접비계산"/>
      <sheetName val="자재 집계표"/>
      <sheetName val="가정급수관"/>
      <sheetName val="1-1"/>
      <sheetName val="2. 공원조도"/>
      <sheetName val="CABLE SIZE-3"/>
      <sheetName val="음봉방향"/>
      <sheetName val="현장별계약현황('98.10.31)"/>
      <sheetName val="점수계산1-2"/>
      <sheetName val="TYPE1"/>
      <sheetName val="배수내역 (2)"/>
      <sheetName val="원가&amp;하도급원가"/>
      <sheetName val="2-1. 경관조명 내역총괄표"/>
      <sheetName val="공사비 증감 내역서"/>
      <sheetName val="Macro2"/>
      <sheetName val="년도별노임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tggwan(mac)"/>
      <sheetName val="설계설명서"/>
      <sheetName val="투찰"/>
      <sheetName val="L_RPTB02_01"/>
      <sheetName val="AS포장복구 "/>
      <sheetName val="준공조서"/>
      <sheetName val="공사준공계"/>
      <sheetName val="준공검사보고서"/>
      <sheetName val="실행(ALT1)"/>
      <sheetName val="경비_원본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목포방향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COVER"/>
      <sheetName val="철근량 산정"/>
      <sheetName val="구분표"/>
      <sheetName val="개거산출내역"/>
      <sheetName val="공종별자재"/>
      <sheetName val="방수"/>
      <sheetName val="포장자재집계표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교대철근집계"/>
      <sheetName val="단가비교표"/>
      <sheetName val="단가(자재)"/>
      <sheetName val="단가(노임)"/>
      <sheetName val="기초목록"/>
      <sheetName val="3-구교-오리지날"/>
      <sheetName val="입력(K0)"/>
      <sheetName val="장비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돌담교_상부수량1"/>
      <sheetName val="2_토목공사"/>
      <sheetName val="_상부공통집계(총괄)"/>
      <sheetName val="주공 갑지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VXXXXXX"/>
      <sheetName val="Site Expenses"/>
      <sheetName val="계양가시설"/>
      <sheetName val="1000 DB구축 부표"/>
      <sheetName val="환율CHANGE"/>
      <sheetName val="낙찰표"/>
      <sheetName val="공용(현대건설공구)"/>
      <sheetName val="현대건설공구(UNIT)"/>
      <sheetName val="낙석방지수량"/>
      <sheetName val="일위대가_가설_"/>
      <sheetName val="금액"/>
      <sheetName val="PI"/>
      <sheetName val="원가계산하도"/>
      <sheetName val="설내역서 "/>
      <sheetName val="공사설명서"/>
      <sheetName val="1차설계변경내역"/>
      <sheetName val="11.1 단면hwp"/>
      <sheetName val="앵커구조계산"/>
      <sheetName val="직접경비"/>
      <sheetName val="직접인건비"/>
      <sheetName val="제경비율"/>
      <sheetName val="공사명입력"/>
      <sheetName val="근로자자료입력"/>
      <sheetName val="수주추정"/>
      <sheetName val="배수공 주요자재 집계표"/>
      <sheetName val="단위수량산출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내역_FILE"/>
      <sheetName val="출장내역"/>
      <sheetName val="사각맨홀"/>
      <sheetName val="자재"/>
      <sheetName val="토목공사"/>
      <sheetName val="포장재료집계표"/>
      <sheetName val="내역서 (2)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단"/>
      <sheetName val="원유_BANK"/>
      <sheetName val="특수선일위대가"/>
      <sheetName val="횡배수관집현황(2공구)"/>
      <sheetName val="시화점실행"/>
      <sheetName val="전 기"/>
      <sheetName val="해외(원화)"/>
      <sheetName val="설계내역"/>
      <sheetName val="조견표"/>
      <sheetName val="내역(신례)"/>
      <sheetName val="공사품의서"/>
      <sheetName val="경영상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보도포장연장조서-표준차도부"/>
      <sheetName val="표준차도부연장조서-ASP"/>
      <sheetName val="부표총괄"/>
      <sheetName val="포장공자재집계표"/>
      <sheetName val="콘크리트타설집계표"/>
      <sheetName val="사통"/>
      <sheetName val="수량산출서-2"/>
      <sheetName val="단가조정표"/>
      <sheetName val="계림(함평)"/>
      <sheetName val="계림(장성)"/>
      <sheetName val="산수배수"/>
      <sheetName val="이음개소"/>
      <sheetName val="4.내진설계"/>
      <sheetName val=" ｹ-ﾌﾞﾙ"/>
      <sheetName val="3BL공동구_수량1"/>
      <sheetName val="3_공통공사대비"/>
      <sheetName val="9_정착구_보강"/>
      <sheetName val="방배동내역_(총괄)"/>
      <sheetName val="단가_(2)"/>
      <sheetName val="1차_내역서"/>
      <sheetName val="전선_및_전선관"/>
      <sheetName val="배관배선_단가조사"/>
      <sheetName val="환경기계공정표_(3)"/>
      <sheetName val="1__설계조건_2_단면가정_3__하중계산"/>
      <sheetName val="BSD_(2)"/>
      <sheetName val="배수공_시멘트_및_골재량_산출"/>
      <sheetName val="96보완계획7_12"/>
      <sheetName val="사__업__비__수__지__예__산__서"/>
      <sheetName val="1차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포장공수량집계표"/>
      <sheetName val="상행-교대(A1-A2)"/>
      <sheetName val="집수A"/>
      <sheetName val="VII-2현장경비"/>
      <sheetName val="Ⅴ-2.공종별내역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자재비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울산자동제어"/>
      <sheetName val="교통대책내역"/>
      <sheetName val="sst,stl창호"/>
      <sheetName val="ETC"/>
      <sheetName val="A4"/>
      <sheetName val="45,46"/>
      <sheetName val="J형측구단위수량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암거단위-1련"/>
      <sheetName val="A 견적"/>
      <sheetName val="집수정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일위_파일"/>
      <sheetName val="05-원가계산"/>
      <sheetName val="토공정보"/>
      <sheetName val="노임 및 중기단가"/>
      <sheetName val="5수지"/>
      <sheetName val="수질정화시설"/>
      <sheetName val="청_구"/>
      <sheetName val="1_수인터널"/>
      <sheetName val="상_부"/>
      <sheetName val="공사비_증감_내역서"/>
      <sheetName val="Sheet2_(2)"/>
      <sheetName val="PROJECT_BRIEF(EX_NEW)"/>
      <sheetName val="Site_Expenses"/>
      <sheetName val="4차원가계산서"/>
      <sheetName val="골막이(야매)"/>
      <sheetName val="설-원가"/>
      <sheetName val="일위대가-1"/>
      <sheetName val="수량명세서"/>
      <sheetName val="가계부"/>
      <sheetName val="제품목록"/>
      <sheetName val="매입매출관리"/>
      <sheetName val="Sheet22"/>
      <sheetName val="08-공사비총괄표"/>
      <sheetName val="01-적용기준"/>
      <sheetName val="화전내"/>
      <sheetName val="투찰추정"/>
      <sheetName val="전기혼잡제경비(45)"/>
      <sheetName val="소방사항"/>
      <sheetName val="ELECTRIC"/>
      <sheetName val="구성비"/>
      <sheetName val="안전시설"/>
      <sheetName val="앵커설치(590)"/>
      <sheetName val="교대(A1-A2)"/>
      <sheetName val="화해(함평)"/>
      <sheetName val="화해(장성)"/>
      <sheetName val="7-2"/>
      <sheetName val="중기손료집계(1209)"/>
      <sheetName val="전체내역서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단가목록"/>
      <sheetName val="산출내역(K2)"/>
      <sheetName val="말뚝기초(안정검토)-외측"/>
      <sheetName val="예산"/>
      <sheetName val="4 공통갑지"/>
      <sheetName val="난방방식분류"/>
      <sheetName val="공사정보입력"/>
      <sheetName val="적용(기계)"/>
      <sheetName val="1-1평균터파기고(1)"/>
      <sheetName val="단가산출서"/>
      <sheetName val="공정data"/>
      <sheetName val="인건비 "/>
      <sheetName val="설계내역2"/>
      <sheetName val="공종단가"/>
      <sheetName val="증감대비"/>
      <sheetName val="배지거총재료집계표"/>
      <sheetName val="cal"/>
      <sheetName val="1_CB"/>
      <sheetName val="옹벽공_수량집계표"/>
      <sheetName val="A-8_PD(도로중앙)"/>
      <sheetName val="Flaer_Area"/>
      <sheetName val="건축내역서_(경제상무실)"/>
      <sheetName val="설내역서_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코스모공장 (어음)"/>
      <sheetName val="3"/>
      <sheetName val="4"/>
      <sheetName val="6"/>
      <sheetName val="집행안"/>
      <sheetName val="가로등설치"/>
      <sheetName val="공사비_NDE"/>
      <sheetName val="업무처리전"/>
      <sheetName val="노단"/>
      <sheetName val="단산"/>
      <sheetName val="명세"/>
      <sheetName val="일대"/>
      <sheetName val="아파트 내역"/>
      <sheetName val="TOSHIBA-Structure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01"/>
      <sheetName val="공통가설(기준안)"/>
      <sheetName val="지장물헐기조서"/>
      <sheetName val="입출재고현황 (2)"/>
      <sheetName val="가설"/>
      <sheetName val="일람표"/>
      <sheetName val="신축(단위)"/>
      <sheetName val="배수관토공산출"/>
      <sheetName val="형질변경"/>
      <sheetName val="경비"/>
      <sheetName val="보안등"/>
      <sheetName val="단가산출서 (2)"/>
      <sheetName val="비품"/>
      <sheetName val="새공통(96임금인상기준)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기별(종합)"/>
      <sheetName val="일용노임단가"/>
      <sheetName val="1공구원가계산서"/>
      <sheetName val="수정시산표"/>
      <sheetName val="지역별수출"/>
      <sheetName val="효동종합건설(주)"/>
      <sheetName val="Detail"/>
      <sheetName val="1안"/>
      <sheetName val="참조 (2)"/>
      <sheetName val="일용노무비지급명세서(7)"/>
      <sheetName val="중기가동(7)"/>
      <sheetName val="지장물조서"/>
      <sheetName val="1공구 건정토건 토공"/>
      <sheetName val="발주참고#"/>
      <sheetName val="토목-물가"/>
      <sheetName val="간접비 총괄표"/>
      <sheetName val="산출근거(수정)"/>
      <sheetName val="산출서양식01"/>
      <sheetName val="이자율"/>
      <sheetName val="기본사항"/>
      <sheetName val="일반전기(가설, 접지)"/>
      <sheetName val="99년하반기"/>
      <sheetName val="4.1DNR기계(공법)"/>
      <sheetName val="출자한도"/>
      <sheetName val="TEST1"/>
      <sheetName val="RE9604"/>
      <sheetName val="인사자료총집계"/>
      <sheetName val="16-1"/>
      <sheetName val="유입량"/>
      <sheetName val="부대단위수량"/>
      <sheetName val="옥외외등집계표"/>
      <sheetName val="기준단가현황"/>
      <sheetName val="공사개요(입력)"/>
      <sheetName val="마스터"/>
      <sheetName val="주안3차A-A"/>
      <sheetName val="제조원가"/>
      <sheetName val="관로조서"/>
      <sheetName val="ELEC"/>
      <sheetName val="L_RPTB03_01"/>
      <sheetName val="목표세부명세"/>
      <sheetName val="집행내역(190403)"/>
      <sheetName val="정산내역서"/>
      <sheetName val="설비원가"/>
      <sheetName val="중기목록"/>
      <sheetName val="앉음벽 (2)"/>
      <sheetName val="구조물집계"/>
      <sheetName val="토공집계"/>
      <sheetName val="설원"/>
      <sheetName val="3.자재비(총괄)"/>
      <sheetName val="______PROJECT_hb___1__________2"/>
      <sheetName val="1호맨홀가감수량"/>
      <sheetName val="환율및유가"/>
      <sheetName val="F4-F7"/>
      <sheetName val="A5"/>
      <sheetName val="총괄철근집계표"/>
      <sheetName val="현장관리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총괄집계표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TOWER 12TON"/>
      <sheetName val="TOWER 10TON"/>
      <sheetName val="연부97-1"/>
      <sheetName val="-배수구조물공토공"/>
      <sheetName val="횡배수관재료-"/>
      <sheetName val="계산서(직선부)"/>
      <sheetName val="콘크리트측구연장"/>
      <sheetName val="우수공,맨홀,집수_x0000_"/>
      <sheetName val="총중목"/>
      <sheetName val="단가비교"/>
      <sheetName val="MIJIBI"/>
      <sheetName val="데이터"/>
      <sheetName val="사업총괄"/>
      <sheetName val="전등설비"/>
      <sheetName val="Macro"/>
      <sheetName val="공사설계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EJ"/>
      <sheetName val="공사개요"/>
      <sheetName val="설계내역서"/>
      <sheetName val="시멘트"/>
      <sheetName val="오억미만"/>
      <sheetName val="단양 00 아파트-세부내역"/>
      <sheetName val="건축"/>
      <sheetName val="도급"/>
      <sheetName val="직영2"/>
      <sheetName val="골조시행"/>
      <sheetName val="남양내역"/>
      <sheetName val="견"/>
      <sheetName val="투자예산"/>
      <sheetName val="산출근거"/>
      <sheetName val="비주거용"/>
      <sheetName val="집계표"/>
      <sheetName val="표지"/>
      <sheetName val="04_도료_전체_하순"/>
      <sheetName val="실적"/>
      <sheetName val="부재예실1월"/>
      <sheetName val="입찰안"/>
      <sheetName val="#REF"/>
      <sheetName val="98년간분기"/>
      <sheetName val="형틀"/>
      <sheetName val="조명시설"/>
      <sheetName val="갑지"/>
      <sheetName val="설비"/>
      <sheetName val="1.취수장"/>
      <sheetName val="단가"/>
      <sheetName val="울산자금"/>
      <sheetName val="자금청구"/>
      <sheetName val="機器明細(MC)"/>
      <sheetName val="금강투자2000"/>
      <sheetName val="당초"/>
      <sheetName val="GC산출"/>
      <sheetName val="당좌개설보증용"/>
      <sheetName val="신림자금"/>
      <sheetName val="Sheet4"/>
      <sheetName val="BASE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CAUDIT"/>
      <sheetName val="00실적"/>
      <sheetName val="배수통관(좌)"/>
      <sheetName val="판촉계획(고정)"/>
      <sheetName val="97년"/>
      <sheetName val="수정시산표"/>
      <sheetName val="회사정보"/>
      <sheetName val="요약BS"/>
      <sheetName val="품의서취합"/>
      <sheetName val="총원"/>
      <sheetName val="FG"/>
      <sheetName val="보통예금"/>
      <sheetName val="당좌차월"/>
      <sheetName val="증감내역서"/>
      <sheetName val="민감도"/>
      <sheetName val="관계주식"/>
      <sheetName val="Convert"/>
      <sheetName val="내역서"/>
      <sheetName val="부서"/>
      <sheetName val="Sheet1"/>
      <sheetName val="예산실적전체당월"/>
      <sheetName val="건설성적"/>
      <sheetName val="배합비(2,3.4분기)"/>
      <sheetName val="부재예실"/>
      <sheetName val="03년"/>
      <sheetName val="sw1"/>
      <sheetName val="DB"/>
      <sheetName val="견적서"/>
      <sheetName val="견적대비"/>
      <sheetName val="대리이하_상신양식"/>
      <sheetName val="판매용03"/>
      <sheetName val="본사감가상각대장(비품)"/>
      <sheetName val="Control Sheet"/>
      <sheetName val="세금계산서유"/>
      <sheetName val="현장"/>
      <sheetName val="상정안건"/>
      <sheetName val="98실적"/>
      <sheetName val="Menu_Link"/>
      <sheetName val="퇴충98"/>
      <sheetName val="이름"/>
      <sheetName val="1-7(재가공내역)"/>
      <sheetName val="보험금"/>
      <sheetName val="매출원가"/>
      <sheetName val="판매량"/>
      <sheetName val="업종코드"/>
      <sheetName val="임대손익"/>
      <sheetName val="현장별미수"/>
      <sheetName val="연구인원내역"/>
      <sheetName val="신구계정대사표"/>
      <sheetName val="XREF"/>
      <sheetName val="조정전"/>
      <sheetName val="1월"/>
      <sheetName val="WorldQuest"/>
      <sheetName val="admin"/>
      <sheetName val="자료"/>
      <sheetName val="코드"/>
      <sheetName val="매매손실준비금"/>
      <sheetName val="평가금액"/>
      <sheetName val="5사남"/>
      <sheetName val="정렬"/>
      <sheetName val="진도말"/>
      <sheetName val="설계명세서"/>
      <sheetName val="파일항타"/>
      <sheetName val="입찰보고"/>
      <sheetName val="총괄-1"/>
      <sheetName val="DATA"/>
      <sheetName val="콘센트신설"/>
      <sheetName val="FILE1"/>
      <sheetName val="118.세금과공과"/>
      <sheetName val="평가결과_사본"/>
      <sheetName val="종합2"/>
      <sheetName val="서식시트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외화계약"/>
      <sheetName val="2008년판매현황 (조정)"/>
      <sheetName val="참고_장르별매출"/>
      <sheetName val="집연95"/>
      <sheetName val="하수급견적대비"/>
      <sheetName val="특수직호봉표"/>
      <sheetName val="현장코드"/>
      <sheetName val="AIR SHOWER(3인용)"/>
      <sheetName val="산출근거1"/>
      <sheetName val="99선급비용"/>
      <sheetName val="집계"/>
      <sheetName val="퇴직기초"/>
      <sheetName val="산출내역(1)"/>
      <sheetName val="상품입고집계"/>
      <sheetName val="매입현황"/>
      <sheetName val="수입"/>
      <sheetName val="주소 작성"/>
      <sheetName val="용소리교"/>
      <sheetName val="총수량집계표"/>
      <sheetName val="상여 (2)"/>
      <sheetName val="Intro2"/>
      <sheetName val="Id"/>
      <sheetName val="공정가치"/>
      <sheetName val="시산표"/>
      <sheetName val="보정사항"/>
      <sheetName val="MAIN"/>
      <sheetName val="Asset98-CAK"/>
      <sheetName val="단말기누계"/>
      <sheetName val="CODE"/>
      <sheetName val="주요품목별판매실적"/>
      <sheetName val="출자한도"/>
      <sheetName val="Project_CF"/>
      <sheetName val="인원_20001101"/>
      <sheetName val="생산직"/>
      <sheetName val="9-1차이내역"/>
      <sheetName val="노임단가"/>
      <sheetName val="명세표"/>
      <sheetName val="표준지"/>
      <sheetName val="PMP등급_9월"/>
      <sheetName val="지급이자"/>
      <sheetName val="투자2"/>
      <sheetName val="FAB별"/>
      <sheetName val="Sheet3"/>
      <sheetName val="내역"/>
      <sheetName val="3월연장근무"/>
      <sheetName val="Initial Input Variable"/>
      <sheetName val="1Month+Sheet2!"/>
      <sheetName val="경영비율 "/>
      <sheetName val="단가비교"/>
      <sheetName val="외화가수금"/>
      <sheetName val="2001Org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외화평가"/>
      <sheetName val="인사자료총집계"/>
      <sheetName val="Macro1"/>
      <sheetName val="KA011205"/>
      <sheetName val="손익"/>
      <sheetName val="STROKE별 단가"/>
      <sheetName val="입력_판매"/>
      <sheetName val="#3_일위대가목록"/>
      <sheetName val="#2_일위대가목록"/>
      <sheetName val="무형자산명세서"/>
      <sheetName val="재고자산명세"/>
      <sheetName val="적격심사표"/>
      <sheetName val="이익잉여금처분계산서"/>
      <sheetName val="재무상태변동표"/>
      <sheetName val="제조원가명세서"/>
      <sheetName val="현금흐름표"/>
      <sheetName val="AIR_SHOWER(3인용)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지역개발"/>
      <sheetName val="Ⅱ1-0타"/>
      <sheetName val="Cover"/>
      <sheetName val="제품단가"/>
      <sheetName val="급여인상효과-연간부담분"/>
      <sheetName val="8월차잔"/>
      <sheetName val="지점_가격정보보고양식(면목지점)"/>
      <sheetName val="09년지점목표"/>
      <sheetName val="SQL Statement"/>
      <sheetName val="이코스"/>
      <sheetName val="세부(종합)"/>
      <sheetName val="2. 2012년 실행계획 수립 및 대상선정용 SHEET."/>
      <sheetName val="가격표"/>
      <sheetName val="협조전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타계정에서 명세서(PL상)"/>
      <sheetName val="상품수불"/>
      <sheetName val="95TOTREV"/>
      <sheetName val="T6-6(2)"/>
      <sheetName val="인건비"/>
      <sheetName val="04년 투자전망"/>
      <sheetName val="정산표"/>
      <sheetName val="유형분류"/>
      <sheetName val="합천내역"/>
      <sheetName val="제조원가"/>
      <sheetName val="대리이하_승진"/>
      <sheetName val="이자수익보조부"/>
      <sheetName val="SIL98"/>
      <sheetName val="2012년 하반기 승진안 및 상신양식_디자인 파트.xls"/>
      <sheetName val="등록자료"/>
      <sheetName val="GRAPH"/>
      <sheetName val="가중평균 보통주식02"/>
      <sheetName val="가중평균 보통주식01"/>
      <sheetName val="◆DC Table"/>
      <sheetName val="0217상가미분양자산"/>
      <sheetName val="기성부분 내역집계표-건축공사"/>
      <sheetName val="제경비율"/>
      <sheetName val="복갑"/>
      <sheetName val="음료실행"/>
      <sheetName val="토목주소"/>
      <sheetName val="지질조사"/>
      <sheetName val="1-1평균터파기고(1)"/>
      <sheetName val="갑지(추정)"/>
      <sheetName val="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마산월령동골조물량변경"/>
      <sheetName val="터파기및재료"/>
      <sheetName val="조명시설"/>
      <sheetName val="식생블럭단위수량"/>
      <sheetName val="EUL"/>
      <sheetName val="200"/>
      <sheetName val="건축내역"/>
      <sheetName val="평3"/>
      <sheetName val="물량표"/>
      <sheetName val="당초"/>
      <sheetName val="#3_일위대가목록"/>
      <sheetName val="일위대가표"/>
      <sheetName val="#2_일위대가목록"/>
      <sheetName val="표지"/>
      <sheetName val="2축기둥해석"/>
      <sheetName val="입찰안"/>
      <sheetName val="구조물공"/>
      <sheetName val="직노"/>
      <sheetName val="내역"/>
      <sheetName val="CTEMCOST"/>
      <sheetName val="비주거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자재"/>
      <sheetName val="중기가격(03)"/>
      <sheetName val="경비단가(02)"/>
      <sheetName val="일위대가"/>
      <sheetName val="경비"/>
      <sheetName val="신복2"/>
      <sheetName val="금호"/>
      <sheetName val="증감내역서"/>
      <sheetName val="조명시설"/>
      <sheetName val="차액보증"/>
      <sheetName val="인사자료총집계"/>
      <sheetName val="Sheet5"/>
      <sheetName val="일위대가(계측기설치)"/>
      <sheetName val="철거산출근거"/>
      <sheetName val="원가계산"/>
      <sheetName val="1.수인터널"/>
      <sheetName val="MAIN_TABLE"/>
      <sheetName val="구조물공"/>
      <sheetName val="실행철강하도"/>
      <sheetName val="평균터파기고(1-2,ASP)"/>
      <sheetName val="기성내역"/>
      <sheetName val="토공사"/>
      <sheetName val="bid"/>
      <sheetName val="구조물터파기수량집계"/>
      <sheetName val="배수공 시멘트 및 골재량 산출"/>
      <sheetName val="1.취수장"/>
      <sheetName val="실행내역서"/>
      <sheetName val="토목주소"/>
      <sheetName val="프랜트면허"/>
      <sheetName val="원본"/>
      <sheetName val="공주방향"/>
      <sheetName val="노임단가"/>
      <sheetName val="측구터파기공수량집계"/>
      <sheetName val="소비자가"/>
      <sheetName val="도수로현황"/>
      <sheetName val="5호광장_(만점)"/>
      <sheetName val="인천국제_(만점)_(2)"/>
      <sheetName val="1_수인터널"/>
      <sheetName val="배수공_시멘트_및_골재량_산출"/>
      <sheetName val="1_취수장"/>
      <sheetName val="2000년1차"/>
      <sheetName val="2000전체분"/>
      <sheetName val="견적서"/>
      <sheetName val="별표 "/>
      <sheetName val="품셈표"/>
      <sheetName val="품셈TABLE"/>
      <sheetName val="현장일반사항"/>
      <sheetName val="단가"/>
      <sheetName val="Sheet1"/>
      <sheetName val="ABUT수량-A1"/>
      <sheetName val="도급"/>
      <sheetName val="장비가동"/>
      <sheetName val="1. 설계조건 2.단면가정 3. 하중계산"/>
      <sheetName val="DATA 입력란"/>
      <sheetName val="수문일1"/>
      <sheetName val="조명율표"/>
      <sheetName val="총괄-1"/>
      <sheetName val="9GNG운반"/>
      <sheetName val="현금흐름"/>
      <sheetName val="6월 출고 일일보고"/>
      <sheetName val="골조시행"/>
      <sheetName val="설 계"/>
      <sheetName val="Sheet1 (2)"/>
      <sheetName val="가시설단위수량"/>
      <sheetName val="SORCE1"/>
      <sheetName val="예가표"/>
      <sheetName val="총괄내역"/>
      <sheetName val="소방"/>
      <sheetName val="Sheet3"/>
      <sheetName val="Sheet2"/>
      <sheetName val="COPING"/>
      <sheetName val="설계"/>
      <sheetName val="98수문일위"/>
      <sheetName val="변경후-SHEET"/>
      <sheetName val="DC-O-4-S(설명서)"/>
      <sheetName val="토목"/>
      <sheetName val="포장공자재집계표"/>
      <sheetName val="앵커구조계산"/>
      <sheetName val="집계표"/>
      <sheetName val="경비_원본"/>
      <sheetName val="정렬"/>
      <sheetName val="광통신 견적내역서1"/>
      <sheetName val="문학간접"/>
      <sheetName val="#REF"/>
      <sheetName val="수지표"/>
      <sheetName val="셀명"/>
      <sheetName val="총괄수지표"/>
      <sheetName val="내역표지"/>
      <sheetName val="현장"/>
      <sheetName val="단위수량"/>
      <sheetName val="가시설수량"/>
      <sheetName val="조건표"/>
      <sheetName val="현장업무"/>
      <sheetName val="기흥하도용"/>
      <sheetName val="입찰보고"/>
      <sheetName val="전선 및 전선관"/>
      <sheetName val="wall"/>
      <sheetName val="Front"/>
      <sheetName val="날개벽"/>
      <sheetName val="금액내역서"/>
      <sheetName val="Total"/>
      <sheetName val="건축"/>
      <sheetName val="DB"/>
      <sheetName val="수량산출서"/>
      <sheetName val="대비"/>
      <sheetName val="실행내역"/>
      <sheetName val="대운산출"/>
      <sheetName val="산3_4"/>
      <sheetName val="공통비"/>
      <sheetName val="VENDOR LIST"/>
      <sheetName val="정공공사"/>
      <sheetName val="위치조서"/>
      <sheetName val="6호기"/>
      <sheetName val="우석문틀"/>
      <sheetName val="예산M12A"/>
      <sheetName val="154TW"/>
      <sheetName val="70%"/>
      <sheetName val="단"/>
      <sheetName val="매매"/>
      <sheetName val="데이타"/>
      <sheetName val="식재인부"/>
      <sheetName val="갑지"/>
      <sheetName val="콘크리트타설집계표"/>
      <sheetName val="대창(함평)"/>
      <sheetName val="대창(장성)"/>
      <sheetName val="대창(함평)-창열"/>
      <sheetName val="입찰"/>
      <sheetName val="현경"/>
      <sheetName val="PIPE(UG)내역"/>
      <sheetName val="투찰(하수)"/>
      <sheetName val="공정코드"/>
      <sheetName val="200"/>
      <sheetName val="직노"/>
      <sheetName val="전기일위대가"/>
      <sheetName val="수량산출"/>
      <sheetName val="하수처리장"/>
      <sheetName val="설계내역서"/>
      <sheetName val="당진1,2호기전선관설치및접지4차공사내역서-을지"/>
      <sheetName val="6PILE  (돌출)"/>
      <sheetName val="기초코드"/>
      <sheetName val="배수내역"/>
      <sheetName val="노임"/>
      <sheetName val="공사비총괄표"/>
      <sheetName val="AS포장복구 "/>
      <sheetName val="산출근거"/>
      <sheetName val="흄관기초"/>
      <sheetName val="수량"/>
      <sheetName val="공사개요"/>
      <sheetName val="산출내역서집계표"/>
      <sheetName val="구성1"/>
      <sheetName val="구성2"/>
      <sheetName val="구성3"/>
      <sheetName val="구성4"/>
      <sheetName val="그림2"/>
      <sheetName val="실행내역서 "/>
      <sheetName val="산출내역서"/>
      <sheetName val="실행(표지,갑,을)"/>
      <sheetName val="최종내역"/>
      <sheetName val="간지"/>
      <sheetName val="총공사내역서"/>
      <sheetName val="1"/>
      <sheetName val="98NS-N"/>
      <sheetName val="단가(반정1교-원주)"/>
      <sheetName val="용소리교"/>
      <sheetName val="횡배수관토공수량"/>
      <sheetName val="단가일람"/>
      <sheetName val="조경일람"/>
      <sheetName val="재료집계(분수관)"/>
      <sheetName val="총괄집계 "/>
      <sheetName val="전신환매도율"/>
      <sheetName val="원가"/>
      <sheetName val="간접경상비"/>
      <sheetName val="단가표"/>
      <sheetName val="배수공"/>
      <sheetName val="예산M2"/>
      <sheetName val="주관사업"/>
      <sheetName val="PUMSEM"/>
      <sheetName val="갑"/>
      <sheetName val="타공이기수량"/>
      <sheetName val="참조자료"/>
      <sheetName val="가도공"/>
      <sheetName val="요율"/>
      <sheetName val="포장공사"/>
      <sheetName val="실적공사비"/>
      <sheetName val="건축내역"/>
      <sheetName val="단중"/>
      <sheetName val="총괄내역서"/>
      <sheetName val="15100"/>
      <sheetName val="카메라"/>
      <sheetName val="항목별진도율"/>
      <sheetName val="명세서"/>
      <sheetName val="증감대비"/>
      <sheetName val="강교(Sub)"/>
      <sheetName val="일반토공견적"/>
      <sheetName val="2F 회의실견적(5_14 일대)"/>
      <sheetName val="소야공정계획표"/>
      <sheetName val="재료집계표"/>
      <sheetName val="Macro3"/>
      <sheetName val="식재"/>
      <sheetName val="시설물"/>
      <sheetName val="식재출력용"/>
      <sheetName val="유지관리"/>
      <sheetName val="안전장치"/>
      <sheetName val="예산변경사항"/>
      <sheetName val="재무가정"/>
      <sheetName val="별표집계"/>
      <sheetName val="401"/>
      <sheetName val="가설공사내역"/>
      <sheetName val="참조"/>
      <sheetName val="수입"/>
      <sheetName val="적용토목"/>
      <sheetName val="손익분석"/>
      <sheetName val="2공구산출내역"/>
      <sheetName val="용산1(해보)"/>
      <sheetName val="경상"/>
      <sheetName val="Sheet4"/>
      <sheetName val="덕전리"/>
      <sheetName val="코드표"/>
      <sheetName val="단가조사"/>
      <sheetName val="일위목록"/>
      <sheetName val="지하"/>
      <sheetName val="DATE"/>
      <sheetName val="토적계산서"/>
      <sheetName val="상세도"/>
      <sheetName val="수량산출서 갑지"/>
      <sheetName val="예산M11A"/>
      <sheetName val="날개벽수량표"/>
      <sheetName val="APT"/>
      <sheetName val="통신물량"/>
      <sheetName val="매입세율"/>
      <sheetName val="일(4)"/>
      <sheetName val="제잡비"/>
      <sheetName val="평3"/>
      <sheetName val="계수시트"/>
      <sheetName val="원가계산서"/>
      <sheetName val="시설물일위"/>
      <sheetName val="가설공사"/>
      <sheetName val="단가결정"/>
      <sheetName val="내역아"/>
      <sheetName val="울타리"/>
      <sheetName val="99년하반기"/>
      <sheetName val="특수선일위대가"/>
      <sheetName val="교량"/>
      <sheetName val="EJ"/>
      <sheetName val="45,46"/>
      <sheetName val="참조-(1)"/>
      <sheetName val="A4"/>
      <sheetName val="장문교(대전)"/>
      <sheetName val="본댐설계"/>
      <sheetName val="INPUT"/>
      <sheetName val="MODELING"/>
      <sheetName val="용집"/>
      <sheetName val="목차"/>
      <sheetName val="경비2내역"/>
      <sheetName val="직공비"/>
      <sheetName val="교대(A1)"/>
      <sheetName val="일위대가(가설)"/>
      <sheetName val="단가조건(02년)"/>
      <sheetName val="준공조서갑지"/>
      <sheetName val="setup"/>
      <sheetName val="예총"/>
      <sheetName val="공사비집계"/>
      <sheetName val="단가(반정3교-원주)"/>
      <sheetName val="지구단위계획"/>
      <sheetName val="1공구원가계산서"/>
      <sheetName val="data"/>
      <sheetName val="Proposal"/>
      <sheetName val="본공사"/>
      <sheetName val="설-원가"/>
      <sheetName val="건공요율"/>
      <sheetName val=" 토목 처리장도급내역서 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아파트"/>
      <sheetName val="교통대책내역"/>
      <sheetName val="연결임시"/>
      <sheetName val="EGI 판넬단가표"/>
      <sheetName val="방음판단가.TRIM.ㄷPOST"/>
      <sheetName val="EGI원가산출"/>
      <sheetName val="EGI 원가산출표"/>
      <sheetName val="Y-WORK"/>
      <sheetName val="평자재단가"/>
      <sheetName val="MYENGBU"/>
      <sheetName val="참고"/>
      <sheetName val="기초일위"/>
      <sheetName val="시설일위"/>
      <sheetName val="조명일위"/>
      <sheetName val="경성자금"/>
      <sheetName val="안양건축"/>
      <sheetName val="경상비"/>
      <sheetName val="FB25JN"/>
      <sheetName val="납부서"/>
      <sheetName val="노무비단가"/>
      <sheetName val="중기조종사 단위단가"/>
      <sheetName val="CTEMCOST"/>
      <sheetName val="실행(ALT1)"/>
      <sheetName val="JUCKEYK"/>
      <sheetName val="부표총괄"/>
      <sheetName val="기초"/>
      <sheetName val="시설"/>
      <sheetName val="노임이"/>
      <sheetName val="ELECTRIC"/>
      <sheetName val="SCHEDULE"/>
      <sheetName val="CC16-내역서"/>
      <sheetName val="원가_(2)"/>
      <sheetName val="별표_"/>
      <sheetName val="EGI_판넬단가표"/>
      <sheetName val="방음판단가_TRIM_ㄷPOST"/>
      <sheetName val="EGI_원가산출표"/>
      <sheetName val="장비투입계획"/>
      <sheetName val="삼보지질"/>
      <sheetName val="입찰품의서"/>
      <sheetName val="개산공사비"/>
      <sheetName val="지연사유"/>
      <sheetName val="MATRLDATA"/>
      <sheetName val="이익영"/>
      <sheetName val="6동"/>
      <sheetName val="Ⅴ-2.공종별내역"/>
      <sheetName val="지급자재"/>
      <sheetName val="접속도로1"/>
      <sheetName val="b_balju"/>
      <sheetName val="현대물량"/>
      <sheetName val="8.PILE  (돌출)"/>
      <sheetName val="quotation"/>
      <sheetName val="Customer Databas"/>
      <sheetName val="0226"/>
      <sheetName val="AL공사(원)"/>
      <sheetName val="PANEL"/>
      <sheetName val="하조서"/>
      <sheetName val="부대내역"/>
      <sheetName val="공사기본내용입력"/>
      <sheetName val="5호광장_(만점)1"/>
      <sheetName val="인천국제_(만점)_(2)1"/>
      <sheetName val="Sheet1_(2)"/>
      <sheetName val="전선_및_전선관"/>
      <sheetName val="1_수인터널1"/>
      <sheetName val="1_취수장1"/>
      <sheetName val="배수공_시멘트_및_골재량_산출1"/>
      <sheetName val="1__설계조건_2_단면가정_3__하중계산"/>
      <sheetName val="DATA_입력란"/>
      <sheetName val="VENDOR_LIST"/>
      <sheetName val="구분자"/>
      <sheetName val="경상직원"/>
      <sheetName val="조건"/>
      <sheetName val="Book1"/>
      <sheetName val="3지구단위"/>
      <sheetName val="주공 갑지"/>
      <sheetName val="시중노임"/>
      <sheetName val="공사비명세서"/>
      <sheetName val="제직재"/>
      <sheetName val="설직재-1"/>
      <sheetName val="자재관리현황표"/>
      <sheetName val="국내"/>
      <sheetName val="7.전산해석결과"/>
      <sheetName val="4.하중"/>
      <sheetName val="우각부검토"/>
      <sheetName val="01"/>
      <sheetName val="토적집계(1,2공구)"/>
      <sheetName val="sand토적"/>
      <sheetName val="TB-내역서"/>
      <sheetName val="ML"/>
      <sheetName val="3BL공동구 수량"/>
      <sheetName val="Baby일위대가"/>
      <sheetName val="연결원본-절대지우지말것"/>
      <sheetName val="원가현황"/>
      <sheetName val="품명"/>
      <sheetName val="설계조건"/>
      <sheetName val="안정계산"/>
      <sheetName val="단면검토"/>
      <sheetName val="해평견적"/>
      <sheetName val="여과지동"/>
      <sheetName val="기초자료"/>
      <sheetName val="시설물기초"/>
      <sheetName val="데리네이타현황"/>
      <sheetName val="Macro1"/>
      <sheetName val="배수공일위대가"/>
      <sheetName val="일위대가(참고용)"/>
      <sheetName val="2.배수및구조물공"/>
      <sheetName val="N賃率-職"/>
      <sheetName val="계약서"/>
      <sheetName val="부대공"/>
      <sheetName val="포장공"/>
      <sheetName val="T13(P68~72,78)"/>
      <sheetName val="배수통관(좌)"/>
      <sheetName val="첨부2"/>
      <sheetName val="탈질배관"/>
      <sheetName val="갑지(추정)"/>
      <sheetName val="노무비"/>
      <sheetName val="가설공사비"/>
      <sheetName val="도로구조공사비"/>
      <sheetName val="도로토공공사비"/>
      <sheetName val="여수토공사비"/>
      <sheetName val="FRT_O"/>
      <sheetName val="FAB_I"/>
      <sheetName val="WORK"/>
      <sheetName val="인건-측정"/>
      <sheetName val="실행예산"/>
      <sheetName val="자료입력"/>
      <sheetName val="설계명세서"/>
      <sheetName val="차수공개요"/>
      <sheetName val="NYS"/>
      <sheetName val="일위대가표"/>
      <sheetName val="수원역(전체분)설계서"/>
      <sheetName val="대림경상68억"/>
      <sheetName val="교각1"/>
      <sheetName val="BSD (2)"/>
      <sheetName val="안정검토"/>
      <sheetName val="구매요청서 2차"/>
      <sheetName val="옥룡잡비"/>
      <sheetName val="수량산출(생반)"/>
      <sheetName val="3F"/>
      <sheetName val="정부노임단가"/>
      <sheetName val="준공조서"/>
      <sheetName val="공사준공계"/>
      <sheetName val="준공검사보고서"/>
      <sheetName val="현장경비"/>
      <sheetName val="노임(직영)"/>
      <sheetName val="식대(비과세)"/>
      <sheetName val="통신,유류비"/>
      <sheetName val="장비"/>
      <sheetName val="골재"/>
      <sheetName val="안전용품"/>
      <sheetName val="숙소"/>
      <sheetName val="잡자재(전선)"/>
      <sheetName val="복사기"/>
      <sheetName val="자금품의서 갑지"/>
      <sheetName val="잡자재(배수보드)"/>
      <sheetName val="공사비산출내역"/>
      <sheetName val="설계예산서"/>
      <sheetName val="101동"/>
      <sheetName val="공기압축기실"/>
      <sheetName val="품셈"/>
      <sheetName val="폐기물운반"/>
      <sheetName val="I一般比"/>
      <sheetName val="팔당터널(1공구)"/>
      <sheetName val="법면"/>
      <sheetName val="중기일위대가"/>
      <sheetName val="배수공1"/>
      <sheetName val="위치"/>
      <sheetName val="비교1"/>
      <sheetName val="화설내"/>
      <sheetName val="3차준공"/>
      <sheetName val="산근"/>
      <sheetName val="IMPEADENCE MAP 취수장"/>
      <sheetName val="사  업  비  수  지  예  산  서"/>
      <sheetName val="일위대가목록"/>
      <sheetName val="BREAKDOWN(철거설치)"/>
      <sheetName val="콘크리트"/>
      <sheetName val="sw1"/>
      <sheetName val="NOMUBI"/>
      <sheetName val="현장관리비 산출내역"/>
      <sheetName val="형틀"/>
      <sheetName val="이자율"/>
      <sheetName val="S.M.J설계내역서"/>
      <sheetName val="일위대가(1)"/>
      <sheetName val="입력자료(노무비)"/>
      <sheetName val="계약고&amp;환율"/>
      <sheetName val="발주현황"/>
      <sheetName val="부대공(집계)"/>
      <sheetName val="준검 내역서"/>
      <sheetName val="SLAB&quot;1&quot;"/>
      <sheetName val="입고"/>
      <sheetName val="CONCRETE"/>
      <sheetName val="노임근거"/>
      <sheetName val="4.2.1 마루높이 검토"/>
      <sheetName val="총괄표(정산항목 반영)"/>
      <sheetName val="총괄표(주계약자 부계약자)(정산항목 반영)"/>
      <sheetName val="총괄표(주계약자 부계약자)"/>
      <sheetName val="인건비 "/>
      <sheetName val="BOX 본체"/>
      <sheetName val="full (2)"/>
      <sheetName val="GT 1050x650"/>
      <sheetName val="MOTOR"/>
      <sheetName val="가로등내역서"/>
      <sheetName val="(C)원내역"/>
      <sheetName val="자재단가"/>
      <sheetName val="수량산출서(최종)"/>
      <sheetName val="특기사항"/>
      <sheetName val="단면A-A"/>
      <sheetName val="부하(성남)"/>
      <sheetName val="COVER-P"/>
      <sheetName val="STAND20"/>
      <sheetName val="가정급수관"/>
      <sheetName val="가로내역"/>
      <sheetName val="부하자료"/>
      <sheetName val="data2"/>
      <sheetName val="보차도경계석"/>
      <sheetName val="지질조사"/>
      <sheetName val="품셈(기초)"/>
      <sheetName val="견"/>
      <sheetName val="신대방33(적용)"/>
      <sheetName val="구의33고"/>
      <sheetName val="5호광장_(만점)2"/>
      <sheetName val="인천국제_(만점)_(2)2"/>
      <sheetName val="1_수인터널2"/>
      <sheetName val="6월_출고_일일보고"/>
      <sheetName val="1_취수장2"/>
      <sheetName val="배수공_시멘트_및_골재량_산출2"/>
      <sheetName val="별표_1"/>
      <sheetName val="총괄집계_"/>
      <sheetName val="설_계"/>
      <sheetName val="1__설계조건_2_단면가정_3__하중계산1"/>
      <sheetName val="DATA_입력란1"/>
      <sheetName val="Sheet1_(2)1"/>
      <sheetName val="전선_및_전선관1"/>
      <sheetName val="실행내역서_"/>
      <sheetName val="VENDOR_LIST1"/>
      <sheetName val="광통신_견적내역서1"/>
      <sheetName val="6PILE__(돌출)"/>
      <sheetName val="AS포장복구_"/>
      <sheetName val="수량산출서_갑지"/>
      <sheetName val="_토목_처리장도급내역서_"/>
      <sheetName val="원가_(2)1"/>
      <sheetName val="EGI_판넬단가표1"/>
      <sheetName val="방음판단가_TRIM_ㄷPOST1"/>
      <sheetName val="EGI_원가산출표1"/>
      <sheetName val="중기조종사_단위단가"/>
      <sheetName val="2F_회의실견적(5_14_일대)"/>
      <sheetName val="7_전산해석결과"/>
      <sheetName val="4_하중"/>
      <sheetName val="8_PILE__(돌출)"/>
      <sheetName val="3BL공동구_수량"/>
      <sheetName val="주공_갑지"/>
      <sheetName val="2_배수및구조물공"/>
      <sheetName val="Ⅴ-2_공종별내역"/>
      <sheetName val="BSD_(2)"/>
      <sheetName val="구매요청서_2차"/>
      <sheetName val="Customer_Databas"/>
      <sheetName val="10동"/>
      <sheetName val="파일항타"/>
      <sheetName val="호곡중학교"/>
      <sheetName val="비주거용"/>
      <sheetName val="FAX"/>
      <sheetName val="98지급계획"/>
      <sheetName val="자금품의서_갑지"/>
      <sheetName val="SUB일위대가"/>
      <sheetName val=" ｹ-ﾌﾞﾙ"/>
      <sheetName val="주요수량증감"/>
      <sheetName val="참조 (2)"/>
      <sheetName val="마산월령동골조물량변경"/>
      <sheetName val="인제내역"/>
      <sheetName val="TYPE-A"/>
      <sheetName val="을"/>
      <sheetName val="하중"/>
      <sheetName val=""/>
      <sheetName val="공제구간조서"/>
      <sheetName val="하수급견적대비"/>
      <sheetName val="Macro(MCC)"/>
      <sheetName val="현장관리비"/>
      <sheetName val="BH List"/>
      <sheetName val="설비"/>
      <sheetName val="흙막이-G"/>
      <sheetName val="터파기및재료"/>
      <sheetName val="재료집계"/>
      <sheetName val="00건설추정대차대조표"/>
      <sheetName val="말뚝지지력산정"/>
      <sheetName val="입력"/>
      <sheetName val="식생블럭단위수량"/>
      <sheetName val="총괄 (2)"/>
      <sheetName val="변화치수"/>
      <sheetName val="3련 BOX"/>
      <sheetName val="1.설계조건"/>
      <sheetName val="총체보활공정표"/>
      <sheetName val="단면가정"/>
      <sheetName val="원형1호맨홀토공수량"/>
      <sheetName val="맨홀수량산출"/>
      <sheetName val="가감수량"/>
      <sheetName val="토사(PE)"/>
      <sheetName val="간선계산"/>
      <sheetName val="북방3터널"/>
      <sheetName val="JJ"/>
      <sheetName val="지급자재대"/>
      <sheetName val="시중노임단가"/>
      <sheetName val="낙찰표"/>
      <sheetName val="사용자정의"/>
      <sheetName val="성서방향-교대(A2)"/>
      <sheetName val="0217상가미분양자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내역서"/>
      <sheetName val="임대기간"/>
      <sheetName val="(건설용리프트)임대기간산출"/>
      <sheetName val="설치높이 산정"/>
      <sheetName val="입면도"/>
      <sheetName val="건설용리프트설치위치도"/>
      <sheetName val="첨부1. HC 방호선반 사진"/>
      <sheetName val="첨부2. 호이스트 입찰 기준안"/>
    </sheetNames>
    <sheetDataSet>
      <sheetData sheetId="0"/>
      <sheetData sheetId="1"/>
      <sheetData sheetId="2">
        <row r="5">
          <cell r="Y5">
            <v>12</v>
          </cell>
        </row>
        <row r="6">
          <cell r="Y6">
            <v>12</v>
          </cell>
        </row>
        <row r="7">
          <cell r="Y7">
            <v>12</v>
          </cell>
        </row>
        <row r="8">
          <cell r="Y8">
            <v>12</v>
          </cell>
        </row>
        <row r="9">
          <cell r="Y9">
            <v>13</v>
          </cell>
        </row>
        <row r="10">
          <cell r="Y10">
            <v>13</v>
          </cell>
        </row>
        <row r="11">
          <cell r="Y11">
            <v>12</v>
          </cell>
        </row>
        <row r="12">
          <cell r="Y12">
            <v>12</v>
          </cell>
        </row>
      </sheetData>
      <sheetData sheetId="3"/>
      <sheetData sheetId="4">
        <row r="4">
          <cell r="G4">
            <v>82</v>
          </cell>
        </row>
        <row r="5">
          <cell r="G5">
            <v>82</v>
          </cell>
        </row>
        <row r="6">
          <cell r="G6">
            <v>75</v>
          </cell>
        </row>
        <row r="7">
          <cell r="G7">
            <v>69</v>
          </cell>
        </row>
        <row r="8">
          <cell r="G8">
            <v>77</v>
          </cell>
        </row>
        <row r="9">
          <cell r="G9">
            <v>77</v>
          </cell>
        </row>
        <row r="10">
          <cell r="G10">
            <v>78</v>
          </cell>
        </row>
        <row r="11">
          <cell r="G11">
            <v>75</v>
          </cell>
        </row>
      </sheetData>
      <sheetData sheetId="5"/>
      <sheetData sheetId="6">
        <row r="2">
          <cell r="A2" t="str">
            <v>■ 현장명 : 부산장안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3702-6152-44E1-979A-E634A98EB354}">
  <sheetPr>
    <tabColor rgb="FFFFC000"/>
  </sheetPr>
  <dimension ref="A1:S32"/>
  <sheetViews>
    <sheetView view="pageBreakPreview" zoomScaleNormal="100" zoomScaleSheetLayoutView="100" workbookViewId="0">
      <selection activeCell="H11" sqref="H11"/>
    </sheetView>
  </sheetViews>
  <sheetFormatPr defaultColWidth="8" defaultRowHeight="12"/>
  <cols>
    <col min="1" max="1" width="9.625" style="22" customWidth="1"/>
    <col min="2" max="2" width="7.625" style="22" customWidth="1"/>
    <col min="3" max="3" width="8.75" style="22" customWidth="1"/>
    <col min="4" max="4" width="7" style="22" customWidth="1"/>
    <col min="5" max="7" width="7" style="18" customWidth="1"/>
    <col min="8" max="8" width="9.625" style="18" customWidth="1"/>
    <col min="9" max="9" width="9.875" style="18" customWidth="1"/>
    <col min="10" max="10" width="18.875" style="22" customWidth="1"/>
    <col min="11" max="15" width="8.25" style="22" hidden="1" customWidth="1"/>
    <col min="16" max="16" width="8.5" style="22" customWidth="1"/>
    <col min="17" max="16384" width="8" style="22"/>
  </cols>
  <sheetData>
    <row r="1" spans="1:19" s="3" customFormat="1" ht="3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9" s="3" customFormat="1" ht="14.2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</row>
    <row r="3" spans="1:19" s="3" customFormat="1" ht="24" customHeight="1">
      <c r="A3" s="6" t="s">
        <v>2</v>
      </c>
      <c r="B3" s="7"/>
      <c r="C3" s="6"/>
      <c r="D3" s="8"/>
      <c r="E3" s="8"/>
      <c r="F3" s="8"/>
      <c r="G3" s="8"/>
      <c r="H3" s="9"/>
      <c r="I3" s="9"/>
      <c r="J3" s="9"/>
      <c r="K3" s="10"/>
      <c r="L3" s="10"/>
      <c r="M3" s="9"/>
      <c r="N3" s="10"/>
      <c r="O3" s="10"/>
      <c r="P3" s="6"/>
    </row>
    <row r="4" spans="1:19" s="3" customFormat="1" ht="11.25" customHeight="1">
      <c r="A4" s="6"/>
      <c r="B4" s="7"/>
      <c r="C4" s="6"/>
      <c r="D4" s="8"/>
      <c r="E4" s="8"/>
      <c r="F4" s="8"/>
      <c r="G4" s="8"/>
      <c r="H4" s="9"/>
      <c r="I4" s="9"/>
      <c r="J4" s="9"/>
      <c r="K4" s="10"/>
      <c r="L4" s="10"/>
      <c r="M4" s="9"/>
      <c r="N4" s="10"/>
      <c r="O4" s="10"/>
      <c r="P4" s="6"/>
    </row>
    <row r="5" spans="1:19" s="3" customFormat="1" ht="21.75" customHeight="1">
      <c r="A5" s="11" t="s">
        <v>3</v>
      </c>
      <c r="B5" s="7"/>
      <c r="C5" s="6"/>
      <c r="D5" s="8"/>
      <c r="E5" s="8"/>
      <c r="F5" s="8"/>
      <c r="G5" s="8"/>
      <c r="H5" s="9"/>
      <c r="I5" s="9"/>
      <c r="J5" s="9"/>
      <c r="K5" s="10"/>
      <c r="L5" s="10"/>
      <c r="M5" s="9"/>
      <c r="N5" s="10"/>
      <c r="O5" s="10"/>
      <c r="P5" s="6"/>
    </row>
    <row r="6" spans="1:19" s="3" customFormat="1" ht="17.25" customHeight="1">
      <c r="A6" s="12" t="s">
        <v>4</v>
      </c>
      <c r="B6" s="13" t="s">
        <v>5</v>
      </c>
      <c r="C6" s="14">
        <v>30</v>
      </c>
      <c r="D6" s="15" t="s">
        <v>6</v>
      </c>
      <c r="E6" s="16">
        <v>35</v>
      </c>
      <c r="F6" s="17"/>
      <c r="G6" s="14"/>
      <c r="H6" s="15"/>
      <c r="I6" s="14"/>
      <c r="J6" s="18"/>
      <c r="K6" s="10"/>
      <c r="L6" s="10"/>
      <c r="M6" s="18"/>
      <c r="N6" s="10"/>
      <c r="O6" s="10"/>
      <c r="P6" s="14"/>
    </row>
    <row r="7" spans="1:19" s="3" customFormat="1" ht="17.25" customHeight="1">
      <c r="A7" s="12" t="s">
        <v>7</v>
      </c>
      <c r="B7" s="13" t="s">
        <v>8</v>
      </c>
      <c r="C7" s="14">
        <v>25</v>
      </c>
      <c r="D7" s="15" t="s">
        <v>9</v>
      </c>
      <c r="E7" s="14">
        <v>10</v>
      </c>
      <c r="F7" s="19" t="s">
        <v>10</v>
      </c>
      <c r="G7" s="14">
        <v>15</v>
      </c>
      <c r="H7" s="15" t="s">
        <v>11</v>
      </c>
      <c r="I7" s="16">
        <v>15</v>
      </c>
      <c r="J7" s="17"/>
      <c r="K7" s="10"/>
      <c r="L7" s="10"/>
      <c r="M7" s="18"/>
      <c r="N7" s="10"/>
      <c r="O7" s="10"/>
      <c r="P7" s="14"/>
    </row>
    <row r="8" spans="1:19" ht="14.25" thickBot="1">
      <c r="A8" s="12"/>
      <c r="B8" s="13"/>
      <c r="C8" s="14"/>
      <c r="D8" s="15"/>
      <c r="E8" s="16"/>
      <c r="F8" s="19"/>
      <c r="G8" s="20"/>
      <c r="H8" s="19"/>
      <c r="I8" s="20"/>
      <c r="J8" s="21"/>
      <c r="M8" s="21"/>
      <c r="P8" s="20"/>
    </row>
    <row r="9" spans="1:19" s="35" customFormat="1" ht="24.95" customHeight="1" thickBot="1">
      <c r="A9" s="23" t="s">
        <v>12</v>
      </c>
      <c r="B9" s="24"/>
      <c r="C9" s="25"/>
      <c r="D9" s="26" t="s">
        <v>13</v>
      </c>
      <c r="E9" s="27"/>
      <c r="F9" s="27"/>
      <c r="G9" s="28"/>
      <c r="H9" s="29" t="s">
        <v>14</v>
      </c>
      <c r="I9" s="30"/>
      <c r="J9" s="31" t="s">
        <v>15</v>
      </c>
      <c r="K9" s="31"/>
      <c r="L9" s="32"/>
      <c r="M9" s="33" t="s">
        <v>16</v>
      </c>
      <c r="N9" s="31"/>
      <c r="O9" s="31"/>
      <c r="P9" s="34" t="s">
        <v>17</v>
      </c>
    </row>
    <row r="10" spans="1:19" s="35" customFormat="1" ht="27.75" thickTop="1">
      <c r="A10" s="36" t="s">
        <v>18</v>
      </c>
      <c r="B10" s="37" t="s">
        <v>19</v>
      </c>
      <c r="C10" s="38" t="s">
        <v>20</v>
      </c>
      <c r="D10" s="39" t="s">
        <v>21</v>
      </c>
      <c r="E10" s="40" t="s">
        <v>22</v>
      </c>
      <c r="F10" s="41" t="s">
        <v>23</v>
      </c>
      <c r="G10" s="42" t="s">
        <v>24</v>
      </c>
      <c r="H10" s="43" t="s">
        <v>25</v>
      </c>
      <c r="I10" s="44" t="s">
        <v>26</v>
      </c>
      <c r="J10" s="45" t="s">
        <v>27</v>
      </c>
      <c r="K10" s="46" t="s">
        <v>28</v>
      </c>
      <c r="L10" s="47" t="s">
        <v>29</v>
      </c>
      <c r="M10" s="48" t="s">
        <v>27</v>
      </c>
      <c r="N10" s="49" t="s">
        <v>28</v>
      </c>
      <c r="O10" s="50" t="s">
        <v>29</v>
      </c>
      <c r="P10" s="51"/>
    </row>
    <row r="11" spans="1:19" s="67" customFormat="1" ht="24.95" customHeight="1">
      <c r="A11" s="52" t="s">
        <v>30</v>
      </c>
      <c r="B11" s="53" t="s">
        <v>31</v>
      </c>
      <c r="C11" s="54" t="s">
        <v>32</v>
      </c>
      <c r="D11" s="55">
        <v>2</v>
      </c>
      <c r="E11" s="56">
        <v>15</v>
      </c>
      <c r="F11" s="57">
        <v>14</v>
      </c>
      <c r="G11" s="58">
        <v>2</v>
      </c>
      <c r="H11" s="59">
        <f>$C$6+$E$6*D11+$C$7+$E$7*(F11-1)+$G$7+$I$7*G11</f>
        <v>300</v>
      </c>
      <c r="I11" s="60">
        <f>ROUNDUP(MAX(H11:H12)/365*12,0)</f>
        <v>11</v>
      </c>
      <c r="J11" s="61">
        <f>I11+1</f>
        <v>12</v>
      </c>
      <c r="K11" s="62">
        <v>13</v>
      </c>
      <c r="L11" s="63">
        <f>K11-J11</f>
        <v>1</v>
      </c>
      <c r="M11" s="64">
        <f>J11</f>
        <v>12</v>
      </c>
      <c r="N11" s="65">
        <v>16</v>
      </c>
      <c r="O11" s="63">
        <f>N11-M11</f>
        <v>4</v>
      </c>
      <c r="P11" s="66"/>
      <c r="S11" s="68"/>
    </row>
    <row r="12" spans="1:19" s="67" customFormat="1" ht="24.95" customHeight="1">
      <c r="A12" s="69"/>
      <c r="B12" s="70"/>
      <c r="C12" s="71" t="s">
        <v>33</v>
      </c>
      <c r="D12" s="72">
        <v>2</v>
      </c>
      <c r="E12" s="73">
        <v>18</v>
      </c>
      <c r="F12" s="74">
        <v>17</v>
      </c>
      <c r="G12" s="75">
        <v>2</v>
      </c>
      <c r="H12" s="76">
        <f t="shared" ref="H12:H22" si="0">$C$6+$E$6*D12+$C$7+$E$7*(F12-1)+$G$7+$I$7*G12</f>
        <v>330</v>
      </c>
      <c r="I12" s="77"/>
      <c r="J12" s="78"/>
      <c r="K12" s="79"/>
      <c r="L12" s="80"/>
      <c r="M12" s="81"/>
      <c r="N12" s="82"/>
      <c r="O12" s="80"/>
      <c r="P12" s="83"/>
    </row>
    <row r="13" spans="1:19" s="97" customFormat="1" ht="24.95" customHeight="1">
      <c r="A13" s="69"/>
      <c r="B13" s="84" t="s">
        <v>34</v>
      </c>
      <c r="C13" s="85" t="s">
        <v>35</v>
      </c>
      <c r="D13" s="86">
        <v>2</v>
      </c>
      <c r="E13" s="87">
        <v>20</v>
      </c>
      <c r="F13" s="88">
        <v>19</v>
      </c>
      <c r="G13" s="89">
        <v>2</v>
      </c>
      <c r="H13" s="90">
        <f>$C$6+$E$6*D13+$C$7+$E$7*(F13-1)+$G$7+$I$7*G13</f>
        <v>350</v>
      </c>
      <c r="I13" s="91">
        <f>ROUNDUP(MAX(H13:H13)/365*12,0)</f>
        <v>12</v>
      </c>
      <c r="J13" s="92">
        <f>I13+1</f>
        <v>13</v>
      </c>
      <c r="K13" s="92"/>
      <c r="L13" s="93"/>
      <c r="M13" s="94"/>
      <c r="N13" s="95"/>
      <c r="O13" s="93"/>
      <c r="P13" s="96"/>
      <c r="S13" s="67"/>
    </row>
    <row r="14" spans="1:19" s="97" customFormat="1" ht="24.95" customHeight="1">
      <c r="A14" s="69"/>
      <c r="B14" s="53" t="s">
        <v>36</v>
      </c>
      <c r="C14" s="98" t="s">
        <v>37</v>
      </c>
      <c r="D14" s="99">
        <v>2</v>
      </c>
      <c r="E14" s="100">
        <v>20</v>
      </c>
      <c r="F14" s="101">
        <v>19</v>
      </c>
      <c r="G14" s="102">
        <v>2</v>
      </c>
      <c r="H14" s="103">
        <f t="shared" si="0"/>
        <v>350</v>
      </c>
      <c r="I14" s="104">
        <f>ROUNDUP(MAX(H14:H15)/365*12,0)</f>
        <v>12</v>
      </c>
      <c r="J14" s="61">
        <f>I14+1</f>
        <v>13</v>
      </c>
      <c r="K14" s="61"/>
      <c r="L14" s="63"/>
      <c r="M14" s="105"/>
      <c r="N14" s="65"/>
      <c r="O14" s="63"/>
      <c r="P14" s="66"/>
    </row>
    <row r="15" spans="1:19" s="97" customFormat="1" ht="24.95" customHeight="1">
      <c r="A15" s="69"/>
      <c r="B15" s="53"/>
      <c r="C15" s="71" t="s">
        <v>38</v>
      </c>
      <c r="D15" s="106">
        <v>2</v>
      </c>
      <c r="E15" s="107">
        <v>20</v>
      </c>
      <c r="F15" s="108">
        <v>19</v>
      </c>
      <c r="G15" s="109">
        <v>2</v>
      </c>
      <c r="H15" s="76">
        <f t="shared" si="0"/>
        <v>350</v>
      </c>
      <c r="I15" s="110"/>
      <c r="J15" s="61"/>
      <c r="K15" s="61"/>
      <c r="L15" s="63"/>
      <c r="M15" s="105"/>
      <c r="N15" s="65"/>
      <c r="O15" s="63"/>
      <c r="P15" s="83"/>
    </row>
    <row r="16" spans="1:19" s="122" customFormat="1" ht="24.95" customHeight="1">
      <c r="A16" s="69"/>
      <c r="B16" s="111" t="s">
        <v>39</v>
      </c>
      <c r="C16" s="112">
        <v>105</v>
      </c>
      <c r="D16" s="113">
        <v>2</v>
      </c>
      <c r="E16" s="114">
        <v>20</v>
      </c>
      <c r="F16" s="114">
        <v>19</v>
      </c>
      <c r="G16" s="115">
        <v>2</v>
      </c>
      <c r="H16" s="59">
        <f t="shared" si="0"/>
        <v>350</v>
      </c>
      <c r="I16" s="60">
        <f>ROUNDUP(MAX(H16:H18)/365*12,0)</f>
        <v>12</v>
      </c>
      <c r="J16" s="116">
        <f>I16+1</f>
        <v>13</v>
      </c>
      <c r="K16" s="117">
        <v>13</v>
      </c>
      <c r="L16" s="118">
        <f>K16-J16</f>
        <v>0</v>
      </c>
      <c r="M16" s="119">
        <f>J16</f>
        <v>13</v>
      </c>
      <c r="N16" s="120">
        <v>16</v>
      </c>
      <c r="O16" s="118">
        <f>N16-M16</f>
        <v>3</v>
      </c>
      <c r="P16" s="121"/>
      <c r="R16" s="97"/>
      <c r="S16" s="97"/>
    </row>
    <row r="17" spans="1:19" s="122" customFormat="1" ht="24.95" customHeight="1">
      <c r="A17" s="69"/>
      <c r="B17" s="111"/>
      <c r="C17" s="123">
        <v>106</v>
      </c>
      <c r="D17" s="124">
        <v>2</v>
      </c>
      <c r="E17" s="125">
        <v>20</v>
      </c>
      <c r="F17" s="125">
        <v>19</v>
      </c>
      <c r="G17" s="126">
        <v>2</v>
      </c>
      <c r="H17" s="90">
        <f t="shared" si="0"/>
        <v>350</v>
      </c>
      <c r="I17" s="127"/>
      <c r="J17" s="128"/>
      <c r="K17" s="129"/>
      <c r="L17" s="130"/>
      <c r="M17" s="131"/>
      <c r="N17" s="132"/>
      <c r="O17" s="130"/>
      <c r="P17" s="66"/>
      <c r="R17" s="97"/>
      <c r="S17" s="97"/>
    </row>
    <row r="18" spans="1:19" s="122" customFormat="1" ht="24.95" customHeight="1">
      <c r="A18" s="69"/>
      <c r="B18" s="111"/>
      <c r="C18" s="133">
        <v>107</v>
      </c>
      <c r="D18" s="134">
        <v>2</v>
      </c>
      <c r="E18" s="135">
        <v>17</v>
      </c>
      <c r="F18" s="135">
        <v>16</v>
      </c>
      <c r="G18" s="136">
        <v>2</v>
      </c>
      <c r="H18" s="137">
        <f t="shared" si="0"/>
        <v>320</v>
      </c>
      <c r="I18" s="138"/>
      <c r="J18" s="128"/>
      <c r="K18" s="129"/>
      <c r="L18" s="130"/>
      <c r="M18" s="131"/>
      <c r="N18" s="132"/>
      <c r="O18" s="130"/>
      <c r="P18" s="66"/>
      <c r="R18" s="97"/>
      <c r="S18" s="97"/>
    </row>
    <row r="19" spans="1:19" s="122" customFormat="1" ht="24.95" customHeight="1">
      <c r="A19" s="69"/>
      <c r="B19" s="139" t="s">
        <v>40</v>
      </c>
      <c r="C19" s="140" t="s">
        <v>41</v>
      </c>
      <c r="D19" s="113">
        <v>2</v>
      </c>
      <c r="E19" s="114">
        <v>17</v>
      </c>
      <c r="F19" s="114">
        <v>16</v>
      </c>
      <c r="G19" s="115">
        <v>2</v>
      </c>
      <c r="H19" s="141">
        <f t="shared" si="0"/>
        <v>320</v>
      </c>
      <c r="I19" s="142">
        <f>ROUNDUP(MAX(H19:H19)/365*12,0)</f>
        <v>11</v>
      </c>
      <c r="J19" s="116">
        <f>I19+1</f>
        <v>12</v>
      </c>
      <c r="K19" s="143"/>
      <c r="L19" s="144"/>
      <c r="M19" s="145"/>
      <c r="N19" s="146"/>
      <c r="O19" s="144"/>
      <c r="P19" s="121"/>
      <c r="R19" s="97"/>
      <c r="S19" s="97"/>
    </row>
    <row r="20" spans="1:19" s="122" customFormat="1" ht="24.95" customHeight="1">
      <c r="A20" s="69"/>
      <c r="B20" s="147"/>
      <c r="C20" s="148" t="s">
        <v>42</v>
      </c>
      <c r="D20" s="149">
        <v>2</v>
      </c>
      <c r="E20" s="150">
        <v>15</v>
      </c>
      <c r="F20" s="150">
        <v>14</v>
      </c>
      <c r="G20" s="151">
        <v>2</v>
      </c>
      <c r="H20" s="152">
        <f t="shared" si="0"/>
        <v>300</v>
      </c>
      <c r="I20" s="153"/>
      <c r="J20" s="154"/>
      <c r="K20" s="155">
        <v>13</v>
      </c>
      <c r="L20" s="156">
        <f>K20-J20</f>
        <v>13</v>
      </c>
      <c r="M20" s="157">
        <f>J20</f>
        <v>0</v>
      </c>
      <c r="N20" s="158">
        <v>16</v>
      </c>
      <c r="O20" s="156">
        <f>N20-M20</f>
        <v>16</v>
      </c>
      <c r="P20" s="83"/>
      <c r="R20" s="97"/>
      <c r="S20" s="97"/>
    </row>
    <row r="21" spans="1:19" s="122" customFormat="1" ht="24.95" customHeight="1">
      <c r="A21" s="69"/>
      <c r="B21" s="111" t="s">
        <v>43</v>
      </c>
      <c r="C21" s="159" t="s">
        <v>44</v>
      </c>
      <c r="D21" s="113">
        <v>2</v>
      </c>
      <c r="E21" s="114">
        <v>19</v>
      </c>
      <c r="F21" s="114">
        <v>18</v>
      </c>
      <c r="G21" s="115">
        <v>2</v>
      </c>
      <c r="H21" s="59">
        <f t="shared" si="0"/>
        <v>340</v>
      </c>
      <c r="I21" s="60">
        <f>ROUNDUP(MAX(H21:H22)/365*12,0)</f>
        <v>12</v>
      </c>
      <c r="J21" s="116">
        <f>I21+1</f>
        <v>13</v>
      </c>
      <c r="K21" s="117">
        <v>13</v>
      </c>
      <c r="L21" s="118">
        <f>K21-J21</f>
        <v>0</v>
      </c>
      <c r="M21" s="119">
        <f>J21</f>
        <v>13</v>
      </c>
      <c r="N21" s="120">
        <v>16</v>
      </c>
      <c r="O21" s="118">
        <f>N21-M21</f>
        <v>3</v>
      </c>
      <c r="P21" s="121"/>
      <c r="R21" s="97"/>
    </row>
    <row r="22" spans="1:19" s="122" customFormat="1" ht="24.95" customHeight="1">
      <c r="A22" s="69"/>
      <c r="B22" s="111"/>
      <c r="C22" s="160" t="s">
        <v>45</v>
      </c>
      <c r="D22" s="149">
        <v>2</v>
      </c>
      <c r="E22" s="150">
        <v>20</v>
      </c>
      <c r="F22" s="150">
        <v>19</v>
      </c>
      <c r="G22" s="151">
        <v>2</v>
      </c>
      <c r="H22" s="76">
        <f t="shared" si="0"/>
        <v>350</v>
      </c>
      <c r="I22" s="77"/>
      <c r="J22" s="154"/>
      <c r="K22" s="161"/>
      <c r="L22" s="162"/>
      <c r="M22" s="163"/>
      <c r="N22" s="164"/>
      <c r="O22" s="162"/>
      <c r="P22" s="83"/>
      <c r="R22" s="97"/>
    </row>
    <row r="23" spans="1:19" s="122" customFormat="1" ht="35.1" customHeight="1" thickBot="1">
      <c r="A23" s="165" t="s">
        <v>46</v>
      </c>
      <c r="B23" s="166"/>
      <c r="C23" s="167"/>
      <c r="D23" s="168"/>
      <c r="E23" s="168"/>
      <c r="F23" s="168"/>
      <c r="G23" s="169"/>
      <c r="H23" s="170"/>
      <c r="I23" s="171">
        <f>SUM(I11:I22)</f>
        <v>70</v>
      </c>
      <c r="J23" s="172">
        <f>SUM(J11:J22)</f>
        <v>76</v>
      </c>
      <c r="K23" s="173">
        <f>SUM(K11:K16)</f>
        <v>26</v>
      </c>
      <c r="L23" s="174">
        <f>SUM(L11:O16)</f>
        <v>65</v>
      </c>
      <c r="M23" s="175">
        <f>SUM(M11:M16)</f>
        <v>25</v>
      </c>
      <c r="N23" s="176">
        <f>SUM(N11:N16)</f>
        <v>32</v>
      </c>
      <c r="O23" s="174">
        <f>SUM(O11:O16)</f>
        <v>7</v>
      </c>
      <c r="P23" s="177"/>
    </row>
    <row r="24" spans="1:19">
      <c r="A24" s="178"/>
      <c r="B24" s="178"/>
      <c r="C24" s="178"/>
      <c r="D24" s="179"/>
      <c r="E24" s="180"/>
      <c r="F24" s="180"/>
      <c r="G24" s="180"/>
      <c r="P24" s="178"/>
    </row>
    <row r="25" spans="1:19" ht="13.5">
      <c r="A25" s="21" t="s">
        <v>47</v>
      </c>
      <c r="B25" s="178"/>
      <c r="C25" s="178"/>
      <c r="D25" s="179"/>
      <c r="E25" s="180"/>
      <c r="F25" s="180"/>
      <c r="G25" s="180"/>
      <c r="P25" s="178"/>
    </row>
    <row r="26" spans="1:19">
      <c r="A26" s="178"/>
      <c r="B26" s="178"/>
      <c r="C26" s="178"/>
      <c r="D26" s="179"/>
      <c r="E26" s="180"/>
      <c r="F26" s="180"/>
      <c r="G26" s="180"/>
      <c r="P26" s="178"/>
    </row>
    <row r="27" spans="1:19">
      <c r="A27" s="178"/>
      <c r="B27" s="178"/>
      <c r="C27" s="178"/>
      <c r="D27" s="179"/>
      <c r="E27" s="180"/>
      <c r="F27" s="180"/>
      <c r="G27" s="180"/>
      <c r="P27" s="178"/>
    </row>
    <row r="28" spans="1:19">
      <c r="D28" s="181"/>
      <c r="E28" s="182"/>
      <c r="F28" s="182"/>
      <c r="G28" s="182"/>
      <c r="I28" s="183"/>
      <c r="J28" s="183"/>
    </row>
    <row r="29" spans="1:19">
      <c r="D29" s="181"/>
      <c r="E29" s="182"/>
      <c r="F29" s="182"/>
      <c r="G29" s="182"/>
    </row>
    <row r="30" spans="1:19" s="18" customFormat="1">
      <c r="A30" s="22"/>
      <c r="B30" s="22"/>
      <c r="C30" s="22"/>
      <c r="D30" s="181"/>
      <c r="E30" s="182"/>
      <c r="F30" s="182"/>
      <c r="G30" s="182"/>
      <c r="J30" s="22"/>
      <c r="K30" s="22"/>
      <c r="L30" s="22"/>
      <c r="M30" s="22"/>
      <c r="N30" s="22"/>
      <c r="O30" s="22"/>
      <c r="P30" s="22"/>
      <c r="Q30" s="22"/>
    </row>
    <row r="31" spans="1:19" s="18" customFormat="1">
      <c r="A31" s="22"/>
      <c r="B31" s="22"/>
      <c r="C31" s="22"/>
      <c r="D31" s="181"/>
      <c r="E31" s="182"/>
      <c r="F31" s="182"/>
      <c r="G31" s="182"/>
      <c r="J31" s="22"/>
      <c r="K31" s="22"/>
      <c r="L31" s="22"/>
      <c r="M31" s="22"/>
      <c r="N31" s="22"/>
      <c r="O31" s="22"/>
      <c r="P31" s="22"/>
      <c r="Q31" s="22"/>
    </row>
    <row r="32" spans="1:19" s="18" customFormat="1" ht="28.5" customHeight="1">
      <c r="A32" s="22"/>
      <c r="B32" s="22"/>
      <c r="C32" s="22"/>
      <c r="D32" s="22"/>
      <c r="J32" s="22"/>
      <c r="K32" s="22"/>
      <c r="L32" s="22"/>
      <c r="M32" s="22"/>
      <c r="N32" s="22"/>
      <c r="O32" s="22"/>
      <c r="P32" s="22"/>
      <c r="Q32" s="22"/>
    </row>
  </sheetData>
  <mergeCells count="40">
    <mergeCell ref="B21:B22"/>
    <mergeCell ref="I21:I22"/>
    <mergeCell ref="J21:J22"/>
    <mergeCell ref="P21:P22"/>
    <mergeCell ref="A23:G23"/>
    <mergeCell ref="B16:B18"/>
    <mergeCell ref="I16:I18"/>
    <mergeCell ref="J16:J18"/>
    <mergeCell ref="P16:P18"/>
    <mergeCell ref="B19:B20"/>
    <mergeCell ref="I19:I20"/>
    <mergeCell ref="J19:J20"/>
    <mergeCell ref="P19:P20"/>
    <mergeCell ref="P11:P12"/>
    <mergeCell ref="B14:B15"/>
    <mergeCell ref="I14:I15"/>
    <mergeCell ref="J14:J15"/>
    <mergeCell ref="K14:K15"/>
    <mergeCell ref="L14:L15"/>
    <mergeCell ref="M14:M15"/>
    <mergeCell ref="N14:N15"/>
    <mergeCell ref="O14:O15"/>
    <mergeCell ref="P14:P15"/>
    <mergeCell ref="P9:P10"/>
    <mergeCell ref="A11:A22"/>
    <mergeCell ref="B11:B12"/>
    <mergeCell ref="I11:I12"/>
    <mergeCell ref="J11:J12"/>
    <mergeCell ref="K11:K12"/>
    <mergeCell ref="L11:L12"/>
    <mergeCell ref="M11:M12"/>
    <mergeCell ref="N11:N12"/>
    <mergeCell ref="O11:O12"/>
    <mergeCell ref="A1:O1"/>
    <mergeCell ref="A2:O2"/>
    <mergeCell ref="A9:C9"/>
    <mergeCell ref="D9:G9"/>
    <mergeCell ref="H9:I9"/>
    <mergeCell ref="J9:L9"/>
    <mergeCell ref="M9:O9"/>
  </mergeCells>
  <phoneticPr fontId="3" type="noConversion"/>
  <printOptions horizontalCentered="1"/>
  <pageMargins left="0.11811023622047245" right="0.11811023622047245" top="0.74803149606299213" bottom="0.35433070866141736" header="0.31496062992125984" footer="0.31496062992125984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EA04-9EB2-4D62-A13E-A7AB0C2DE0C8}">
  <sheetPr>
    <tabColor theme="7" tint="0.39997558519241921"/>
  </sheetPr>
  <dimension ref="A1:AD35"/>
  <sheetViews>
    <sheetView showGridLines="0" tabSelected="1" view="pageBreakPreview" zoomScaleNormal="100" zoomScaleSheetLayoutView="100" workbookViewId="0">
      <selection activeCell="F12" sqref="F12"/>
    </sheetView>
  </sheetViews>
  <sheetFormatPr defaultColWidth="8" defaultRowHeight="12"/>
  <cols>
    <col min="1" max="1" width="9.125" style="196" customWidth="1"/>
    <col min="2" max="2" width="10.625" style="196" customWidth="1"/>
    <col min="3" max="3" width="10.25" style="195" customWidth="1"/>
    <col min="4" max="4" width="12.25" style="195" customWidth="1"/>
    <col min="5" max="5" width="10.25" style="195" customWidth="1"/>
    <col min="6" max="7" width="10.625" style="195" customWidth="1"/>
    <col min="8" max="8" width="12.25" style="195" customWidth="1"/>
    <col min="9" max="9" width="13.125" style="195" customWidth="1"/>
    <col min="10" max="10" width="9.5" style="195" customWidth="1"/>
    <col min="11" max="11" width="9.125" style="196" customWidth="1"/>
    <col min="12" max="12" width="10.625" style="196" customWidth="1"/>
    <col min="13" max="13" width="10" style="196" customWidth="1"/>
    <col min="14" max="14" width="9.25" style="196" customWidth="1"/>
    <col min="15" max="16" width="11.375" style="196" customWidth="1"/>
    <col min="17" max="19" width="9.5" style="196" customWidth="1"/>
    <col min="20" max="22" width="8" style="196"/>
    <col min="23" max="30" width="11.375" style="196" customWidth="1"/>
    <col min="31" max="16384" width="8" style="196"/>
  </cols>
  <sheetData>
    <row r="1" spans="1:30" s="185" customFormat="1" ht="30.75" customHeight="1">
      <c r="A1" s="184" t="s">
        <v>48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spans="1:30" s="185" customFormat="1" ht="14.25" customHeight="1">
      <c r="A2" s="186" t="s">
        <v>49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</row>
    <row r="3" spans="1:30" s="192" customFormat="1" ht="20.100000000000001" customHeight="1">
      <c r="A3" s="188" t="str">
        <f>[34]건설용리프트설치위치도!A2</f>
        <v>■ 현장명 : 부산장안</v>
      </c>
      <c r="B3" s="189"/>
      <c r="C3" s="188"/>
      <c r="D3" s="190"/>
      <c r="E3" s="190"/>
      <c r="F3" s="190"/>
      <c r="G3" s="190"/>
      <c r="H3" s="191"/>
      <c r="I3" s="191"/>
      <c r="J3" s="191"/>
    </row>
    <row r="4" spans="1:30" ht="20.100000000000001" customHeight="1">
      <c r="A4" s="188" t="s">
        <v>50</v>
      </c>
      <c r="B4" s="193"/>
      <c r="C4" s="194"/>
      <c r="D4" s="194"/>
      <c r="E4" s="194"/>
      <c r="F4" s="194"/>
    </row>
    <row r="5" spans="1:30" ht="20.100000000000001" customHeight="1">
      <c r="A5" s="197" t="s">
        <v>4</v>
      </c>
      <c r="B5" s="198" t="s">
        <v>5</v>
      </c>
      <c r="C5" s="199">
        <v>30</v>
      </c>
      <c r="D5" s="200" t="s">
        <v>6</v>
      </c>
      <c r="E5" s="201">
        <v>35</v>
      </c>
      <c r="F5" s="202"/>
      <c r="G5" s="202"/>
      <c r="H5" s="202"/>
      <c r="I5" s="203"/>
    </row>
    <row r="6" spans="1:30" ht="20.100000000000001" customHeight="1">
      <c r="A6" s="197" t="s">
        <v>7</v>
      </c>
      <c r="B6" s="198" t="s">
        <v>8</v>
      </c>
      <c r="C6" s="199">
        <v>25</v>
      </c>
      <c r="D6" s="200" t="s">
        <v>9</v>
      </c>
      <c r="E6" s="199">
        <v>10</v>
      </c>
      <c r="F6" s="200" t="s">
        <v>10</v>
      </c>
      <c r="G6" s="199">
        <v>15</v>
      </c>
      <c r="H6" s="200" t="s">
        <v>11</v>
      </c>
      <c r="I6" s="201">
        <v>15</v>
      </c>
      <c r="K6" s="204" t="s">
        <v>51</v>
      </c>
      <c r="N6" s="205"/>
      <c r="O6" s="206"/>
      <c r="P6" s="206"/>
      <c r="Q6" s="206"/>
      <c r="R6" s="206"/>
      <c r="S6" s="206"/>
    </row>
    <row r="7" spans="1:30" ht="20.100000000000001" customHeight="1">
      <c r="A7" s="197" t="s">
        <v>52</v>
      </c>
      <c r="B7" s="198" t="s">
        <v>53</v>
      </c>
      <c r="C7" s="207">
        <v>2880</v>
      </c>
      <c r="D7" s="198" t="s">
        <v>54</v>
      </c>
      <c r="E7" s="208">
        <v>3080</v>
      </c>
      <c r="F7" s="209" t="s">
        <v>55</v>
      </c>
      <c r="G7" s="208">
        <v>3080</v>
      </c>
      <c r="H7" s="210" t="s">
        <v>56</v>
      </c>
      <c r="I7" s="210"/>
      <c r="J7" s="210"/>
      <c r="K7" s="210"/>
      <c r="L7" s="211"/>
      <c r="N7" s="205"/>
      <c r="O7" s="206"/>
      <c r="P7" s="206"/>
      <c r="Q7" s="206"/>
      <c r="R7" s="206"/>
      <c r="S7" s="206"/>
    </row>
    <row r="8" spans="1:30" ht="20.100000000000001" customHeight="1" thickBot="1">
      <c r="A8" s="188" t="s">
        <v>57</v>
      </c>
      <c r="B8" s="193"/>
      <c r="C8" s="194"/>
      <c r="D8" s="194"/>
      <c r="E8" s="194"/>
      <c r="F8" s="194"/>
    </row>
    <row r="9" spans="1:30" s="227" customFormat="1" ht="20.100000000000001" customHeight="1" thickBot="1">
      <c r="A9" s="212" t="s">
        <v>12</v>
      </c>
      <c r="B9" s="213"/>
      <c r="C9" s="214" t="s">
        <v>13</v>
      </c>
      <c r="D9" s="215"/>
      <c r="E9" s="215"/>
      <c r="F9" s="216"/>
      <c r="G9" s="217" t="s">
        <v>58</v>
      </c>
      <c r="H9" s="218" t="s">
        <v>26</v>
      </c>
      <c r="I9" s="219"/>
      <c r="J9" s="220" t="s">
        <v>59</v>
      </c>
      <c r="K9" s="221" t="s">
        <v>60</v>
      </c>
      <c r="L9" s="222" t="s">
        <v>61</v>
      </c>
      <c r="M9" s="223"/>
      <c r="N9" s="224"/>
      <c r="O9" s="225" t="s">
        <v>17</v>
      </c>
      <c r="P9" s="226"/>
      <c r="W9" s="228" t="s">
        <v>62</v>
      </c>
      <c r="X9" s="228"/>
      <c r="Y9" s="228"/>
      <c r="Z9" s="228"/>
      <c r="AA9" s="228"/>
      <c r="AB9" s="228"/>
      <c r="AC9" s="228"/>
      <c r="AD9" s="228"/>
    </row>
    <row r="10" spans="1:30" s="227" customFormat="1" ht="27.75" thickTop="1">
      <c r="A10" s="229" t="s">
        <v>20</v>
      </c>
      <c r="B10" s="230" t="s">
        <v>63</v>
      </c>
      <c r="C10" s="231" t="s">
        <v>22</v>
      </c>
      <c r="D10" s="232" t="s">
        <v>64</v>
      </c>
      <c r="E10" s="233" t="s">
        <v>65</v>
      </c>
      <c r="F10" s="234" t="s">
        <v>24</v>
      </c>
      <c r="G10" s="235"/>
      <c r="H10" s="236" t="s">
        <v>66</v>
      </c>
      <c r="I10" s="237" t="s">
        <v>67</v>
      </c>
      <c r="J10" s="238"/>
      <c r="K10" s="239"/>
      <c r="L10" s="240" t="s">
        <v>68</v>
      </c>
      <c r="M10" s="241" t="s">
        <v>18</v>
      </c>
      <c r="N10" s="242" t="s">
        <v>29</v>
      </c>
      <c r="O10" s="243"/>
      <c r="P10" s="244"/>
      <c r="W10" s="228"/>
      <c r="X10" s="228"/>
      <c r="Y10" s="228"/>
      <c r="Z10" s="228"/>
      <c r="AA10" s="228"/>
      <c r="AB10" s="228"/>
      <c r="AC10" s="228"/>
      <c r="AD10" s="228"/>
    </row>
    <row r="11" spans="1:30" s="261" customFormat="1" ht="20.100000000000001" customHeight="1">
      <c r="A11" s="245" t="s">
        <v>69</v>
      </c>
      <c r="B11" s="246" t="s">
        <v>70</v>
      </c>
      <c r="C11" s="247">
        <v>24</v>
      </c>
      <c r="D11" s="248">
        <f>+C11-5</f>
        <v>19</v>
      </c>
      <c r="E11" s="249">
        <v>1</v>
      </c>
      <c r="F11" s="250">
        <v>2</v>
      </c>
      <c r="G11" s="251">
        <f>+D11*$E$6+E11*$G$6+$I$6*F11</f>
        <v>235</v>
      </c>
      <c r="H11" s="252">
        <f t="shared" ref="H11:H18" si="0">G11/365*12</f>
        <v>7.7260273972602747</v>
      </c>
      <c r="I11" s="253">
        <f t="shared" ref="I11:I18" si="1">+MAX($H11:$H11)+4</f>
        <v>11.726027397260275</v>
      </c>
      <c r="J11" s="254" t="s">
        <v>71</v>
      </c>
      <c r="K11" s="255">
        <v>1</v>
      </c>
      <c r="L11" s="256">
        <f t="shared" ref="L11:L18" si="2">+ROUNDUP(I11*K11,0)</f>
        <v>12</v>
      </c>
      <c r="M11" s="257">
        <f>[34]임대기간!Y5</f>
        <v>12</v>
      </c>
      <c r="N11" s="258">
        <f t="shared" ref="N11:N18" si="3">M11-L11</f>
        <v>0</v>
      </c>
      <c r="O11" s="259"/>
      <c r="P11" s="260"/>
      <c r="R11" s="261">
        <f>C11-2</f>
        <v>22</v>
      </c>
      <c r="V11" s="261" t="s">
        <v>72</v>
      </c>
      <c r="W11" s="262">
        <v>1</v>
      </c>
      <c r="X11" s="262"/>
      <c r="Y11" s="262"/>
      <c r="Z11" s="262"/>
      <c r="AA11" s="262"/>
      <c r="AB11" s="262"/>
      <c r="AC11" s="262"/>
      <c r="AD11" s="262"/>
    </row>
    <row r="12" spans="1:30" s="261" customFormat="1" ht="20.100000000000001" customHeight="1">
      <c r="A12" s="263"/>
      <c r="B12" s="264" t="s">
        <v>73</v>
      </c>
      <c r="C12" s="265">
        <v>24</v>
      </c>
      <c r="D12" s="266">
        <f t="shared" ref="D12:D18" si="4">+C12-5</f>
        <v>19</v>
      </c>
      <c r="E12" s="267">
        <v>1</v>
      </c>
      <c r="F12" s="268">
        <v>2</v>
      </c>
      <c r="G12" s="269">
        <f>+D12*$E$6+E12*$G$6+$I$6*F12</f>
        <v>235</v>
      </c>
      <c r="H12" s="270">
        <f t="shared" si="0"/>
        <v>7.7260273972602747</v>
      </c>
      <c r="I12" s="271">
        <f t="shared" si="1"/>
        <v>11.726027397260275</v>
      </c>
      <c r="J12" s="272" t="s">
        <v>71</v>
      </c>
      <c r="K12" s="273">
        <v>1</v>
      </c>
      <c r="L12" s="274">
        <f t="shared" si="2"/>
        <v>12</v>
      </c>
      <c r="M12" s="275">
        <f>[34]임대기간!Y6</f>
        <v>12</v>
      </c>
      <c r="N12" s="276">
        <f t="shared" si="3"/>
        <v>0</v>
      </c>
      <c r="O12" s="277"/>
      <c r="P12" s="278"/>
      <c r="R12" s="261">
        <f>C12-2</f>
        <v>22</v>
      </c>
      <c r="V12" s="261" t="s">
        <v>74</v>
      </c>
      <c r="W12" s="261">
        <v>1</v>
      </c>
      <c r="X12" s="262"/>
      <c r="Y12" s="262"/>
      <c r="Z12" s="262"/>
      <c r="AA12" s="262"/>
      <c r="AB12" s="262"/>
      <c r="AC12" s="262"/>
      <c r="AD12" s="262"/>
    </row>
    <row r="13" spans="1:30" s="261" customFormat="1" ht="20.100000000000001" customHeight="1">
      <c r="A13" s="279" t="s">
        <v>75</v>
      </c>
      <c r="B13" s="264" t="s">
        <v>70</v>
      </c>
      <c r="C13" s="265">
        <v>24</v>
      </c>
      <c r="D13" s="266">
        <f t="shared" si="4"/>
        <v>19</v>
      </c>
      <c r="E13" s="267">
        <v>1</v>
      </c>
      <c r="F13" s="268">
        <v>2</v>
      </c>
      <c r="G13" s="269">
        <f t="shared" ref="G13:G18" si="5">+D13*$E$6+E13*$G$6+$I$6*F13</f>
        <v>235</v>
      </c>
      <c r="H13" s="270">
        <f t="shared" si="0"/>
        <v>7.7260273972602747</v>
      </c>
      <c r="I13" s="271">
        <f t="shared" si="1"/>
        <v>11.726027397260275</v>
      </c>
      <c r="J13" s="272" t="s">
        <v>71</v>
      </c>
      <c r="K13" s="273">
        <v>1</v>
      </c>
      <c r="L13" s="274">
        <f t="shared" si="2"/>
        <v>12</v>
      </c>
      <c r="M13" s="275">
        <f>[34]임대기간!Y7</f>
        <v>12</v>
      </c>
      <c r="N13" s="276">
        <f t="shared" si="3"/>
        <v>0</v>
      </c>
      <c r="O13" s="277"/>
      <c r="P13" s="278"/>
      <c r="R13" s="261">
        <f t="shared" ref="R13:R18" si="6">C13-2</f>
        <v>22</v>
      </c>
      <c r="V13" s="261" t="s">
        <v>76</v>
      </c>
      <c r="W13" s="262">
        <v>1</v>
      </c>
      <c r="X13" s="262"/>
      <c r="Y13" s="262"/>
      <c r="Z13" s="262"/>
      <c r="AA13" s="262"/>
      <c r="AB13" s="262"/>
      <c r="AC13" s="262"/>
      <c r="AD13" s="262"/>
    </row>
    <row r="14" spans="1:30" s="261" customFormat="1" ht="20.100000000000001" customHeight="1">
      <c r="A14" s="263"/>
      <c r="B14" s="264" t="s">
        <v>73</v>
      </c>
      <c r="C14" s="265">
        <v>22</v>
      </c>
      <c r="D14" s="266">
        <f t="shared" si="4"/>
        <v>17</v>
      </c>
      <c r="E14" s="267">
        <v>1</v>
      </c>
      <c r="F14" s="268">
        <v>2</v>
      </c>
      <c r="G14" s="269">
        <f t="shared" si="5"/>
        <v>215</v>
      </c>
      <c r="H14" s="270">
        <f t="shared" si="0"/>
        <v>7.0684931506849313</v>
      </c>
      <c r="I14" s="271">
        <f t="shared" si="1"/>
        <v>11.068493150684931</v>
      </c>
      <c r="J14" s="272" t="s">
        <v>71</v>
      </c>
      <c r="K14" s="273">
        <v>1</v>
      </c>
      <c r="L14" s="274">
        <f t="shared" si="2"/>
        <v>12</v>
      </c>
      <c r="M14" s="275">
        <f>[34]임대기간!Y8</f>
        <v>12</v>
      </c>
      <c r="N14" s="276">
        <f t="shared" si="3"/>
        <v>0</v>
      </c>
      <c r="O14" s="277"/>
      <c r="P14" s="278"/>
      <c r="R14" s="261">
        <f t="shared" si="6"/>
        <v>20</v>
      </c>
      <c r="V14" s="261" t="s">
        <v>77</v>
      </c>
      <c r="W14" s="262">
        <v>2</v>
      </c>
      <c r="X14" s="262"/>
      <c r="Y14" s="262"/>
      <c r="Z14" s="262"/>
      <c r="AA14" s="262"/>
      <c r="AB14" s="262"/>
      <c r="AC14" s="262"/>
      <c r="AD14" s="262"/>
    </row>
    <row r="15" spans="1:30" s="261" customFormat="1" ht="20.100000000000001" customHeight="1">
      <c r="A15" s="279" t="s">
        <v>78</v>
      </c>
      <c r="B15" s="264" t="s">
        <v>79</v>
      </c>
      <c r="C15" s="265">
        <v>25</v>
      </c>
      <c r="D15" s="266">
        <f t="shared" si="4"/>
        <v>20</v>
      </c>
      <c r="E15" s="267">
        <v>1</v>
      </c>
      <c r="F15" s="268">
        <v>2</v>
      </c>
      <c r="G15" s="269">
        <f t="shared" si="5"/>
        <v>245</v>
      </c>
      <c r="H15" s="270">
        <f t="shared" si="0"/>
        <v>8.0547945205479454</v>
      </c>
      <c r="I15" s="271">
        <f t="shared" si="1"/>
        <v>12.054794520547945</v>
      </c>
      <c r="J15" s="272" t="s">
        <v>71</v>
      </c>
      <c r="K15" s="273">
        <v>1</v>
      </c>
      <c r="L15" s="274">
        <f t="shared" si="2"/>
        <v>13</v>
      </c>
      <c r="M15" s="275">
        <f>[34]임대기간!Y9</f>
        <v>13</v>
      </c>
      <c r="N15" s="276">
        <f t="shared" si="3"/>
        <v>0</v>
      </c>
      <c r="O15" s="277"/>
      <c r="P15" s="278"/>
      <c r="R15" s="261">
        <f t="shared" si="6"/>
        <v>23</v>
      </c>
    </row>
    <row r="16" spans="1:30" s="261" customFormat="1" ht="20.100000000000001" customHeight="1">
      <c r="A16" s="263"/>
      <c r="B16" s="264" t="s">
        <v>80</v>
      </c>
      <c r="C16" s="265">
        <v>25</v>
      </c>
      <c r="D16" s="266">
        <f t="shared" si="4"/>
        <v>20</v>
      </c>
      <c r="E16" s="267">
        <v>1</v>
      </c>
      <c r="F16" s="268">
        <v>2</v>
      </c>
      <c r="G16" s="269">
        <f t="shared" si="5"/>
        <v>245</v>
      </c>
      <c r="H16" s="270">
        <f t="shared" si="0"/>
        <v>8.0547945205479454</v>
      </c>
      <c r="I16" s="271">
        <f t="shared" si="1"/>
        <v>12.054794520547945</v>
      </c>
      <c r="J16" s="272" t="s">
        <v>71</v>
      </c>
      <c r="K16" s="273">
        <v>1</v>
      </c>
      <c r="L16" s="274">
        <f t="shared" si="2"/>
        <v>13</v>
      </c>
      <c r="M16" s="275">
        <f>[34]임대기간!Y10</f>
        <v>13</v>
      </c>
      <c r="N16" s="276">
        <f t="shared" si="3"/>
        <v>0</v>
      </c>
      <c r="O16" s="280"/>
      <c r="P16" s="281"/>
      <c r="R16" s="261">
        <f t="shared" si="6"/>
        <v>23</v>
      </c>
    </row>
    <row r="17" spans="1:30" s="261" customFormat="1" ht="20.100000000000001" customHeight="1">
      <c r="A17" s="279" t="s">
        <v>81</v>
      </c>
      <c r="B17" s="264" t="s">
        <v>79</v>
      </c>
      <c r="C17" s="265">
        <v>23</v>
      </c>
      <c r="D17" s="266">
        <f t="shared" si="4"/>
        <v>18</v>
      </c>
      <c r="E17" s="267">
        <v>1</v>
      </c>
      <c r="F17" s="268">
        <v>2</v>
      </c>
      <c r="G17" s="269">
        <f t="shared" si="5"/>
        <v>225</v>
      </c>
      <c r="H17" s="270">
        <f t="shared" si="0"/>
        <v>7.397260273972603</v>
      </c>
      <c r="I17" s="271">
        <f t="shared" si="1"/>
        <v>11.397260273972602</v>
      </c>
      <c r="J17" s="272" t="s">
        <v>71</v>
      </c>
      <c r="K17" s="273">
        <v>1</v>
      </c>
      <c r="L17" s="274">
        <f t="shared" si="2"/>
        <v>12</v>
      </c>
      <c r="M17" s="275">
        <f>[34]임대기간!Y11</f>
        <v>12</v>
      </c>
      <c r="N17" s="276">
        <f t="shared" si="3"/>
        <v>0</v>
      </c>
      <c r="O17" s="277"/>
      <c r="P17" s="278"/>
      <c r="R17" s="261">
        <f t="shared" si="6"/>
        <v>21</v>
      </c>
      <c r="AC17" s="282"/>
    </row>
    <row r="18" spans="1:30" s="261" customFormat="1" ht="20.100000000000001" customHeight="1">
      <c r="A18" s="263"/>
      <c r="B18" s="264" t="s">
        <v>80</v>
      </c>
      <c r="C18" s="265">
        <v>23</v>
      </c>
      <c r="D18" s="266">
        <f t="shared" si="4"/>
        <v>18</v>
      </c>
      <c r="E18" s="267">
        <v>1</v>
      </c>
      <c r="F18" s="268">
        <v>2</v>
      </c>
      <c r="G18" s="269">
        <f t="shared" si="5"/>
        <v>225</v>
      </c>
      <c r="H18" s="270">
        <f t="shared" si="0"/>
        <v>7.397260273972603</v>
      </c>
      <c r="I18" s="271">
        <f t="shared" si="1"/>
        <v>11.397260273972602</v>
      </c>
      <c r="J18" s="272" t="s">
        <v>71</v>
      </c>
      <c r="K18" s="273">
        <v>1</v>
      </c>
      <c r="L18" s="274">
        <f t="shared" si="2"/>
        <v>12</v>
      </c>
      <c r="M18" s="275">
        <f>[34]임대기간!Y12</f>
        <v>12</v>
      </c>
      <c r="N18" s="276">
        <f t="shared" si="3"/>
        <v>0</v>
      </c>
      <c r="O18" s="280"/>
      <c r="P18" s="281"/>
      <c r="R18" s="261">
        <f t="shared" si="6"/>
        <v>21</v>
      </c>
      <c r="AC18" s="282"/>
    </row>
    <row r="19" spans="1:30" s="298" customFormat="1" ht="20.100000000000001" customHeight="1">
      <c r="A19" s="283" t="s">
        <v>82</v>
      </c>
      <c r="B19" s="284"/>
      <c r="C19" s="285" t="s">
        <v>76</v>
      </c>
      <c r="D19" s="286"/>
      <c r="E19" s="286"/>
      <c r="F19" s="287"/>
      <c r="G19" s="288">
        <f>SUMIF($J$11:$J$18,C19,$G$11:$G$18)</f>
        <v>1860</v>
      </c>
      <c r="H19" s="289"/>
      <c r="I19" s="290">
        <f>SUMIF($J$11:$J$18,C19,$I$11:$I$18)</f>
        <v>93.150684931506859</v>
      </c>
      <c r="J19" s="291"/>
      <c r="K19" s="292">
        <f>SUMIF($J$11:$J$18,$C19,$K$11:$K$18)</f>
        <v>8</v>
      </c>
      <c r="L19" s="293">
        <f>SUMIF($J$11:$J$18,$C19,$L$11:$L$18)</f>
        <v>98</v>
      </c>
      <c r="M19" s="294">
        <f>SUMIF($J$11:$J$18,$C19,$M$11:$M$18)</f>
        <v>98</v>
      </c>
      <c r="N19" s="295">
        <f>SUMIF($J$11:$J$18,$C19,$N$11:$N$18)</f>
        <v>0</v>
      </c>
      <c r="O19" s="296"/>
      <c r="P19" s="297"/>
      <c r="V19" s="261"/>
    </row>
    <row r="20" spans="1:30" s="298" customFormat="1" ht="20.100000000000001" customHeight="1" thickBot="1">
      <c r="A20" s="299"/>
      <c r="B20" s="300"/>
      <c r="C20" s="301" t="s">
        <v>83</v>
      </c>
      <c r="D20" s="302"/>
      <c r="E20" s="302"/>
      <c r="F20" s="303"/>
      <c r="G20" s="304">
        <f>SUM(G11:G18)</f>
        <v>1860</v>
      </c>
      <c r="H20" s="305"/>
      <c r="I20" s="306">
        <f>SUM(I11:I18)</f>
        <v>93.150684931506859</v>
      </c>
      <c r="J20" s="307"/>
      <c r="K20" s="308">
        <f>SUM(K11:K18)</f>
        <v>8</v>
      </c>
      <c r="L20" s="309">
        <f>SUM(L11:L18)</f>
        <v>98</v>
      </c>
      <c r="M20" s="310">
        <f>SUM(M11:M18)</f>
        <v>98</v>
      </c>
      <c r="N20" s="311">
        <f>SUM(N11:N18)</f>
        <v>0</v>
      </c>
      <c r="O20" s="312"/>
      <c r="P20" s="313"/>
      <c r="V20" s="261"/>
    </row>
    <row r="21" spans="1:30" ht="20.100000000000001" customHeight="1">
      <c r="A21" s="193"/>
      <c r="B21" s="193"/>
      <c r="C21" s="194"/>
      <c r="D21" s="194"/>
      <c r="E21" s="194"/>
      <c r="F21" s="194"/>
      <c r="L21" s="314"/>
      <c r="M21" s="314"/>
      <c r="R21" s="314"/>
    </row>
    <row r="22" spans="1:30" ht="20.100000000000001" customHeight="1" thickBot="1">
      <c r="A22" s="188" t="s">
        <v>84</v>
      </c>
      <c r="B22" s="193"/>
      <c r="C22" s="194"/>
      <c r="D22" s="194"/>
      <c r="E22" s="194"/>
      <c r="F22" s="194"/>
    </row>
    <row r="23" spans="1:30" ht="20.100000000000001" customHeight="1">
      <c r="A23" s="212" t="s">
        <v>12</v>
      </c>
      <c r="B23" s="213"/>
      <c r="C23" s="214" t="s">
        <v>13</v>
      </c>
      <c r="D23" s="215"/>
      <c r="E23" s="215"/>
      <c r="F23" s="216"/>
      <c r="G23" s="217" t="s">
        <v>59</v>
      </c>
      <c r="H23" s="315" t="s">
        <v>85</v>
      </c>
      <c r="I23" s="316" t="s">
        <v>86</v>
      </c>
      <c r="J23" s="317"/>
      <c r="K23" s="317"/>
      <c r="L23" s="318"/>
      <c r="M23" s="316" t="s">
        <v>87</v>
      </c>
      <c r="N23" s="317"/>
      <c r="O23" s="317"/>
      <c r="P23" s="319"/>
    </row>
    <row r="24" spans="1:30" ht="36">
      <c r="A24" s="229" t="s">
        <v>20</v>
      </c>
      <c r="B24" s="320" t="s">
        <v>63</v>
      </c>
      <c r="C24" s="231" t="s">
        <v>22</v>
      </c>
      <c r="D24" s="232" t="s">
        <v>64</v>
      </c>
      <c r="E24" s="233" t="s">
        <v>65</v>
      </c>
      <c r="F24" s="234" t="s">
        <v>24</v>
      </c>
      <c r="G24" s="235"/>
      <c r="H24" s="321"/>
      <c r="I24" s="322" t="s">
        <v>88</v>
      </c>
      <c r="J24" s="322" t="s">
        <v>89</v>
      </c>
      <c r="K24" s="322" t="s">
        <v>90</v>
      </c>
      <c r="L24" s="322" t="s">
        <v>91</v>
      </c>
      <c r="M24" s="323" t="s">
        <v>92</v>
      </c>
      <c r="N24" s="324" t="s">
        <v>93</v>
      </c>
      <c r="O24" s="324" t="s">
        <v>94</v>
      </c>
      <c r="P24" s="325" t="s">
        <v>95</v>
      </c>
    </row>
    <row r="25" spans="1:30" s="261" customFormat="1" ht="20.100000000000001" customHeight="1">
      <c r="A25" s="245" t="s">
        <v>69</v>
      </c>
      <c r="B25" s="246" t="s">
        <v>70</v>
      </c>
      <c r="C25" s="247">
        <v>24</v>
      </c>
      <c r="D25" s="248">
        <f t="shared" ref="D25:D32" si="7">+C25-5</f>
        <v>19</v>
      </c>
      <c r="E25" s="249">
        <v>1</v>
      </c>
      <c r="F25" s="250">
        <v>2</v>
      </c>
      <c r="G25" s="254" t="s">
        <v>71</v>
      </c>
      <c r="H25" s="252">
        <f>M11</f>
        <v>12</v>
      </c>
      <c r="I25" s="326">
        <f>VLOOKUP($G25,$V$11:$W$14,2,0)*H25</f>
        <v>12</v>
      </c>
      <c r="J25" s="327">
        <f>VLOOKUP($G25,$V$11:$W$14,2,0)*(C25)</f>
        <v>24</v>
      </c>
      <c r="K25" s="255">
        <f t="shared" ref="K25:K32" si="8">J25</f>
        <v>24</v>
      </c>
      <c r="L25" s="328">
        <f t="shared" ref="L25:L32" si="9">J25</f>
        <v>24</v>
      </c>
      <c r="M25" s="329">
        <f>'[34]설치높이 산정'!G4</f>
        <v>82</v>
      </c>
      <c r="N25" s="330">
        <f t="shared" ref="N25:N32" si="10">K11</f>
        <v>1</v>
      </c>
      <c r="O25" s="331">
        <f>I25/H25</f>
        <v>1</v>
      </c>
      <c r="P25" s="332">
        <f t="shared" ref="P25:P32" si="11">K11</f>
        <v>1</v>
      </c>
      <c r="V25" s="261" t="s">
        <v>72</v>
      </c>
      <c r="W25" s="262">
        <v>1</v>
      </c>
      <c r="X25" s="262"/>
      <c r="Y25" s="262"/>
      <c r="Z25" s="262"/>
      <c r="AA25" s="262"/>
      <c r="AB25" s="262"/>
      <c r="AC25" s="262"/>
      <c r="AD25" s="262"/>
    </row>
    <row r="26" spans="1:30" s="261" customFormat="1" ht="20.100000000000001" customHeight="1">
      <c r="A26" s="263"/>
      <c r="B26" s="264" t="s">
        <v>73</v>
      </c>
      <c r="C26" s="265">
        <v>24</v>
      </c>
      <c r="D26" s="266">
        <f t="shared" si="7"/>
        <v>19</v>
      </c>
      <c r="E26" s="267">
        <v>1</v>
      </c>
      <c r="F26" s="268">
        <v>2</v>
      </c>
      <c r="G26" s="272" t="s">
        <v>71</v>
      </c>
      <c r="H26" s="270">
        <f t="shared" ref="H26:H32" si="12">M12</f>
        <v>12</v>
      </c>
      <c r="I26" s="271">
        <f t="shared" ref="I26:I32" si="13">VLOOKUP($G26,$V$11:$W$14,2,0)*H26</f>
        <v>12</v>
      </c>
      <c r="J26" s="273">
        <f>VLOOKUP($G26,$V$11:$W$14,2,0)*(C26)</f>
        <v>24</v>
      </c>
      <c r="K26" s="273">
        <f t="shared" si="8"/>
        <v>24</v>
      </c>
      <c r="L26" s="274">
        <f t="shared" si="9"/>
        <v>24</v>
      </c>
      <c r="M26" s="333">
        <f>'[34]설치높이 산정'!G5</f>
        <v>82</v>
      </c>
      <c r="N26" s="334">
        <f t="shared" si="10"/>
        <v>1</v>
      </c>
      <c r="O26" s="335">
        <f>I26/H26</f>
        <v>1</v>
      </c>
      <c r="P26" s="281">
        <f t="shared" si="11"/>
        <v>1</v>
      </c>
      <c r="V26" s="261" t="s">
        <v>74</v>
      </c>
      <c r="W26" s="261">
        <v>1</v>
      </c>
      <c r="X26" s="262"/>
      <c r="Y26" s="262"/>
      <c r="Z26" s="262"/>
      <c r="AA26" s="262"/>
      <c r="AB26" s="262"/>
      <c r="AC26" s="262"/>
      <c r="AD26" s="262"/>
    </row>
    <row r="27" spans="1:30" s="261" customFormat="1" ht="20.100000000000001" customHeight="1">
      <c r="A27" s="279" t="s">
        <v>75</v>
      </c>
      <c r="B27" s="264" t="s">
        <v>70</v>
      </c>
      <c r="C27" s="265">
        <v>24</v>
      </c>
      <c r="D27" s="266">
        <f t="shared" si="7"/>
        <v>19</v>
      </c>
      <c r="E27" s="267">
        <v>1</v>
      </c>
      <c r="F27" s="268">
        <v>2</v>
      </c>
      <c r="G27" s="272" t="s">
        <v>71</v>
      </c>
      <c r="H27" s="270">
        <f t="shared" si="12"/>
        <v>12</v>
      </c>
      <c r="I27" s="271">
        <f t="shared" si="13"/>
        <v>12</v>
      </c>
      <c r="J27" s="273">
        <f t="shared" ref="J27:J32" si="14">VLOOKUP($G27,$V$11:$W$14,2,0)*(C27)</f>
        <v>24</v>
      </c>
      <c r="K27" s="273">
        <f t="shared" si="8"/>
        <v>24</v>
      </c>
      <c r="L27" s="274">
        <f t="shared" si="9"/>
        <v>24</v>
      </c>
      <c r="M27" s="333">
        <f>'[34]설치높이 산정'!G6</f>
        <v>75</v>
      </c>
      <c r="N27" s="334">
        <f t="shared" si="10"/>
        <v>1</v>
      </c>
      <c r="O27" s="335">
        <f t="shared" ref="O27:O32" si="15">I27/H27</f>
        <v>1</v>
      </c>
      <c r="P27" s="281">
        <f t="shared" si="11"/>
        <v>1</v>
      </c>
      <c r="V27" s="261" t="s">
        <v>76</v>
      </c>
      <c r="W27" s="262">
        <v>1</v>
      </c>
      <c r="X27" s="262"/>
      <c r="Y27" s="262"/>
      <c r="Z27" s="262"/>
      <c r="AA27" s="262"/>
      <c r="AB27" s="262"/>
      <c r="AC27" s="262"/>
      <c r="AD27" s="262"/>
    </row>
    <row r="28" spans="1:30" s="261" customFormat="1" ht="20.100000000000001" customHeight="1">
      <c r="A28" s="263"/>
      <c r="B28" s="264" t="s">
        <v>73</v>
      </c>
      <c r="C28" s="265">
        <v>22</v>
      </c>
      <c r="D28" s="266">
        <f t="shared" si="7"/>
        <v>17</v>
      </c>
      <c r="E28" s="267">
        <v>1</v>
      </c>
      <c r="F28" s="268">
        <v>2</v>
      </c>
      <c r="G28" s="272" t="s">
        <v>71</v>
      </c>
      <c r="H28" s="270">
        <f t="shared" si="12"/>
        <v>12</v>
      </c>
      <c r="I28" s="271">
        <f t="shared" si="13"/>
        <v>12</v>
      </c>
      <c r="J28" s="273">
        <f t="shared" si="14"/>
        <v>22</v>
      </c>
      <c r="K28" s="273">
        <f t="shared" si="8"/>
        <v>22</v>
      </c>
      <c r="L28" s="274">
        <f t="shared" si="9"/>
        <v>22</v>
      </c>
      <c r="M28" s="333">
        <f>'[34]설치높이 산정'!G7</f>
        <v>69</v>
      </c>
      <c r="N28" s="334">
        <f t="shared" si="10"/>
        <v>1</v>
      </c>
      <c r="O28" s="335">
        <f t="shared" si="15"/>
        <v>1</v>
      </c>
      <c r="P28" s="281">
        <f t="shared" si="11"/>
        <v>1</v>
      </c>
      <c r="V28" s="261" t="s">
        <v>77</v>
      </c>
      <c r="W28" s="262">
        <v>2</v>
      </c>
      <c r="X28" s="262"/>
      <c r="Y28" s="262"/>
      <c r="Z28" s="262"/>
      <c r="AA28" s="262"/>
      <c r="AB28" s="262"/>
      <c r="AC28" s="262"/>
      <c r="AD28" s="262"/>
    </row>
    <row r="29" spans="1:30" s="261" customFormat="1" ht="20.100000000000001" customHeight="1">
      <c r="A29" s="279" t="s">
        <v>78</v>
      </c>
      <c r="B29" s="264" t="s">
        <v>79</v>
      </c>
      <c r="C29" s="265">
        <v>25</v>
      </c>
      <c r="D29" s="266">
        <f t="shared" si="7"/>
        <v>20</v>
      </c>
      <c r="E29" s="267">
        <v>1</v>
      </c>
      <c r="F29" s="268">
        <v>2</v>
      </c>
      <c r="G29" s="272" t="s">
        <v>71</v>
      </c>
      <c r="H29" s="270">
        <f t="shared" si="12"/>
        <v>13</v>
      </c>
      <c r="I29" s="271">
        <f t="shared" si="13"/>
        <v>13</v>
      </c>
      <c r="J29" s="273">
        <f t="shared" si="14"/>
        <v>25</v>
      </c>
      <c r="K29" s="273">
        <f t="shared" si="8"/>
        <v>25</v>
      </c>
      <c r="L29" s="274">
        <f t="shared" si="9"/>
        <v>25</v>
      </c>
      <c r="M29" s="333">
        <f>'[34]설치높이 산정'!G8</f>
        <v>77</v>
      </c>
      <c r="N29" s="334">
        <f t="shared" si="10"/>
        <v>1</v>
      </c>
      <c r="O29" s="335">
        <f t="shared" si="15"/>
        <v>1</v>
      </c>
      <c r="P29" s="281">
        <f t="shared" si="11"/>
        <v>1</v>
      </c>
    </row>
    <row r="30" spans="1:30" s="261" customFormat="1" ht="20.100000000000001" customHeight="1">
      <c r="A30" s="263"/>
      <c r="B30" s="264" t="s">
        <v>80</v>
      </c>
      <c r="C30" s="265">
        <v>25</v>
      </c>
      <c r="D30" s="266">
        <f t="shared" si="7"/>
        <v>20</v>
      </c>
      <c r="E30" s="267">
        <v>1</v>
      </c>
      <c r="F30" s="268">
        <v>2</v>
      </c>
      <c r="G30" s="272" t="s">
        <v>71</v>
      </c>
      <c r="H30" s="270">
        <f t="shared" si="12"/>
        <v>13</v>
      </c>
      <c r="I30" s="271">
        <f t="shared" si="13"/>
        <v>13</v>
      </c>
      <c r="J30" s="273">
        <f t="shared" si="14"/>
        <v>25</v>
      </c>
      <c r="K30" s="273">
        <f t="shared" si="8"/>
        <v>25</v>
      </c>
      <c r="L30" s="274">
        <f t="shared" si="9"/>
        <v>25</v>
      </c>
      <c r="M30" s="333">
        <f>'[34]설치높이 산정'!G9</f>
        <v>77</v>
      </c>
      <c r="N30" s="334">
        <f t="shared" si="10"/>
        <v>1</v>
      </c>
      <c r="O30" s="335">
        <f t="shared" si="15"/>
        <v>1</v>
      </c>
      <c r="P30" s="281">
        <f t="shared" si="11"/>
        <v>1</v>
      </c>
    </row>
    <row r="31" spans="1:30" s="261" customFormat="1" ht="20.100000000000001" customHeight="1">
      <c r="A31" s="279" t="s">
        <v>81</v>
      </c>
      <c r="B31" s="264" t="s">
        <v>79</v>
      </c>
      <c r="C31" s="265">
        <v>23</v>
      </c>
      <c r="D31" s="266">
        <f t="shared" si="7"/>
        <v>18</v>
      </c>
      <c r="E31" s="267">
        <v>1</v>
      </c>
      <c r="F31" s="268">
        <v>2</v>
      </c>
      <c r="G31" s="272" t="s">
        <v>71</v>
      </c>
      <c r="H31" s="270">
        <f t="shared" si="12"/>
        <v>12</v>
      </c>
      <c r="I31" s="271">
        <f t="shared" si="13"/>
        <v>12</v>
      </c>
      <c r="J31" s="273">
        <f t="shared" si="14"/>
        <v>23</v>
      </c>
      <c r="K31" s="273">
        <f t="shared" si="8"/>
        <v>23</v>
      </c>
      <c r="L31" s="274">
        <f t="shared" si="9"/>
        <v>23</v>
      </c>
      <c r="M31" s="333">
        <f>'[34]설치높이 산정'!G10</f>
        <v>78</v>
      </c>
      <c r="N31" s="334">
        <f t="shared" si="10"/>
        <v>1</v>
      </c>
      <c r="O31" s="335">
        <f t="shared" si="15"/>
        <v>1</v>
      </c>
      <c r="P31" s="281">
        <f t="shared" si="11"/>
        <v>1</v>
      </c>
      <c r="AC31" s="282"/>
    </row>
    <row r="32" spans="1:30" s="261" customFormat="1" ht="20.100000000000001" customHeight="1">
      <c r="A32" s="263"/>
      <c r="B32" s="264" t="s">
        <v>80</v>
      </c>
      <c r="C32" s="265">
        <v>23</v>
      </c>
      <c r="D32" s="266">
        <f t="shared" si="7"/>
        <v>18</v>
      </c>
      <c r="E32" s="267">
        <v>1</v>
      </c>
      <c r="F32" s="268">
        <v>2</v>
      </c>
      <c r="G32" s="272" t="s">
        <v>71</v>
      </c>
      <c r="H32" s="270">
        <f t="shared" si="12"/>
        <v>12</v>
      </c>
      <c r="I32" s="336">
        <f t="shared" si="13"/>
        <v>12</v>
      </c>
      <c r="J32" s="273">
        <f t="shared" si="14"/>
        <v>23</v>
      </c>
      <c r="K32" s="273">
        <f t="shared" si="8"/>
        <v>23</v>
      </c>
      <c r="L32" s="274">
        <f t="shared" si="9"/>
        <v>23</v>
      </c>
      <c r="M32" s="337">
        <f>'[34]설치높이 산정'!G11</f>
        <v>75</v>
      </c>
      <c r="N32" s="338">
        <f t="shared" si="10"/>
        <v>1</v>
      </c>
      <c r="O32" s="335">
        <f t="shared" si="15"/>
        <v>1</v>
      </c>
      <c r="P32" s="281">
        <f t="shared" si="11"/>
        <v>1</v>
      </c>
      <c r="AC32" s="282"/>
    </row>
    <row r="33" spans="1:16" ht="20.100000000000001" customHeight="1">
      <c r="A33" s="283" t="s">
        <v>82</v>
      </c>
      <c r="B33" s="284"/>
      <c r="C33" s="339" t="s">
        <v>76</v>
      </c>
      <c r="D33" s="340"/>
      <c r="E33" s="340"/>
      <c r="F33" s="341"/>
      <c r="G33" s="288"/>
      <c r="H33" s="288">
        <f>SUMIF($G$25:$G$32,C33,$H$25:$H$32)</f>
        <v>98</v>
      </c>
      <c r="I33" s="288">
        <f>SUMIF($G$25:$G$32,$C$33,$I$25:$I$32)</f>
        <v>98</v>
      </c>
      <c r="J33" s="288">
        <f>SUMIF($G$25:$G$32,$C$33,$J$25:$J$32)</f>
        <v>190</v>
      </c>
      <c r="K33" s="288">
        <f>SUMIF($G$25:$G$32,$C$33,K$25:K$32)</f>
        <v>190</v>
      </c>
      <c r="L33" s="288">
        <f t="shared" ref="L33:P33" si="16">SUMIF($G$25:$G$32,$C$33,L$25:L$32)</f>
        <v>190</v>
      </c>
      <c r="M33" s="288">
        <f t="shared" si="16"/>
        <v>615</v>
      </c>
      <c r="N33" s="288">
        <f t="shared" si="16"/>
        <v>8</v>
      </c>
      <c r="O33" s="288">
        <f t="shared" si="16"/>
        <v>8</v>
      </c>
      <c r="P33" s="288">
        <f t="shared" si="16"/>
        <v>8</v>
      </c>
    </row>
    <row r="34" spans="1:16" ht="20.100000000000001" customHeight="1" thickBot="1">
      <c r="A34" s="299"/>
      <c r="B34" s="300"/>
      <c r="C34" s="301" t="s">
        <v>83</v>
      </c>
      <c r="D34" s="302"/>
      <c r="E34" s="302"/>
      <c r="F34" s="303"/>
      <c r="G34" s="342"/>
      <c r="H34" s="343">
        <f>H33</f>
        <v>98</v>
      </c>
      <c r="I34" s="343">
        <f t="shared" ref="I34:P34" si="17">SUM(I25:I32)</f>
        <v>98</v>
      </c>
      <c r="J34" s="343">
        <f>J33</f>
        <v>190</v>
      </c>
      <c r="K34" s="343">
        <f t="shared" si="17"/>
        <v>190</v>
      </c>
      <c r="L34" s="343">
        <f t="shared" si="17"/>
        <v>190</v>
      </c>
      <c r="M34" s="344">
        <f t="shared" si="17"/>
        <v>615</v>
      </c>
      <c r="N34" s="345">
        <f t="shared" si="17"/>
        <v>8</v>
      </c>
      <c r="O34" s="345">
        <f t="shared" si="17"/>
        <v>8</v>
      </c>
      <c r="P34" s="346">
        <f t="shared" si="17"/>
        <v>8</v>
      </c>
    </row>
    <row r="35" spans="1:16" ht="15" customHeight="1"/>
  </sheetData>
  <mergeCells count="46">
    <mergeCell ref="A25:A26"/>
    <mergeCell ref="A27:A28"/>
    <mergeCell ref="A29:A30"/>
    <mergeCell ref="A31:A32"/>
    <mergeCell ref="A33:B34"/>
    <mergeCell ref="C33:F33"/>
    <mergeCell ref="C34:F34"/>
    <mergeCell ref="A19:B20"/>
    <mergeCell ref="C19:F19"/>
    <mergeCell ref="C20:F20"/>
    <mergeCell ref="O20:P20"/>
    <mergeCell ref="A23:B23"/>
    <mergeCell ref="C23:F23"/>
    <mergeCell ref="G23:G24"/>
    <mergeCell ref="H23:H24"/>
    <mergeCell ref="I23:L23"/>
    <mergeCell ref="M23:P23"/>
    <mergeCell ref="A13:A14"/>
    <mergeCell ref="O13:P13"/>
    <mergeCell ref="O14:P14"/>
    <mergeCell ref="A15:A16"/>
    <mergeCell ref="O15:P15"/>
    <mergeCell ref="A17:A18"/>
    <mergeCell ref="O17:P17"/>
    <mergeCell ref="AB9:AB10"/>
    <mergeCell ref="AC9:AC10"/>
    <mergeCell ref="AD9:AD10"/>
    <mergeCell ref="A11:A12"/>
    <mergeCell ref="O11:P11"/>
    <mergeCell ref="O12:P12"/>
    <mergeCell ref="O9:P10"/>
    <mergeCell ref="W9:W10"/>
    <mergeCell ref="X9:X10"/>
    <mergeCell ref="Y9:Y10"/>
    <mergeCell ref="Z9:Z10"/>
    <mergeCell ref="AA9:AA10"/>
    <mergeCell ref="A1:P1"/>
    <mergeCell ref="A2:P2"/>
    <mergeCell ref="H7:K7"/>
    <mergeCell ref="A9:B9"/>
    <mergeCell ref="C9:F9"/>
    <mergeCell ref="G9:G10"/>
    <mergeCell ref="H9:I9"/>
    <mergeCell ref="J9:J10"/>
    <mergeCell ref="K9:K10"/>
    <mergeCell ref="L9:N9"/>
  </mergeCells>
  <phoneticPr fontId="3" type="noConversion"/>
  <dataValidations count="1">
    <dataValidation type="list" allowBlank="1" showInputMessage="1" showErrorMessage="1" sqref="J11:J18 G25:G32" xr:uid="{1701C18D-AFBE-4585-88AA-D02C7AA84C74}">
      <formula1>$V$11:$V$14</formula1>
    </dataValidation>
  </dataValidations>
  <printOptions horizontalCentered="1"/>
  <pageMargins left="0.31496062992125984" right="0.31496062992125984" top="0.59055118110236227" bottom="0.39370078740157483" header="0.39370078740157483" footer="0.19685039370078741"/>
  <pageSetup paperSize="9" scale="71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TC</vt:lpstr>
      <vt:lpstr>HOIST</vt:lpstr>
      <vt:lpstr>HOIST!Print_Area</vt:lpstr>
      <vt:lpstr>TC!Print_Area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김진욱1 대리</dc:creator>
  <cp:lastModifiedBy>김진욱1 대리</cp:lastModifiedBy>
  <dcterms:created xsi:type="dcterms:W3CDTF">2026-09-18T02:23:51Z</dcterms:created>
  <dcterms:modified xsi:type="dcterms:W3CDTF">2026-09-18T02:24:31Z</dcterms:modified>
</cp:coreProperties>
</file>