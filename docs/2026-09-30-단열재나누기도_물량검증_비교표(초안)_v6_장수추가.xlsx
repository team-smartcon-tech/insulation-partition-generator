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insulation-partition-generator\docs\"/>
    </mc:Choice>
  </mc:AlternateContent>
  <xr:revisionPtr revIDLastSave="0" documentId="13_ncr:1_{B85673D9-4B34-42F6-BE69-6C16F60ACE4F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00_개요" sheetId="1" r:id="rId1"/>
    <sheet name="01_현장조건" sheetId="2" r:id="rId2"/>
    <sheet name="02_산출입력" sheetId="3" r:id="rId3"/>
    <sheet name="03_현장별비교" sheetId="4" r:id="rId4"/>
    <sheet name="04_종합요약" sheetId="11" r:id="rId5"/>
    <sheet name="04-1_지표요약(참고)" sheetId="5" r:id="rId6"/>
    <sheet name="05_차이원인" sheetId="6" r:id="rId7"/>
    <sheet name="06_검증조건" sheetId="7" r:id="rId8"/>
    <sheet name="07_플랫폼원자료" sheetId="8" r:id="rId9"/>
  </sheets>
  <definedNames>
    <definedName name="_xlnm.Print_Area" localSheetId="4">'04_종합요약'!$A$1:$Q$47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1" l="1"/>
  <c r="M40" i="11"/>
  <c r="K40" i="11"/>
  <c r="G40" i="11"/>
  <c r="E40" i="11"/>
  <c r="C40" i="11"/>
  <c r="M39" i="11"/>
  <c r="K39" i="11"/>
  <c r="G39" i="11"/>
  <c r="E39" i="11"/>
  <c r="C39" i="11"/>
  <c r="M38" i="11"/>
  <c r="K38" i="11"/>
  <c r="G38" i="11"/>
  <c r="E38" i="11"/>
  <c r="C38" i="11"/>
  <c r="J10" i="3"/>
  <c r="J9" i="3"/>
  <c r="I156" i="8" l="1"/>
  <c r="H156" i="8"/>
  <c r="I147" i="8"/>
  <c r="H147" i="8"/>
  <c r="I129" i="8"/>
  <c r="H129" i="8"/>
  <c r="I72" i="8"/>
  <c r="H72" i="8"/>
  <c r="I55" i="8"/>
  <c r="H55" i="8"/>
  <c r="I25" i="8"/>
  <c r="H25" i="8"/>
  <c r="F17" i="7"/>
  <c r="F18" i="7" s="1"/>
  <c r="E17" i="7"/>
  <c r="E18" i="7" s="1"/>
  <c r="D17" i="7"/>
  <c r="D18" i="7" s="1"/>
  <c r="F4" i="7"/>
  <c r="E4" i="7"/>
  <c r="D4" i="7"/>
  <c r="D8" i="5"/>
  <c r="C8" i="5"/>
  <c r="B8" i="5"/>
  <c r="D7" i="5"/>
  <c r="C7" i="5"/>
  <c r="B7" i="5"/>
  <c r="D6" i="5"/>
  <c r="C6" i="5"/>
  <c r="B6" i="5"/>
  <c r="B27" i="4"/>
  <c r="K27" i="4" s="1"/>
  <c r="B26" i="4"/>
  <c r="B25" i="4"/>
  <c r="F22" i="4"/>
  <c r="B22" i="4"/>
  <c r="B18" i="4"/>
  <c r="D18" i="4" s="1"/>
  <c r="B17" i="4"/>
  <c r="B16" i="4"/>
  <c r="F13" i="4"/>
  <c r="B13" i="4"/>
  <c r="B9" i="4"/>
  <c r="D9" i="4" s="1"/>
  <c r="B8" i="4"/>
  <c r="B7" i="4"/>
  <c r="F4" i="4"/>
  <c r="B4" i="4"/>
  <c r="S52" i="3"/>
  <c r="R52" i="3"/>
  <c r="Q52" i="3"/>
  <c r="O52" i="3"/>
  <c r="P52" i="3" s="1"/>
  <c r="N52" i="3"/>
  <c r="S51" i="3"/>
  <c r="R51" i="3"/>
  <c r="Q51" i="3"/>
  <c r="O51" i="3"/>
  <c r="P51" i="3" s="1"/>
  <c r="N51" i="3"/>
  <c r="S50" i="3"/>
  <c r="R50" i="3"/>
  <c r="Q50" i="3"/>
  <c r="O50" i="3"/>
  <c r="P50" i="3" s="1"/>
  <c r="N50" i="3"/>
  <c r="S49" i="3"/>
  <c r="R49" i="3"/>
  <c r="Q49" i="3"/>
  <c r="O49" i="3"/>
  <c r="P49" i="3" s="1"/>
  <c r="N49" i="3"/>
  <c r="S48" i="3"/>
  <c r="R48" i="3"/>
  <c r="Q48" i="3"/>
  <c r="O48" i="3"/>
  <c r="P48" i="3" s="1"/>
  <c r="N48" i="3"/>
  <c r="S47" i="3"/>
  <c r="R47" i="3"/>
  <c r="Q47" i="3"/>
  <c r="O47" i="3"/>
  <c r="P47" i="3" s="1"/>
  <c r="N47" i="3"/>
  <c r="S46" i="3"/>
  <c r="R46" i="3"/>
  <c r="Q46" i="3"/>
  <c r="O46" i="3"/>
  <c r="P46" i="3" s="1"/>
  <c r="N46" i="3"/>
  <c r="S45" i="3"/>
  <c r="R45" i="3"/>
  <c r="Q45" i="3"/>
  <c r="O45" i="3"/>
  <c r="P45" i="3" s="1"/>
  <c r="N45" i="3"/>
  <c r="S44" i="3"/>
  <c r="R44" i="3"/>
  <c r="Q44" i="3"/>
  <c r="O44" i="3"/>
  <c r="P44" i="3" s="1"/>
  <c r="N44" i="3"/>
  <c r="S43" i="3"/>
  <c r="R43" i="3"/>
  <c r="Q43" i="3"/>
  <c r="O43" i="3"/>
  <c r="P43" i="3" s="1"/>
  <c r="N43" i="3"/>
  <c r="S42" i="3"/>
  <c r="R42" i="3"/>
  <c r="Q42" i="3"/>
  <c r="O42" i="3"/>
  <c r="P42" i="3" s="1"/>
  <c r="N42" i="3"/>
  <c r="S41" i="3"/>
  <c r="R41" i="3"/>
  <c r="Q41" i="3"/>
  <c r="O41" i="3"/>
  <c r="P41" i="3" s="1"/>
  <c r="N41" i="3"/>
  <c r="S40" i="3"/>
  <c r="R40" i="3"/>
  <c r="Q40" i="3"/>
  <c r="O40" i="3"/>
  <c r="P40" i="3" s="1"/>
  <c r="N40" i="3"/>
  <c r="S39" i="3"/>
  <c r="R39" i="3"/>
  <c r="Q39" i="3"/>
  <c r="O39" i="3"/>
  <c r="P39" i="3" s="1"/>
  <c r="N39" i="3"/>
  <c r="S38" i="3"/>
  <c r="R38" i="3"/>
  <c r="Q38" i="3"/>
  <c r="O38" i="3"/>
  <c r="P38" i="3" s="1"/>
  <c r="N38" i="3"/>
  <c r="S37" i="3"/>
  <c r="R37" i="3"/>
  <c r="Q37" i="3"/>
  <c r="O37" i="3"/>
  <c r="P37" i="3" s="1"/>
  <c r="N37" i="3"/>
  <c r="S36" i="3"/>
  <c r="R36" i="3"/>
  <c r="Q36" i="3"/>
  <c r="O36" i="3"/>
  <c r="P36" i="3" s="1"/>
  <c r="N36" i="3"/>
  <c r="S35" i="3"/>
  <c r="R35" i="3"/>
  <c r="Q35" i="3"/>
  <c r="O35" i="3"/>
  <c r="P35" i="3" s="1"/>
  <c r="N35" i="3"/>
  <c r="S34" i="3"/>
  <c r="R34" i="3"/>
  <c r="Q34" i="3"/>
  <c r="O34" i="3"/>
  <c r="P34" i="3" s="1"/>
  <c r="N34" i="3"/>
  <c r="S33" i="3"/>
  <c r="R33" i="3"/>
  <c r="Q33" i="3"/>
  <c r="O33" i="3"/>
  <c r="P33" i="3" s="1"/>
  <c r="N33" i="3"/>
  <c r="S32" i="3"/>
  <c r="R32" i="3"/>
  <c r="Q32" i="3"/>
  <c r="O32" i="3"/>
  <c r="P32" i="3" s="1"/>
  <c r="N32" i="3"/>
  <c r="S31" i="3"/>
  <c r="R31" i="3"/>
  <c r="Q31" i="3"/>
  <c r="O31" i="3"/>
  <c r="P31" i="3" s="1"/>
  <c r="N31" i="3"/>
  <c r="S30" i="3"/>
  <c r="R30" i="3"/>
  <c r="Q30" i="3"/>
  <c r="O30" i="3"/>
  <c r="P30" i="3" s="1"/>
  <c r="N30" i="3"/>
  <c r="S29" i="3"/>
  <c r="R29" i="3"/>
  <c r="Q29" i="3"/>
  <c r="O29" i="3"/>
  <c r="P29" i="3" s="1"/>
  <c r="N29" i="3"/>
  <c r="S28" i="3"/>
  <c r="R28" i="3"/>
  <c r="Q28" i="3"/>
  <c r="O28" i="3"/>
  <c r="P28" i="3" s="1"/>
  <c r="N28" i="3"/>
  <c r="S27" i="3"/>
  <c r="R27" i="3"/>
  <c r="Q27" i="3"/>
  <c r="O27" i="3"/>
  <c r="P27" i="3" s="1"/>
  <c r="N27" i="3"/>
  <c r="S26" i="3"/>
  <c r="R26" i="3"/>
  <c r="Q26" i="3"/>
  <c r="O26" i="3"/>
  <c r="P26" i="3" s="1"/>
  <c r="N26" i="3"/>
  <c r="T26" i="3" s="1"/>
  <c r="S25" i="3"/>
  <c r="R25" i="3"/>
  <c r="Q25" i="3"/>
  <c r="O25" i="3"/>
  <c r="P25" i="3" s="1"/>
  <c r="N25" i="3"/>
  <c r="S24" i="3"/>
  <c r="R24" i="3"/>
  <c r="Q24" i="3"/>
  <c r="O24" i="3"/>
  <c r="P24" i="3" s="1"/>
  <c r="N24" i="3"/>
  <c r="S23" i="3"/>
  <c r="R23" i="3"/>
  <c r="Q23" i="3"/>
  <c r="O23" i="3"/>
  <c r="P23" i="3" s="1"/>
  <c r="N23" i="3"/>
  <c r="S22" i="3"/>
  <c r="R22" i="3"/>
  <c r="Q22" i="3"/>
  <c r="O22" i="3"/>
  <c r="P22" i="3" s="1"/>
  <c r="N22" i="3"/>
  <c r="S21" i="3"/>
  <c r="R21" i="3"/>
  <c r="Q21" i="3"/>
  <c r="O21" i="3"/>
  <c r="P21" i="3" s="1"/>
  <c r="N21" i="3"/>
  <c r="S20" i="3"/>
  <c r="R20" i="3"/>
  <c r="Q20" i="3"/>
  <c r="O20" i="3"/>
  <c r="P20" i="3" s="1"/>
  <c r="N20" i="3"/>
  <c r="S19" i="3"/>
  <c r="R19" i="3"/>
  <c r="Q19" i="3"/>
  <c r="O19" i="3"/>
  <c r="P19" i="3" s="1"/>
  <c r="N19" i="3"/>
  <c r="S18" i="3"/>
  <c r="R18" i="3"/>
  <c r="Q18" i="3"/>
  <c r="O18" i="3"/>
  <c r="P18" i="3" s="1"/>
  <c r="N18" i="3"/>
  <c r="S17" i="3"/>
  <c r="R17" i="3"/>
  <c r="Q17" i="3"/>
  <c r="O17" i="3"/>
  <c r="P17" i="3" s="1"/>
  <c r="N17" i="3"/>
  <c r="S16" i="3"/>
  <c r="R16" i="3"/>
  <c r="Q16" i="3"/>
  <c r="O16" i="3"/>
  <c r="P16" i="3" s="1"/>
  <c r="N16" i="3"/>
  <c r="S15" i="3"/>
  <c r="R15" i="3"/>
  <c r="Q15" i="3"/>
  <c r="O15" i="3"/>
  <c r="P15" i="3" s="1"/>
  <c r="N15" i="3"/>
  <c r="S14" i="3"/>
  <c r="R14" i="3"/>
  <c r="Q14" i="3"/>
  <c r="O14" i="3"/>
  <c r="P14" i="3" s="1"/>
  <c r="N14" i="3"/>
  <c r="S13" i="3"/>
  <c r="R13" i="3"/>
  <c r="Q13" i="3"/>
  <c r="O13" i="3"/>
  <c r="P13" i="3" s="1"/>
  <c r="N13" i="3"/>
  <c r="S12" i="3"/>
  <c r="R12" i="3"/>
  <c r="Q12" i="3"/>
  <c r="O12" i="3"/>
  <c r="P12" i="3" s="1"/>
  <c r="N12" i="3"/>
  <c r="S11" i="3"/>
  <c r="R11" i="3"/>
  <c r="Q11" i="3"/>
  <c r="O11" i="3"/>
  <c r="P11" i="3" s="1"/>
  <c r="N11" i="3"/>
  <c r="S10" i="3"/>
  <c r="R10" i="3"/>
  <c r="Q10" i="3"/>
  <c r="O10" i="3"/>
  <c r="P10" i="3" s="1"/>
  <c r="S9" i="3"/>
  <c r="R9" i="3"/>
  <c r="Q9" i="3"/>
  <c r="O9" i="3"/>
  <c r="P9" i="3" s="1"/>
  <c r="S8" i="3"/>
  <c r="R8" i="3"/>
  <c r="Q8" i="3"/>
  <c r="O8" i="3"/>
  <c r="P8" i="3" s="1"/>
  <c r="S7" i="3"/>
  <c r="R7" i="3"/>
  <c r="Q7" i="3"/>
  <c r="O7" i="3"/>
  <c r="P7" i="3" s="1"/>
  <c r="S6" i="3"/>
  <c r="R6" i="3"/>
  <c r="Q6" i="3"/>
  <c r="O6" i="3"/>
  <c r="P6" i="3" s="1"/>
  <c r="S5" i="3"/>
  <c r="R5" i="3"/>
  <c r="Q5" i="3"/>
  <c r="O5" i="3"/>
  <c r="P5" i="3" s="1"/>
  <c r="D18" i="2"/>
  <c r="C18" i="2"/>
  <c r="B18" i="2"/>
  <c r="D15" i="2"/>
  <c r="C15" i="2"/>
  <c r="B15" i="2"/>
  <c r="D12" i="2"/>
  <c r="I40" i="11" s="1"/>
  <c r="C12" i="2"/>
  <c r="B12" i="2"/>
  <c r="T36" i="3" l="1"/>
  <c r="N6" i="3"/>
  <c r="I39" i="11"/>
  <c r="N7" i="3"/>
  <c r="I38" i="11"/>
  <c r="C15" i="11"/>
  <c r="C31" i="11"/>
  <c r="C30" i="11"/>
  <c r="C14" i="11"/>
  <c r="C28" i="11"/>
  <c r="C12" i="11"/>
  <c r="C27" i="11"/>
  <c r="C11" i="11"/>
  <c r="C9" i="11"/>
  <c r="C25" i="11"/>
  <c r="C24" i="11"/>
  <c r="C8" i="11"/>
  <c r="T45" i="3"/>
  <c r="T50" i="3"/>
  <c r="T18" i="3"/>
  <c r="T35" i="3"/>
  <c r="C25" i="4"/>
  <c r="J15" i="11" s="1"/>
  <c r="T38" i="3"/>
  <c r="T41" i="3"/>
  <c r="T25" i="3"/>
  <c r="E26" i="4"/>
  <c r="T19" i="3"/>
  <c r="D26" i="4"/>
  <c r="J30" i="11" s="1"/>
  <c r="T6" i="3"/>
  <c r="E16" i="4"/>
  <c r="T40" i="3"/>
  <c r="T47" i="3"/>
  <c r="T39" i="3"/>
  <c r="T51" i="3"/>
  <c r="T21" i="3"/>
  <c r="T29" i="3"/>
  <c r="T11" i="3"/>
  <c r="T48" i="3"/>
  <c r="T44" i="3"/>
  <c r="T33" i="3"/>
  <c r="K26" i="4"/>
  <c r="T46" i="3"/>
  <c r="D16" i="4"/>
  <c r="J25" i="11" s="1"/>
  <c r="T30" i="3"/>
  <c r="N8" i="3"/>
  <c r="T8" i="3" s="1"/>
  <c r="T37" i="3"/>
  <c r="T49" i="3"/>
  <c r="T32" i="3"/>
  <c r="T20" i="3"/>
  <c r="T27" i="3"/>
  <c r="T15" i="3"/>
  <c r="T52" i="3"/>
  <c r="T16" i="3"/>
  <c r="T22" i="3"/>
  <c r="K8" i="4"/>
  <c r="T23" i="3"/>
  <c r="T12" i="3"/>
  <c r="T13" i="3"/>
  <c r="T43" i="3"/>
  <c r="E25" i="4"/>
  <c r="T14" i="3"/>
  <c r="T34" i="3"/>
  <c r="T28" i="3"/>
  <c r="K9" i="4"/>
  <c r="M9" i="4" s="1"/>
  <c r="T17" i="3"/>
  <c r="T42" i="3"/>
  <c r="D17" i="4"/>
  <c r="J24" i="11" s="1"/>
  <c r="T24" i="3"/>
  <c r="T31" i="3"/>
  <c r="C7" i="4"/>
  <c r="J12" i="11" s="1"/>
  <c r="S9" i="4"/>
  <c r="P9" i="4"/>
  <c r="C16" i="4"/>
  <c r="J9" i="11" s="1"/>
  <c r="T7" i="3"/>
  <c r="P18" i="4"/>
  <c r="S18" i="4"/>
  <c r="C26" i="4"/>
  <c r="J14" i="11" s="1"/>
  <c r="C8" i="4"/>
  <c r="J11" i="11" s="1"/>
  <c r="C18" i="4"/>
  <c r="K18" i="4"/>
  <c r="M18" i="4" s="1"/>
  <c r="D8" i="4"/>
  <c r="J27" i="11" s="1"/>
  <c r="E18" i="4"/>
  <c r="F18" i="4" s="1"/>
  <c r="G18" i="4" s="1"/>
  <c r="H18" i="4" s="1"/>
  <c r="N5" i="3"/>
  <c r="T5" i="3" s="1"/>
  <c r="C27" i="4"/>
  <c r="D7" i="4"/>
  <c r="J28" i="11" s="1"/>
  <c r="N10" i="3"/>
  <c r="T10" i="3" s="1"/>
  <c r="E7" i="4"/>
  <c r="E17" i="4"/>
  <c r="K25" i="4"/>
  <c r="E27" i="4"/>
  <c r="E8" i="4"/>
  <c r="K16" i="4"/>
  <c r="D25" i="4"/>
  <c r="J31" i="11" s="1"/>
  <c r="N9" i="3"/>
  <c r="T9" i="3" s="1"/>
  <c r="C17" i="4"/>
  <c r="J8" i="11" s="1"/>
  <c r="D27" i="4"/>
  <c r="E9" i="4"/>
  <c r="K17" i="4"/>
  <c r="C9" i="4"/>
  <c r="K7" i="4"/>
  <c r="O31" i="11" l="1"/>
  <c r="P31" i="11" s="1"/>
  <c r="O15" i="11"/>
  <c r="O27" i="11"/>
  <c r="P27" i="11" s="1"/>
  <c r="O11" i="11"/>
  <c r="O25" i="11"/>
  <c r="O9" i="11"/>
  <c r="P25" i="11"/>
  <c r="O30" i="11"/>
  <c r="O32" i="11" s="1"/>
  <c r="O14" i="11"/>
  <c r="O16" i="11" s="1"/>
  <c r="O28" i="11"/>
  <c r="P28" i="11" s="1"/>
  <c r="O12" i="11"/>
  <c r="O24" i="11"/>
  <c r="O26" i="11" s="1"/>
  <c r="O8" i="11"/>
  <c r="O10" i="11" s="1"/>
  <c r="J32" i="11"/>
  <c r="K15" i="11"/>
  <c r="M15" i="11" s="1"/>
  <c r="K31" i="11"/>
  <c r="M31" i="11" s="1"/>
  <c r="N31" i="11" s="1"/>
  <c r="K24" i="11"/>
  <c r="L24" i="11" s="1"/>
  <c r="K8" i="11"/>
  <c r="L8" i="11" s="1"/>
  <c r="K14" i="11"/>
  <c r="L14" i="11" s="1"/>
  <c r="K30" i="11"/>
  <c r="L31" i="11"/>
  <c r="J29" i="11"/>
  <c r="J13" i="11"/>
  <c r="K28" i="11"/>
  <c r="M28" i="11" s="1"/>
  <c r="N28" i="11" s="1"/>
  <c r="K12" i="11"/>
  <c r="M12" i="11" s="1"/>
  <c r="Q12" i="11" s="1"/>
  <c r="J16" i="11"/>
  <c r="N12" i="11"/>
  <c r="L12" i="11"/>
  <c r="J10" i="11"/>
  <c r="K9" i="11"/>
  <c r="M9" i="11" s="1"/>
  <c r="K25" i="11"/>
  <c r="M25" i="11" s="1"/>
  <c r="N25" i="11" s="1"/>
  <c r="K27" i="11"/>
  <c r="K11" i="11"/>
  <c r="L11" i="11" s="1"/>
  <c r="J26" i="11"/>
  <c r="K10" i="4"/>
  <c r="E6" i="5" s="1"/>
  <c r="Q16" i="4"/>
  <c r="D19" i="4"/>
  <c r="G7" i="5" s="1"/>
  <c r="T25" i="4"/>
  <c r="S26" i="4"/>
  <c r="S17" i="4"/>
  <c r="Q26" i="4"/>
  <c r="P26" i="4"/>
  <c r="E30" i="11" s="1"/>
  <c r="E19" i="4"/>
  <c r="F26" i="4"/>
  <c r="G26" i="4" s="1"/>
  <c r="H26" i="4" s="1"/>
  <c r="N26" i="4"/>
  <c r="M26" i="4"/>
  <c r="T26" i="4"/>
  <c r="P17" i="4"/>
  <c r="E24" i="11" s="1"/>
  <c r="M17" i="4"/>
  <c r="S16" i="4"/>
  <c r="P16" i="4"/>
  <c r="Q25" i="4"/>
  <c r="E28" i="4"/>
  <c r="F16" i="4"/>
  <c r="G16" i="4" s="1"/>
  <c r="H16" i="4" s="1"/>
  <c r="T16" i="4"/>
  <c r="N25" i="4"/>
  <c r="K19" i="4"/>
  <c r="E7" i="5" s="1"/>
  <c r="K28" i="4"/>
  <c r="E8" i="5" s="1"/>
  <c r="M16" i="4"/>
  <c r="O18" i="4"/>
  <c r="L18" i="4"/>
  <c r="R18" i="4"/>
  <c r="I18" i="4"/>
  <c r="J18" i="4" s="1"/>
  <c r="P8" i="4"/>
  <c r="E27" i="11" s="1"/>
  <c r="M8" i="4"/>
  <c r="S8" i="4"/>
  <c r="F8" i="4"/>
  <c r="G8" i="4" s="1"/>
  <c r="H8" i="4" s="1"/>
  <c r="O17" i="4"/>
  <c r="E8" i="11" s="1"/>
  <c r="R17" i="4"/>
  <c r="L17" i="4"/>
  <c r="I17" i="4"/>
  <c r="J17" i="4" s="1"/>
  <c r="N16" i="4"/>
  <c r="F17" i="4"/>
  <c r="G17" i="4" s="1"/>
  <c r="H17" i="4" s="1"/>
  <c r="T27" i="4"/>
  <c r="N27" i="4"/>
  <c r="Q27" i="4"/>
  <c r="I8" i="4"/>
  <c r="J8" i="4" s="1"/>
  <c r="O8" i="4"/>
  <c r="E11" i="11" s="1"/>
  <c r="L8" i="4"/>
  <c r="R8" i="4"/>
  <c r="I9" i="4"/>
  <c r="J9" i="4" s="1"/>
  <c r="L9" i="4"/>
  <c r="O9" i="4"/>
  <c r="R9" i="4"/>
  <c r="H8" i="5"/>
  <c r="N17" i="4"/>
  <c r="T17" i="4"/>
  <c r="Q17" i="4"/>
  <c r="Q9" i="4"/>
  <c r="T9" i="4"/>
  <c r="N9" i="4"/>
  <c r="N7" i="4"/>
  <c r="E10" i="4"/>
  <c r="T7" i="4"/>
  <c r="Q7" i="4"/>
  <c r="C19" i="4"/>
  <c r="O16" i="4"/>
  <c r="E9" i="11" s="1"/>
  <c r="R16" i="4"/>
  <c r="L16" i="4"/>
  <c r="I16" i="4"/>
  <c r="J16" i="4" s="1"/>
  <c r="P7" i="4"/>
  <c r="E28" i="11" s="1"/>
  <c r="M7" i="4"/>
  <c r="D10" i="4"/>
  <c r="S7" i="4"/>
  <c r="F7" i="4"/>
  <c r="G7" i="4" s="1"/>
  <c r="H7" i="4" s="1"/>
  <c r="O27" i="4"/>
  <c r="I27" i="4"/>
  <c r="J27" i="4" s="1"/>
  <c r="L27" i="4"/>
  <c r="R27" i="4"/>
  <c r="P25" i="4"/>
  <c r="E31" i="11" s="1"/>
  <c r="S25" i="4"/>
  <c r="F25" i="4"/>
  <c r="G25" i="4" s="1"/>
  <c r="H25" i="4" s="1"/>
  <c r="M25" i="4"/>
  <c r="D28" i="4"/>
  <c r="F9" i="4"/>
  <c r="G9" i="4" s="1"/>
  <c r="H9" i="4" s="1"/>
  <c r="R26" i="4"/>
  <c r="O26" i="4"/>
  <c r="E14" i="11" s="1"/>
  <c r="L26" i="4"/>
  <c r="I26" i="4"/>
  <c r="J26" i="4" s="1"/>
  <c r="P27" i="4"/>
  <c r="M27" i="4"/>
  <c r="S27" i="4"/>
  <c r="F27" i="4"/>
  <c r="G27" i="4" s="1"/>
  <c r="H27" i="4" s="1"/>
  <c r="Q8" i="4"/>
  <c r="N8" i="4"/>
  <c r="T8" i="4"/>
  <c r="O7" i="4"/>
  <c r="E12" i="11" s="1"/>
  <c r="L7" i="4"/>
  <c r="I7" i="4"/>
  <c r="J7" i="4" s="1"/>
  <c r="C10" i="4"/>
  <c r="R7" i="4"/>
  <c r="Q18" i="4"/>
  <c r="N18" i="4"/>
  <c r="T18" i="4"/>
  <c r="I25" i="4"/>
  <c r="J25" i="4" s="1"/>
  <c r="R25" i="4"/>
  <c r="O25" i="4"/>
  <c r="E15" i="11" s="1"/>
  <c r="C28" i="4"/>
  <c r="L25" i="4"/>
  <c r="N9" i="11" l="1"/>
  <c r="Q9" i="11"/>
  <c r="N15" i="11"/>
  <c r="Q15" i="11"/>
  <c r="P16" i="11"/>
  <c r="P24" i="11"/>
  <c r="P10" i="11"/>
  <c r="P26" i="11"/>
  <c r="P32" i="11"/>
  <c r="O13" i="11"/>
  <c r="P13" i="11" s="1"/>
  <c r="O29" i="11"/>
  <c r="P29" i="11" s="1"/>
  <c r="P30" i="11"/>
  <c r="F24" i="11"/>
  <c r="F8" i="11"/>
  <c r="G8" i="11" s="1"/>
  <c r="K29" i="11"/>
  <c r="M29" i="11" s="1"/>
  <c r="N29" i="11" s="1"/>
  <c r="M27" i="11"/>
  <c r="N27" i="11" s="1"/>
  <c r="E16" i="11"/>
  <c r="F31" i="11"/>
  <c r="H31" i="11" s="1"/>
  <c r="F15" i="11"/>
  <c r="H15" i="11" s="1"/>
  <c r="P19" i="4"/>
  <c r="E25" i="11"/>
  <c r="J17" i="11"/>
  <c r="G24" i="11"/>
  <c r="E26" i="11"/>
  <c r="G31" i="11"/>
  <c r="I31" i="11"/>
  <c r="E13" i="11"/>
  <c r="N19" i="4"/>
  <c r="K7" i="5" s="1"/>
  <c r="E32" i="11"/>
  <c r="G15" i="11"/>
  <c r="I15" i="11"/>
  <c r="F30" i="11"/>
  <c r="G30" i="11" s="1"/>
  <c r="F14" i="11"/>
  <c r="G14" i="11" s="1"/>
  <c r="L28" i="11"/>
  <c r="L27" i="11"/>
  <c r="E10" i="11"/>
  <c r="F9" i="11"/>
  <c r="H9" i="11" s="1"/>
  <c r="I9" i="11" s="1"/>
  <c r="F25" i="11"/>
  <c r="J33" i="11"/>
  <c r="M30" i="11"/>
  <c r="N30" i="11" s="1"/>
  <c r="K32" i="11"/>
  <c r="M32" i="11" s="1"/>
  <c r="N32" i="11" s="1"/>
  <c r="E29" i="11"/>
  <c r="K16" i="11"/>
  <c r="M16" i="11" s="1"/>
  <c r="N16" i="11" s="1"/>
  <c r="M14" i="11"/>
  <c r="F12" i="11"/>
  <c r="H12" i="11" s="1"/>
  <c r="I12" i="11" s="1"/>
  <c r="F28" i="11"/>
  <c r="H28" i="11" s="1"/>
  <c r="I28" i="11" s="1"/>
  <c r="K10" i="11"/>
  <c r="M8" i="11"/>
  <c r="L9" i="11"/>
  <c r="M24" i="11"/>
  <c r="N24" i="11" s="1"/>
  <c r="K26" i="11"/>
  <c r="L26" i="11" s="1"/>
  <c r="L25" i="11"/>
  <c r="F27" i="11"/>
  <c r="G27" i="11" s="1"/>
  <c r="F11" i="11"/>
  <c r="G11" i="11" s="1"/>
  <c r="L15" i="11"/>
  <c r="L30" i="11"/>
  <c r="M11" i="11"/>
  <c r="K13" i="11"/>
  <c r="M13" i="11" s="1"/>
  <c r="N13" i="11" s="1"/>
  <c r="M19" i="4"/>
  <c r="J7" i="5" s="1"/>
  <c r="E9" i="5"/>
  <c r="H7" i="5"/>
  <c r="F19" i="4"/>
  <c r="G19" i="4" s="1"/>
  <c r="S19" i="4"/>
  <c r="Q19" i="4"/>
  <c r="Q10" i="4"/>
  <c r="P10" i="4"/>
  <c r="T28" i="4"/>
  <c r="T19" i="4"/>
  <c r="N28" i="4"/>
  <c r="K8" i="5" s="1"/>
  <c r="S10" i="4"/>
  <c r="Q28" i="4"/>
  <c r="P28" i="4"/>
  <c r="S28" i="4"/>
  <c r="O19" i="4"/>
  <c r="O28" i="4"/>
  <c r="R19" i="4"/>
  <c r="G6" i="5"/>
  <c r="F10" i="4"/>
  <c r="G10" i="4" s="1"/>
  <c r="M10" i="4"/>
  <c r="J6" i="5" s="1"/>
  <c r="R10" i="4"/>
  <c r="I10" i="4"/>
  <c r="J10" i="4" s="1"/>
  <c r="F6" i="5"/>
  <c r="L10" i="4"/>
  <c r="I6" i="5" s="1"/>
  <c r="T10" i="4"/>
  <c r="G8" i="5"/>
  <c r="M28" i="4"/>
  <c r="J8" i="5" s="1"/>
  <c r="F28" i="4"/>
  <c r="G28" i="4" s="1"/>
  <c r="I28" i="4"/>
  <c r="J28" i="4" s="1"/>
  <c r="F8" i="5"/>
  <c r="L28" i="4"/>
  <c r="I8" i="5" s="1"/>
  <c r="R28" i="4"/>
  <c r="O10" i="4"/>
  <c r="I19" i="4"/>
  <c r="J19" i="4" s="1"/>
  <c r="F7" i="5"/>
  <c r="L19" i="4"/>
  <c r="I7" i="5" s="1"/>
  <c r="H6" i="5"/>
  <c r="H9" i="5" s="1"/>
  <c r="N10" i="4"/>
  <c r="K6" i="5" s="1"/>
  <c r="H19" i="4"/>
  <c r="L7" i="5"/>
  <c r="N11" i="11" l="1"/>
  <c r="Q11" i="11"/>
  <c r="Q13" i="11" s="1"/>
  <c r="N8" i="11"/>
  <c r="Q8" i="11"/>
  <c r="Q10" i="11" s="1"/>
  <c r="N14" i="11"/>
  <c r="Q14" i="11"/>
  <c r="Q16" i="11" s="1"/>
  <c r="Q17" i="11" s="1"/>
  <c r="O17" i="11"/>
  <c r="P17" i="11" s="1"/>
  <c r="O33" i="11"/>
  <c r="P33" i="11" s="1"/>
  <c r="H25" i="11"/>
  <c r="I25" i="11" s="1"/>
  <c r="G9" i="11"/>
  <c r="L13" i="11"/>
  <c r="L29" i="11"/>
  <c r="M10" i="11"/>
  <c r="N10" i="11" s="1"/>
  <c r="K17" i="11"/>
  <c r="M17" i="11" s="1"/>
  <c r="N17" i="11" s="1"/>
  <c r="G12" i="11"/>
  <c r="L16" i="11"/>
  <c r="E33" i="11"/>
  <c r="L10" i="11"/>
  <c r="G25" i="11"/>
  <c r="L32" i="11"/>
  <c r="E17" i="11"/>
  <c r="H11" i="11"/>
  <c r="I11" i="11" s="1"/>
  <c r="F13" i="11"/>
  <c r="H13" i="11" s="1"/>
  <c r="I13" i="11" s="1"/>
  <c r="F29" i="11"/>
  <c r="H29" i="11" s="1"/>
  <c r="I29" i="11" s="1"/>
  <c r="H27" i="11"/>
  <c r="I27" i="11" s="1"/>
  <c r="G28" i="11"/>
  <c r="M26" i="11"/>
  <c r="N26" i="11" s="1"/>
  <c r="K33" i="11"/>
  <c r="M33" i="11" s="1"/>
  <c r="N33" i="11" s="1"/>
  <c r="F16" i="11"/>
  <c r="H16" i="11" s="1"/>
  <c r="I16" i="11" s="1"/>
  <c r="H14" i="11"/>
  <c r="I14" i="11" s="1"/>
  <c r="H8" i="11"/>
  <c r="I8" i="11" s="1"/>
  <c r="F10" i="11"/>
  <c r="G10" i="11" s="1"/>
  <c r="H30" i="11"/>
  <c r="I30" i="11" s="1"/>
  <c r="F32" i="11"/>
  <c r="H32" i="11" s="1"/>
  <c r="I32" i="11" s="1"/>
  <c r="F26" i="11"/>
  <c r="G26" i="11" s="1"/>
  <c r="H24" i="11"/>
  <c r="I24" i="11" s="1"/>
  <c r="K9" i="5"/>
  <c r="M7" i="5"/>
  <c r="L8" i="5"/>
  <c r="H28" i="4"/>
  <c r="O6" i="5"/>
  <c r="N6" i="5"/>
  <c r="F9" i="5"/>
  <c r="O7" i="5"/>
  <c r="N7" i="5"/>
  <c r="O8" i="5"/>
  <c r="N8" i="5"/>
  <c r="H10" i="4"/>
  <c r="L6" i="5"/>
  <c r="G9" i="5"/>
  <c r="L17" i="11" l="1"/>
  <c r="L33" i="11"/>
  <c r="G16" i="11"/>
  <c r="G29" i="11"/>
  <c r="H26" i="11"/>
  <c r="I26" i="11" s="1"/>
  <c r="F33" i="11"/>
  <c r="H33" i="11" s="1"/>
  <c r="I33" i="11" s="1"/>
  <c r="G13" i="11"/>
  <c r="F17" i="11"/>
  <c r="H17" i="11" s="1"/>
  <c r="I17" i="11" s="1"/>
  <c r="H10" i="11"/>
  <c r="I10" i="11" s="1"/>
  <c r="G32" i="11"/>
  <c r="M8" i="5"/>
  <c r="M6" i="5"/>
  <c r="L9" i="5"/>
  <c r="M9" i="5" s="1"/>
  <c r="J9" i="5"/>
  <c r="O9" i="5"/>
  <c r="I9" i="5"/>
  <c r="N9" i="5"/>
  <c r="G33" i="11" l="1"/>
  <c r="G17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초안</author>
  </authors>
  <commentList>
    <comment ref="H4" authorId="0" shapeId="0" xr:uid="{00000000-0006-0000-0200-000001000000}">
      <text>
        <r>
          <rPr>
            <sz val="11"/>
            <color theme="1"/>
            <rFont val="맑은 고딕"/>
            <family val="2"/>
            <scheme val="minor"/>
          </rPr>
          <t>실행예산 단열재 수량(㎡, 할증 포함). 없으면 01시트 할증률을 넣으면 실면적×(1+할증률)로 대체 산정.</t>
        </r>
      </text>
    </comment>
    <comment ref="I4" authorId="0" shapeId="0" xr:uid="{00000000-0006-0000-0200-000002000000}">
      <text>
        <r>
          <rPr>
            <sz val="11"/>
            <color theme="1"/>
            <rFont val="맑은 고딕"/>
            <family val="2"/>
            <scheme val="minor"/>
          </rPr>
          <t>현장식 산출서의 '면적(M2)' = 주문 판수 × 정척면적. 판수만 있으면 판수 × 01시트 판 면적.</t>
        </r>
      </text>
    </comment>
    <comment ref="J4" authorId="0" shapeId="0" xr:uid="{00000000-0006-0000-0200-000003000000}">
      <text>
        <r>
          <rPr>
            <sz val="11"/>
            <color theme="1"/>
            <rFont val="맑은 고딕"/>
            <family val="2"/>
            <scheme val="minor"/>
          </rPr>
          <t>스마트덱 현장식 산출서 CSV 의 두께별 '면적(M2)' (= 산출면적). 합계는 CSV '산출면적 계'와 같다.</t>
        </r>
      </text>
    </comment>
    <comment ref="K4" authorId="0" shapeId="0" xr:uid="{00000000-0006-0000-0200-000004000000}">
      <text>
        <r>
          <rPr>
            <sz val="11"/>
            <color theme="1"/>
            <rFont val="맑은 고딕"/>
            <family val="2"/>
            <scheme val="minor"/>
          </rPr>
          <t>나누기 전 순수 시공면적(전개면 − 창호). 비교 대상이 아니라 로스율 계산용 참고값.</t>
        </r>
      </text>
    </comment>
  </commentList>
</comments>
</file>

<file path=xl/sharedStrings.xml><?xml version="1.0" encoding="utf-8"?>
<sst xmlns="http://schemas.openxmlformats.org/spreadsheetml/2006/main" count="972" uniqueCount="411">
  <si>
    <t>세대 단열재 나누기도 — 물량 검증 비교표 (초안)</t>
  </si>
  <si>
    <t>스마트덱(SD) 단열 Layout 산출 결과를 실행기준·현장산출과 대조해 플랫폼 산출 정확도와 절감 효과를 확인한다.</t>
  </si>
  <si>
    <t>1. 검증 목적</t>
  </si>
  <si>
    <t>목적</t>
  </si>
  <si>
    <t>플랫폼(스마트덱 단열 Layout)이 산출한 단열재 산출면적(주문 판수 × 정척면적)이 현장 실무 산출과 일치하는지(정확도), 실행기준 대비 얼마나 줄이는지(절감 효과)를 3개 현장에서 확인한다.</t>
  </si>
  <si>
    <t>대상 현장</t>
  </si>
  <si>
    <t>부산장안 · 남원주1차 · 세종2차 — 단열 지역구분이 서로 달라 두께 구성이 다르다(01_현장조건).</t>
  </si>
  <si>
    <t>2. 비교 대상 3종 정의</t>
  </si>
  <si>
    <t>실행기준</t>
  </si>
  <si>
    <t>실행예산(내역) 상의 단열재 수량(㎡). 회사 기준 할증(로스)이 포함된 값. 실행 수량이 없으면 '실면적 × (1+실행 할증률)' 로 대체 산정(대체 산정임을 비고에 표기).</t>
  </si>
  <si>
    <t>현장산출</t>
  </si>
  <si>
    <t>현장이 직접 작성한 현장식 산출서의 산출면적(㎡) — 두께별 '면적(M2)'.</t>
  </si>
  <si>
    <t>플랫폼산출</t>
  </si>
  <si>
    <t>스마트덱 현장식 산출서 CSV 의 산출면적(㎡) = 주문 판수(온장+절단판) × 정척면적. 산출 모드(물량 최소/시공성 우선)를 반드시 기록.</t>
  </si>
  <si>
    <t>3. 두께가 다른 현장을 비교하는 원칙</t>
  </si>
  <si>
    <t>① 두께별로 따로 비교</t>
  </si>
  <si>
    <t>50T·90T 등은 서로 다른 자재다. 산출면적 비교·오차율·판정은 '현장 × 두께' 단위로 먼저 한다(03_현장별비교).</t>
  </si>
  <si>
    <t>② 현장 합계</t>
  </si>
  <si>
    <t>현장 합계는 현장식 산출서 '산출면적 계'와 같게 두께를 합산한 ㎡ 로 비교한다. 두께 비중 차이를 보려면 체적(㎥ = 산출면적 × 두께)을 참고.</t>
  </si>
  <si>
    <t>③ 현장 간 비교 지표</t>
  </si>
  <si>
    <t>두께 영향을 받지 않는 '로스율 = 산출면적 ÷ 실면적 − 1' 로 현장끼리 비교한다(04_종합요약). 실면적 = 나누기 전 순수 시공면적.</t>
  </si>
  <si>
    <t>④ 지역구분</t>
  </si>
  <si>
    <t>건축물 에너지절약설계기준 지역구분(중부1·중부2·남부)에 따라 외벽 단열 두께가 달라진다. 현장별 적용 두께는 설계도서로 확인해 입력.</t>
  </si>
  <si>
    <t>4. 판정 기준 (플랫폼 vs 현장)</t>
  </si>
  <si>
    <t>적합 / 검토 / 부적합</t>
  </si>
  <si>
    <t>|오차율| ≤ 적합 허용치 → 적합, ≤ 검토 허용치 → 검토, 그 외 부적합. 허용치는 01_현장조건 하단에서 조정(기본 3% / 7%).</t>
  </si>
  <si>
    <t>공정 비교 조건</t>
  </si>
  <si>
    <t>세 값이 같은 도면(REV)·같은 범위(동·타입·층)·같은 보드 규격에서 나왔는지 06_검증조건에서 먼저 확인한다. 조건이 다르면 판정 무의미.</t>
  </si>
  <si>
    <t>5. 시트 구성과 작성 순서</t>
  </si>
  <si>
    <t>01_현장조건</t>
  </si>
  <si>
    <t>① 현장별 지역·두께 구성·보드 규격·산출 모드·실행 할증률 입력</t>
  </si>
  <si>
    <t>02_산출입력</t>
  </si>
  <si>
    <t>② 현장 × 동/타입 × 두께 단위로 실행·현장·플랫폼 산출면적(㎡)과 실면적 입력</t>
  </si>
  <si>
    <t>03_현장별비교</t>
  </si>
  <si>
    <t>자동 계산 — 두께별 산출면적·오차율·실행 대비 증감·로스율·판수 환산·체적</t>
  </si>
  <si>
    <t>04_종합요약</t>
  </si>
  <si>
    <t>자동 계산 — 3개 현장 한 장 요약 + 그래프 (보고용 1페이지)</t>
  </si>
  <si>
    <t>05_차이원인</t>
  </si>
  <si>
    <t>③ 차이가 난 두께/겹마다 원인 분류와 조치 기록</t>
  </si>
  <si>
    <t>06_검증조건</t>
  </si>
  <si>
    <t>④ 비교 전제 조건 체크리스트 (먼저 확인 권장)</t>
  </si>
  <si>
    <t>07_플랫폼원자료</t>
  </si>
  <si>
    <t>플랫폼 현장식 산출서 동별 집계표 원본(근거) — 수정 금지</t>
  </si>
  <si>
    <t>6. 범례</t>
  </si>
  <si>
    <t>파란 글씨 + 노란 바탕</t>
  </si>
  <si>
    <t>입력 칸 — 직접 채우거나 고치는 곳</t>
  </si>
  <si>
    <t>검정 글씨 + 회색 바탕</t>
  </si>
  <si>
    <t>수식 — 고치지 않는다</t>
  </si>
  <si>
    <t>초록 글씨</t>
  </si>
  <si>
    <t>다른 시트 값을 그대로 가져온 칸</t>
  </si>
  <si>
    <t>플랫폼산출 값</t>
  </si>
  <si>
    <t>3개 현장 최신 REV 를 현재 배포 코드로 계산한 현장식 산출서 CSV 합계(2026-09-30 추출). 원자료는 07_플랫폼원자료.</t>
  </si>
  <si>
    <t>01. 현장 조건</t>
  </si>
  <si>
    <t>현장별 단열 두께 구성과 산출 조건. 3행 현장명은 다른 시트의 조회 키이므로 바꾸면 02 시트 현장명도 같이 바꿀 것.</t>
  </si>
  <si>
    <t>항목</t>
  </si>
  <si>
    <t>부산장안</t>
  </si>
  <si>
    <t>남원주1차</t>
  </si>
  <si>
    <t>세종2차</t>
  </si>
  <si>
    <t>단위</t>
  </si>
  <si>
    <t>설명 / 근거</t>
  </si>
  <si>
    <t>지역구분(에너지절약설계기준)</t>
  </si>
  <si>
    <t>남부</t>
  </si>
  <si>
    <t>중부1</t>
  </si>
  <si>
    <t>중부2</t>
  </si>
  <si>
    <t>부산=남부, 원주=중부1, 세종=중부2 (일반 기준 — 설계도서로 확인)</t>
  </si>
  <si>
    <t>비교 대상 동 / 타입</t>
  </si>
  <si>
    <t>101~104동 전 타입</t>
  </si>
  <si>
    <t>401~405동 전 타입</t>
  </si>
  <si>
    <t>59타입 105~112동 + 84타입 1~22동</t>
  </si>
  <si>
    <t>플랫폼 '동·타입 설정' 매트릭스 전체</t>
  </si>
  <si>
    <t>비교 범위</t>
  </si>
  <si>
    <t>전체 419세대</t>
  </si>
  <si>
    <t>전체 900세대</t>
  </si>
  <si>
    <t>전체 1,110세대 (59 320 + 84 790)</t>
  </si>
  <si>
    <t>현장식 산출서 '동별 집계표' 합계. 현장산출·실행기준도 같은 범위로</t>
  </si>
  <si>
    <t>도면 · 플랫폼 REV</t>
  </si>
  <si>
    <t>부산장안 단열재 산출_rev2 · REV 7</t>
  </si>
  <si>
    <t>84A타입(401동~404동) · REV 35</t>
  </si>
  <si>
    <t>세종2차임대 · REV 19(59) + REV 18(84)</t>
  </si>
  <si>
    <t>스마트덱 프로젝트명 · 최신 REV</t>
  </si>
  <si>
    <t>REV 저장일</t>
  </si>
  <si>
    <t>2026-09-28</t>
  </si>
  <si>
    <t>2026-09-17</t>
  </si>
  <si>
    <t>2026-09-22 (두 REV 같은 날)</t>
  </si>
  <si>
    <t>DB elev_revisions.created_at (KST 기준 날짜는 +9h)</t>
  </si>
  <si>
    <t>원본 도면(DXF)</t>
  </si>
  <si>
    <t>20260916 부산장안 세대단열재 검토rev2.dxf</t>
  </si>
  <si>
    <t>251118_세대단열와리_검토2★.dxf</t>
  </si>
  <si>
    <t>59.dxf / 84 타입.dxf</t>
  </si>
  <si>
    <t>REV 에 첨부된 평면 DXF</t>
  </si>
  <si>
    <t>보드 가로(L)</t>
  </si>
  <si>
    <t>mm</t>
  </si>
  <si>
    <t>REV 저장값</t>
  </si>
  <si>
    <t>보드 세로(H)</t>
  </si>
  <si>
    <t>REV 저장값 (기준층 층고와 같게 설정됨)</t>
  </si>
  <si>
    <t>판 면적</t>
  </si>
  <si>
    <t>㎡</t>
  </si>
  <si>
    <t>L × H</t>
  </si>
  <si>
    <t>직접외기 1P 두께</t>
  </si>
  <si>
    <t>T</t>
  </si>
  <si>
    <t>REV 노출 프리셋</t>
  </si>
  <si>
    <t>직접외기 2P 두께</t>
  </si>
  <si>
    <t>직접외기 총 두께</t>
  </si>
  <si>
    <t>1P + 2P</t>
  </si>
  <si>
    <t>간접외기 1P 두께</t>
  </si>
  <si>
    <t>간접외기 2P 두께</t>
  </si>
  <si>
    <t>간접외기 총 두께</t>
  </si>
  <si>
    <t>플랫폼 산출 모드</t>
  </si>
  <si>
    <t>물량 최소</t>
  </si>
  <si>
    <t>REV 저장값. 물량 최소 / 시공성 우선 — 모드에 따라 산출면적이 다르다</t>
  </si>
  <si>
    <t>버림 기준 폭</t>
  </si>
  <si>
    <t>REV 저장값 — 이보다 좁은 자투리는 버림 처리</t>
  </si>
  <si>
    <t>최소 조각 폭</t>
  </si>
  <si>
    <t>REV 저장값 — 이보다 좁은 조각은 옆 판과 합쳐 재분할</t>
  </si>
  <si>
    <t>실행기준 할증률(로스)</t>
  </si>
  <si>
    <t>%</t>
  </si>
  <si>
    <t>실행 수량(㎡)이 없을 때만 '시공면적×(1+할증률)' 대체 산정에 사용</t>
  </si>
  <si>
    <t>비교 자재 두께 ①</t>
  </si>
  <si>
    <t>03 시트에 나올 두께 목록(자재 규격) — 두께가 두꺼운 순</t>
  </si>
  <si>
    <t>비교 자재 두께 ②</t>
  </si>
  <si>
    <t>비교 자재 두께 ③</t>
  </si>
  <si>
    <t>플랫폼 산출 추출일</t>
  </si>
  <si>
    <t>2026-09-30</t>
  </si>
  <si>
    <t>최신 REV 를 현재 배포 코드(86e1fa2)로 계산한 현장식 산출서 CSV</t>
  </si>
  <si>
    <t>비고</t>
  </si>
  <si>
    <t>구 프로젝트 '부산장안' REV 16 은 07 시트 참고</t>
  </si>
  <si>
    <t>구 프로젝트 '남원주역세권1차' REV 5(401동 2타입)는 07 시트 참고</t>
  </si>
  <si>
    <t>59·84가 한 프로젝트의 서로 다른 REV — 두 REV 합산. 59A 90/50 변 1곳은 '배치 안함'</t>
  </si>
  <si>
    <t>판정 기준 (전 현장 공통)</t>
  </si>
  <si>
    <t>적합 허용 오차율 (±)</t>
  </si>
  <si>
    <t>|플랫폼−현장|/현장 이 이하이면 '적합' — 가정값, 보고 전 합의 필요</t>
  </si>
  <si>
    <t>검토 허용 오차율 (±)</t>
  </si>
  <si>
    <t>이 이하이면 '검토', 초과하면 '부적합' — 가정값</t>
  </si>
  <si>
    <t>02. 산출 입력</t>
  </si>
  <si>
    <t>한 줄 = 현장 × 동/타입 × 자재 두께. 비교 기준은 산출면적(㎡) = 주문 판수 × 정척면적 (현장식 산출서와 같은 정의). 오른쪽 회색 열은 자동 계산.</t>
  </si>
  <si>
    <t>입력</t>
  </si>
  <si>
    <t>자동 계산 (수정 금지)</t>
  </si>
  <si>
    <t>No</t>
  </si>
  <si>
    <t>현장</t>
  </si>
  <si>
    <t>동 / 타입</t>
  </si>
  <si>
    <t>산출 범위</t>
  </si>
  <si>
    <t>반복수</t>
  </si>
  <si>
    <t>자재 두께
(T)</t>
  </si>
  <si>
    <t>해당 겹 구성</t>
  </si>
  <si>
    <t>실행기준
산출면적(㎡)</t>
  </si>
  <si>
    <t>현장산출
산출면적(㎡)</t>
  </si>
  <si>
    <t>플랫폼산출
산출면적(㎡)</t>
  </si>
  <si>
    <t>실면적(㎡)
참고·로스율용</t>
  </si>
  <si>
    <t>자료 출처</t>
  </si>
  <si>
    <t>판 면적
(㎡)</t>
  </si>
  <si>
    <t>실행 적용
(㎡)</t>
  </si>
  <si>
    <t>실행 ㎡
×반복</t>
  </si>
  <si>
    <t>현장 ㎡
×반복</t>
  </si>
  <si>
    <t>플랫폼 ㎡
×반복</t>
  </si>
  <si>
    <t>실면적
×반복</t>
  </si>
  <si>
    <t>플랫폼
판수 환산</t>
  </si>
  <si>
    <t>419세대</t>
  </si>
  <si>
    <t>직접 1P</t>
  </si>
  <si>
    <t>스마트덱 현장식 산출서 CSV (REV 7)</t>
  </si>
  <si>
    <t>판수 11,016판 × 2.376㎡</t>
  </si>
  <si>
    <t>직접 2P · 간접 1P·2P</t>
  </si>
  <si>
    <t>판수 19,458판 × 2.376㎡</t>
  </si>
  <si>
    <t>900세대</t>
  </si>
  <si>
    <t>스마트덱 현장식 산출서 CSV (REV 35)</t>
  </si>
  <si>
    <t>판수 20,874판 × 2.6㎡</t>
  </si>
  <si>
    <t>판수 45,025판 × 2.6㎡</t>
  </si>
  <si>
    <t>직접 1P·2P · 간접 1P</t>
  </si>
  <si>
    <t>간접 2P</t>
  </si>
  <si>
    <t>03. 현장별 비교 (두께별)</t>
  </si>
  <si>
    <t>자동 계산. 비교 기준 = 산출면적(㎡). 두께별로 먼저 비교하고, 현장 합계는 현장식 산출서 '산출면적 계'와 같은 방식(두께 합산).</t>
  </si>
  <si>
    <t>자재</t>
  </si>
  <si>
    <t>① 산출면적 ㎡ (비교 기준)</t>
  </si>
  <si>
    <t>④ 참고</t>
  </si>
  <si>
    <t>⑤ 로스율 (산출÷실면적−1)</t>
  </si>
  <si>
    <t>⑥ 판수 환산 (장)</t>
  </si>
  <si>
    <t>⑦ 체적 ㎥ (두께 보정)</t>
  </si>
  <si>
    <t>두께(T)</t>
  </si>
  <si>
    <t>플랫폼</t>
  </si>
  <si>
    <t>차이(㎡)</t>
  </si>
  <si>
    <t>오차율</t>
  </si>
  <si>
    <t>판정</t>
  </si>
  <si>
    <t>증감률</t>
  </si>
  <si>
    <t>실면적(㎡)</t>
  </si>
  <si>
    <t>현장 합계</t>
  </si>
  <si>
    <t>※ 산출면적 = 주문 판수 × 정척면적(현장식 산출서 '면적(M2)'). 합계는 산출서 '산출면적 계'와 같다. 판정은 두께별 행을 먼저 본다(두께가 다르면 다른 자재). 체적은 두께 차이 보정용 참고.</t>
  </si>
  <si>
    <t>04. 종합 요약 — 3개 현장</t>
  </si>
  <si>
    <t>보고용 1페이지. 비교 기준 = 산출면적(㎡). 두께가 다른 현장끼리는 로스율(산출÷실면적−1)로 비교. 자동 계산.</t>
  </si>
  <si>
    <t>지역</t>
  </si>
  <si>
    <t>두께 구성 (1P+2P)</t>
  </si>
  <si>
    <t>실면적
(㎡, 참고)</t>
  </si>
  <si>
    <t>산출면적 ㎡ (비교 기준)</t>
  </si>
  <si>
    <t>로스율</t>
  </si>
  <si>
    <t>플랫폼 정확도</t>
  </si>
  <si>
    <t>실행 대비 증감률</t>
  </si>
  <si>
    <t>오차율
(vs 현장)</t>
  </si>
  <si>
    <t>3개 현장 계</t>
  </si>
  <si>
    <t>※ 산출면적 = 주문 판수 × 정척면적. 오차율·판정 허용치는 01_현장조건 하단. 실행 대비 증감률이 음수면 실행보다 적게 주문(절감). 두께별 상세는 03 시트.</t>
  </si>
  <si>
    <t>종합 의견 (작성)</t>
  </si>
  <si>
    <t>정확도</t>
  </si>
  <si>
    <t>예) 3개 현장 모두 플랫폼 산출면적이 현장 산출과 ±3% 이내(적합) — 두께별 최대 편차 ○㎡</t>
  </si>
  <si>
    <t>절감 효과</t>
  </si>
  <si>
    <t>두께 영향</t>
  </si>
  <si>
    <t>예) 지역별 두께가 달라도 로스율은 ○~○% 로 비슷 → 두께와 무관하게 배치 로직이 일관됨</t>
  </si>
  <si>
    <t>개선 과제</t>
  </si>
  <si>
    <t>05. 차이 원인 분석</t>
  </si>
  <si>
    <t>플랫폼 ↔ 현장 차이가 난 두께·겹마다 한 줄. 원인 분류·조치 구분은 목록에서 선택.</t>
  </si>
  <si>
    <t>겹</t>
  </si>
  <si>
    <t>차이(㎡)
플랫폼−현장</t>
  </si>
  <si>
    <t>원인 분류</t>
  </si>
  <si>
    <t>상세 설명 (근거)</t>
  </si>
  <si>
    <t>조치 구분</t>
  </si>
  <si>
    <t>조치 내용</t>
  </si>
  <si>
    <t>상태</t>
  </si>
  <si>
    <t>2P</t>
  </si>
  <si>
    <t>2P 시작 위치</t>
  </si>
  <si>
    <t>[참고 — 84C 기준층 개발 검증, 이번 합계 비교와 범위 다름] 현장 도면은 2P 이음매를 1P와 50~90mm만 비켜 면마다 온장으로 시작. 플랫폼 물량 최소 모드는 면별 시작 위치 탐색 적용 후 2P 42판(현장 44판). 적용 전에는 49판(커밋 823176e·21bc46f).</t>
  </si>
  <si>
    <t>정상 편차</t>
  </si>
  <si>
    <t>현장산출 입력 후 이 경향이 현장 전체에서도 나오는지 확인</t>
  </si>
  <si>
    <t>확인 필요</t>
  </si>
  <si>
    <t>※ 1번 행은 개발 검증 기록(84C 기준층 도면 복원 모델)의 참고 사례. 현장산출을 채운 뒤 실제 차이로 다시 적을 것.</t>
  </si>
  <si>
    <t>06. 비교 전제 조건 체크리스트</t>
  </si>
  <si>
    <t>세 값(실행기준·현장산출·플랫폼산출)이 같은 조건에서 나왔는지 먼저 확인. 미확인 항목이 있으면 그 현장 판정은 보류.</t>
  </si>
  <si>
    <t>확인 항목</t>
  </si>
  <si>
    <t>확인 방법</t>
  </si>
  <si>
    <t>같은 도면(REV) 사용</t>
  </si>
  <si>
    <t>플랫폼 프로젝트 REV 와 현장 나누기도의 원본 도면 파일·날짜 대조</t>
  </si>
  <si>
    <t>미확인</t>
  </si>
  <si>
    <t>비교 범위(동·타입·층) 일치</t>
  </si>
  <si>
    <t>실행 수량이 동 전체면 플랫폼·현장도 같은 범위로 환산(02 반복수)</t>
  </si>
  <si>
    <t>보드 규격 일치</t>
  </si>
  <si>
    <t>현장 발주 규격(예 1000×600)과 플랫폼 보드 L×H 동일</t>
  </si>
  <si>
    <t>노출 구분(직접/간접외기) 지정 일치</t>
  </si>
  <si>
    <t>플랫폼 입면 변별 노출타입이 현장 설계도서와 같은지</t>
  </si>
  <si>
    <t>두께(1P/2P) 설계 일치</t>
  </si>
  <si>
    <t>01 시트 두께 = 단열 상세도/특기시방 두께</t>
  </si>
  <si>
    <t>창호·개구부 반영 일치</t>
  </si>
  <si>
    <t>플랫폼 오프닝 위치·치수가 창호도와 일치, 누락 없음</t>
  </si>
  <si>
    <t>코너 랩(엇갈림) 방식 일치</t>
  </si>
  <si>
    <t>외부 모서리에서 어느 겹이 감싸는지 현장 방식과 같은지</t>
  </si>
  <si>
    <t>버림 기준·자투리 재사용 기준 일치</t>
  </si>
  <si>
    <t>플랫폼 버림 기준 폭과 현장 재사용 관행</t>
  </si>
  <si>
    <t>현장산출 출처 명확</t>
  </si>
  <si>
    <t>나누기도 / 발주서 / 실투입 중 무엇인지 02 시트 '자료 출처'에 기록</t>
  </si>
  <si>
    <t>실행기준 출처 명확</t>
  </si>
  <si>
    <t>실행예산서 항목·할증률 기록, 대체 산정이면 비고 표기</t>
  </si>
  <si>
    <t>플랫폼 산출 모드 기록</t>
  </si>
  <si>
    <t>물량 최소 / 시공성 우선 — 01 시트</t>
  </si>
  <si>
    <t>수량 단위 통일</t>
  </si>
  <si>
    <t>모두 산출면적(㎡ = 주문 판수 × 정척면적)으로 맞춤 — 실면적·조각 면적과 혼동 금지</t>
  </si>
  <si>
    <t>확인 완료율</t>
  </si>
  <si>
    <t>판정 가능 여부</t>
  </si>
  <si>
    <t>07. 플랫폼 원자료 — 현장식 산출서 동별 집계표</t>
  </si>
  <si>
    <t>스마트덱 최신 REV(DB elev_revisions)를 현재 배포 코드(origin/main 86e1fa2)로 계산해 받은 '현장식 산출서 CSV' 원본. 2026-09-30 추출. 수정 금지.</t>
  </si>
  <si>
    <t>부산장안 — '부산장안 단열재 산출_rev2' REV 7 (2026-09-28) ★비교 사용</t>
  </si>
  <si>
    <t>판 면적 2.376㎡ — 판수 = 면적 ÷ 판 면적. 면적(M2) = 주문 판수 × 정척면적, 실면적 = 전개면 − 오프닝.</t>
  </si>
  <si>
    <t>동</t>
  </si>
  <si>
    <t>단위세대 타입</t>
  </si>
  <si>
    <t>1~3F</t>
  </si>
  <si>
    <t>지붕층</t>
  </si>
  <si>
    <t>기준층</t>
  </si>
  <si>
    <t>세대수</t>
  </si>
  <si>
    <t>층고(1~3F/지붕/기준)</t>
  </si>
  <si>
    <t>55T 면적(M2)</t>
  </si>
  <si>
    <t>95T 면적(M2)</t>
  </si>
  <si>
    <t>55T 실면적(M2)</t>
  </si>
  <si>
    <t>95T 실면적(M2)</t>
  </si>
  <si>
    <t>55T 로스율(%)</t>
  </si>
  <si>
    <t>95T 로스율(%)</t>
  </si>
  <si>
    <t>실면적 계(M2)</t>
  </si>
  <si>
    <t>산출면적 계(M2)</t>
  </si>
  <si>
    <t>차이(M2)</t>
  </si>
  <si>
    <t>로스율(%)</t>
  </si>
  <si>
    <t>101동</t>
  </si>
  <si>
    <t>59A(기준측)</t>
  </si>
  <si>
    <t>2840/2840/2640</t>
  </si>
  <si>
    <t>59A(변형)</t>
  </si>
  <si>
    <t>59B(기준)</t>
  </si>
  <si>
    <t>84A(기준측)</t>
  </si>
  <si>
    <t>84A(기준)</t>
  </si>
  <si>
    <t>102동</t>
  </si>
  <si>
    <t>59A(기준)</t>
  </si>
  <si>
    <t>59B(변형)</t>
  </si>
  <si>
    <t>103동</t>
  </si>
  <si>
    <t>104동</t>
  </si>
  <si>
    <t>합계</t>
  </si>
  <si>
    <t>판수 환산</t>
  </si>
  <si>
    <t>남원주1차 — '84A타입(401동~404동)' REV 35 (2026-09-17) ★비교 사용 · 실제 범위 401~405동</t>
  </si>
  <si>
    <t>판 면적 2.600㎡ — 판수 = 면적 ÷ 판 면적. 면적(M2) = 주문 판수 × 정척면적, 실면적 = 전개면 − 오프닝.</t>
  </si>
  <si>
    <t>50T 면적(M2)</t>
  </si>
  <si>
    <t>90T 면적(M2)</t>
  </si>
  <si>
    <t>50T 실면적(M2)</t>
  </si>
  <si>
    <t>90T 실면적(M2)</t>
  </si>
  <si>
    <t>50T 로스율(%)</t>
  </si>
  <si>
    <t>90T 로스율(%)</t>
  </si>
  <si>
    <t>401동</t>
  </si>
  <si>
    <t>84A측벽+코어</t>
  </si>
  <si>
    <t>2800/2800/2600</t>
  </si>
  <si>
    <t>84A 측벽(5동)</t>
  </si>
  <si>
    <t>84A 일반</t>
  </si>
  <si>
    <t>84B 측벽</t>
  </si>
  <si>
    <t>84C 측벽</t>
  </si>
  <si>
    <t>402동</t>
  </si>
  <si>
    <t>403동</t>
  </si>
  <si>
    <t>404동</t>
  </si>
  <si>
    <t>405동</t>
  </si>
  <si>
    <t>세종2차 59타입 — '세종2차임대' REV 19 · 59.dxf (2026-09-22) ★비교 사용</t>
  </si>
  <si>
    <t>판 면적 2.690㎡ — 판수 = 면적 ÷ 판 면적. 면적(M2) = 주문 판수 × 정척면적, 실면적 = 전개면 − 오프닝.</t>
  </si>
  <si>
    <t>40T 면적(M2)</t>
  </si>
  <si>
    <t>70T 면적(M2)</t>
  </si>
  <si>
    <t>40T 실면적(M2)</t>
  </si>
  <si>
    <t>70T 실면적(M2)</t>
  </si>
  <si>
    <t>40T 로스율(%)</t>
  </si>
  <si>
    <t>70T 로스율(%)</t>
  </si>
  <si>
    <t>105동</t>
  </si>
  <si>
    <t>59A</t>
  </si>
  <si>
    <t>2790/2790/2690</t>
  </si>
  <si>
    <t>106동</t>
  </si>
  <si>
    <t>59B</t>
  </si>
  <si>
    <t>59C</t>
  </si>
  <si>
    <t>107동</t>
  </si>
  <si>
    <t>108동</t>
  </si>
  <si>
    <t>110동</t>
  </si>
  <si>
    <t>59D</t>
  </si>
  <si>
    <t>112동</t>
  </si>
  <si>
    <t>세종2차 84타입 — '세종2차임대' REV 18 · 84 타입.dxf (2026-09-22) ★비교 사용</t>
  </si>
  <si>
    <t>1동</t>
  </si>
  <si>
    <t>84A</t>
  </si>
  <si>
    <t>2동</t>
  </si>
  <si>
    <t>84C</t>
  </si>
  <si>
    <t>3동</t>
  </si>
  <si>
    <t>4동</t>
  </si>
  <si>
    <t>84B</t>
  </si>
  <si>
    <t>84D</t>
  </si>
  <si>
    <t>9동</t>
  </si>
  <si>
    <t>10동</t>
  </si>
  <si>
    <t>84C-1</t>
  </si>
  <si>
    <t>84C-2</t>
  </si>
  <si>
    <t>11동</t>
  </si>
  <si>
    <t>12동</t>
  </si>
  <si>
    <t>84E</t>
  </si>
  <si>
    <t>13동</t>
  </si>
  <si>
    <t>84A-1</t>
  </si>
  <si>
    <t>84A-2</t>
  </si>
  <si>
    <t>14동</t>
  </si>
  <si>
    <t>84F</t>
  </si>
  <si>
    <t>15동</t>
  </si>
  <si>
    <t>16동</t>
  </si>
  <si>
    <t>17동</t>
  </si>
  <si>
    <t>18동</t>
  </si>
  <si>
    <t>84G</t>
  </si>
  <si>
    <t>84G-1</t>
  </si>
  <si>
    <t>19동</t>
  </si>
  <si>
    <t>20동</t>
  </si>
  <si>
    <t>84H</t>
  </si>
  <si>
    <t>84H-1</t>
  </si>
  <si>
    <t>21동</t>
  </si>
  <si>
    <t>22동</t>
  </si>
  <si>
    <t>84H-2</t>
  </si>
  <si>
    <t>[참고] 부산장안 — 구 프로젝트 '부산장안' REV 16 (2026-09-21, rev2 도면 이전)</t>
  </si>
  <si>
    <t>59B(기본)</t>
  </si>
  <si>
    <t>84A(기본)</t>
  </si>
  <si>
    <t>59A(기본)</t>
  </si>
  <si>
    <t>[참고] 남원주1차 — 구 프로젝트 '남원주역세권1차' REV 5 (2026-07-29, 401동 2개 타입만)</t>
  </si>
  <si>
    <t>84A+측벽코어</t>
  </si>
  <si>
    <t>2600/2600/2600</t>
  </si>
  <si>
    <t>84B 측벽(전동)</t>
  </si>
  <si>
    <t>59+84타입 (59 105~112동 · 84 1~22동)</t>
    <phoneticPr fontId="13" type="noConversion"/>
  </si>
  <si>
    <t>1,110세대</t>
    <phoneticPr fontId="13" type="noConversion"/>
  </si>
  <si>
    <t>스마트덱 현장식 산출서 CSV (REV 19 · 59.dxf + REV 18 · 84 타입.dxf)</t>
    <phoneticPr fontId="13" type="noConversion"/>
  </si>
  <si>
    <t>59·84 합산 (플랫폼 판수 64,697판)</t>
    <phoneticPr fontId="13" type="noConversion"/>
  </si>
  <si>
    <t>59·84 합산 (플랫폼 판수 15,327판)</t>
    <phoneticPr fontId="13" type="noConversion"/>
  </si>
  <si>
    <t>구 분</t>
  </si>
  <si>
    <t>물량 차이(C=B-A)</t>
  </si>
  <si>
    <t>비 고</t>
  </si>
  <si>
    <t>비율
(B/A)</t>
  </si>
  <si>
    <t>비율
(C/A)</t>
  </si>
  <si>
    <t>소 계</t>
  </si>
  <si>
    <t>합 계</t>
  </si>
  <si>
    <t>플랫폼 REV</t>
  </si>
  <si>
    <t>두께</t>
  </si>
  <si>
    <t>수량
(B)</t>
  </si>
  <si>
    <t>수량
(C)</t>
  </si>
  <si>
    <t>※ 두께별 상세·로스율은 03_현장별비교, 지표 요약·그래프는 04-1_지표요약(참고).</t>
  </si>
  <si>
    <t>장 수 (매)</t>
  </si>
  <si>
    <t>산출면적 (㎡)</t>
  </si>
  <si>
    <t>실행
수량(A)</t>
  </si>
  <si>
    <t>현장산출
수량(A)</t>
  </si>
  <si>
    <t>(3) 현장별 적용 두께 · 판 규격</t>
  </si>
  <si>
    <t>직접외기 (1P+2P)</t>
  </si>
  <si>
    <t>간접외기 (1P+2P)</t>
  </si>
  <si>
    <t>판 규격 (가로×세로)</t>
  </si>
  <si>
    <t>※ 장수 = 산출면적 ÷ 현장별 판 면적(반올림). 실행·현장산출 장수도 같은 판 규격으로 환산한 값 — 현장 발주 규격이 다르면 실제 장수와 차이 날 수 있다.</t>
  </si>
  <si>
    <t>※ 판 규격이 현장마다 달라(부산 900×2640 · 남원주 1000×2600 · 세종 1000×2690) 3개 현장 장수 합계는 참고용이다. 현장 간 총량 비교는 산출면적(㎡) 기준.</t>
  </si>
  <si>
    <t>※ 비율(B/A)·차이(C)는 같은 현장·같은 두께끼리 계산. 소계·합계는 두께 합산. (2) 비고 판정은 산출면적 오차율 · 01_현장조건 하단 허용치 기준.</t>
  </si>
  <si>
    <t>■  단열재 실행 대비 현장 산출 수량 비교표</t>
    <phoneticPr fontId="20" type="noConversion"/>
  </si>
  <si>
    <t>(1) 실행 vs SW</t>
    <phoneticPr fontId="13" type="noConversion"/>
  </si>
  <si>
    <t>(2) 현장산출 vs SW</t>
    <phoneticPr fontId="13" type="noConversion"/>
  </si>
  <si>
    <t>SW산출수량(B)</t>
    <phoneticPr fontId="13" type="noConversion"/>
  </si>
  <si>
    <t>② SW 정확도 (vs 현장)</t>
    <phoneticPr fontId="13" type="noConversion"/>
  </si>
  <si>
    <t>③ SW vs 실행</t>
    <phoneticPr fontId="13" type="noConversion"/>
  </si>
  <si>
    <t>① 산출면적 ㎡ (비교 기준)</t>
    <phoneticPr fontId="13" type="noConversion"/>
  </si>
  <si>
    <t>실제면적 (㎡)</t>
    <phoneticPr fontId="13" type="noConversion"/>
  </si>
  <si>
    <t>수량
(D)</t>
    <phoneticPr fontId="13" type="noConversion"/>
  </si>
  <si>
    <t>비율
(D/A)</t>
    <phoneticPr fontId="13" type="noConversion"/>
  </si>
  <si>
    <t>SW 실제면적*10%(D)</t>
    <phoneticPr fontId="13" type="noConversion"/>
  </si>
  <si>
    <t>※ SW 실제면적×10%(D) = 플랫폼(SW) 실면적(전개면 − 창호, 나누기 전) × 1.1. 비율(D/A)은 각 표의 A(실행 / 현장산출 산출면적) 대비.</t>
  </si>
  <si>
    <t>-</t>
    <phoneticPr fontId="13" type="noConversion"/>
  </si>
  <si>
    <t>SW산출면적 (㎡)</t>
    <phoneticPr fontId="13" type="noConversion"/>
  </si>
  <si>
    <t>단가</t>
    <phoneticPr fontId="13" type="noConversion"/>
  </si>
  <si>
    <t>금액(원)</t>
    <phoneticPr fontId="13" type="noConversion"/>
  </si>
  <si>
    <t>비 고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</si>
</sst>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176" formatCode="#,##0;\-#,##0;&quot;-&quot;"/>
    <numFmt numFmtId="177" formatCode="0.000"/>
    <numFmt numFmtId="178" formatCode="0.0%;\-0.0%;&quot;-&quot;"/>
    <numFmt numFmtId="179" formatCode="0.0%"/>
    <numFmt numFmtId="180" formatCode="#,##0.00;\-#,##0.00;&quot;-&quot;"/>
    <numFmt numFmtId="181" formatCode="0&quot;T&quot;"/>
    <numFmt numFmtId="182" formatCode="\+#,##0.00;\-#,##0.00;&quot;0&quot;"/>
    <numFmt numFmtId="183" formatCode="\+0.0%;\-0.0%;&quot;0.0%&quot;"/>
    <numFmt numFmtId="184" formatCode="#,##0.000;\-#,##0.000;&quot;-&quot;"/>
    <numFmt numFmtId="185" formatCode="#,##0.0"/>
    <numFmt numFmtId="186" formatCode="0.0"/>
    <numFmt numFmtId="187" formatCode="#,##0&quot;판&quot;"/>
    <numFmt numFmtId="188" formatCode="&quot;(+) &quot;#,##0;&quot;(-) &quot;#,##0;&quot;0&quot;"/>
    <numFmt numFmtId="189" formatCode="&quot;(+) &quot;0.0%;&quot;(-) &quot;0.0%;&quot;0.0%&quot;"/>
  </numFmts>
  <fonts count="24" x14ac:knownFonts="1">
    <font>
      <sz val="11"/>
      <color theme="1"/>
      <name val="맑은 고딕"/>
      <family val="2"/>
      <scheme val="minor"/>
    </font>
    <font>
      <b/>
      <sz val="16"/>
      <color rgb="FF1F3864"/>
      <name val="맑은 고딕"/>
      <family val="3"/>
      <charset val="129"/>
    </font>
    <font>
      <i/>
      <sz val="9"/>
      <color rgb="FF595959"/>
      <name val="맑은 고딕"/>
      <family val="3"/>
      <charset val="129"/>
    </font>
    <font>
      <b/>
      <sz val="11"/>
      <color rgb="FF1F3864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10"/>
      <color rgb="FF008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0000FF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008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9"/>
      <color rgb="FF595959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24"/>
      <color theme="1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004791"/>
      </patternFill>
    </fill>
    <fill>
      <patternFill patternType="solid">
        <fgColor rgb="FF7F7F7F"/>
      </patternFill>
    </fill>
    <fill>
      <patternFill patternType="solid">
        <fgColor rgb="FFDDEBF7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1" fontId="22" fillId="0" borderId="0" applyFont="0" applyFill="0" applyBorder="0" applyAlignment="0" applyProtection="0">
      <alignment vertical="center"/>
    </xf>
  </cellStyleXfs>
  <cellXfs count="1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76" fontId="9" fillId="3" borderId="1" xfId="0" applyNumberFormat="1" applyFont="1" applyFill="1" applyBorder="1" applyAlignment="1">
      <alignment horizontal="center" vertical="center" wrapText="1"/>
    </xf>
    <xf numFmtId="177" fontId="5" fillId="4" borderId="1" xfId="0" applyNumberFormat="1" applyFont="1" applyFill="1" applyBorder="1" applyAlignment="1">
      <alignment horizontal="center" vertical="center" wrapText="1"/>
    </xf>
    <xf numFmtId="176" fontId="5" fillId="4" borderId="1" xfId="0" applyNumberFormat="1" applyFont="1" applyFill="1" applyBorder="1" applyAlignment="1">
      <alignment horizontal="center" vertical="center" wrapText="1"/>
    </xf>
    <xf numFmtId="178" fontId="9" fillId="3" borderId="1" xfId="0" applyNumberFormat="1" applyFont="1" applyFill="1" applyBorder="1" applyAlignment="1">
      <alignment horizontal="center" vertical="center" wrapText="1"/>
    </xf>
    <xf numFmtId="179" fontId="9" fillId="3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180" fontId="9" fillId="3" borderId="1" xfId="0" applyNumberFormat="1" applyFont="1" applyFill="1" applyBorder="1" applyAlignment="1">
      <alignment horizontal="center" vertical="center" wrapText="1"/>
    </xf>
    <xf numFmtId="180" fontId="5" fillId="4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81" fontId="12" fillId="0" borderId="1" xfId="0" applyNumberFormat="1" applyFont="1" applyBorder="1" applyAlignment="1">
      <alignment horizontal="center" vertical="center" wrapText="1"/>
    </xf>
    <xf numFmtId="180" fontId="5" fillId="0" borderId="1" xfId="0" applyNumberFormat="1" applyFont="1" applyBorder="1" applyAlignment="1">
      <alignment horizontal="center" vertical="center" wrapText="1"/>
    </xf>
    <xf numFmtId="182" fontId="5" fillId="0" borderId="1" xfId="0" applyNumberFormat="1" applyFont="1" applyBorder="1" applyAlignment="1">
      <alignment horizontal="center" vertical="center" wrapText="1"/>
    </xf>
    <xf numFmtId="183" fontId="5" fillId="0" borderId="1" xfId="0" applyNumberFormat="1" applyFont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84" fontId="5" fillId="0" borderId="1" xfId="0" applyNumberFormat="1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80" fontId="4" fillId="8" borderId="1" xfId="0" applyNumberFormat="1" applyFont="1" applyFill="1" applyBorder="1" applyAlignment="1">
      <alignment horizontal="center" vertical="center" wrapText="1"/>
    </xf>
    <xf numFmtId="182" fontId="4" fillId="8" borderId="1" xfId="0" applyNumberFormat="1" applyFont="1" applyFill="1" applyBorder="1" applyAlignment="1">
      <alignment horizontal="center" vertical="center" wrapText="1"/>
    </xf>
    <xf numFmtId="183" fontId="4" fillId="8" borderId="1" xfId="0" applyNumberFormat="1" applyFont="1" applyFill="1" applyBorder="1" applyAlignment="1">
      <alignment horizontal="center" vertical="center" wrapText="1"/>
    </xf>
    <xf numFmtId="179" fontId="4" fillId="8" borderId="1" xfId="0" applyNumberFormat="1" applyFont="1" applyFill="1" applyBorder="1" applyAlignment="1">
      <alignment horizontal="center" vertical="center" wrapText="1"/>
    </xf>
    <xf numFmtId="176" fontId="4" fillId="8" borderId="1" xfId="0" applyNumberFormat="1" applyFont="1" applyFill="1" applyBorder="1" applyAlignment="1">
      <alignment horizontal="center" vertical="center" wrapText="1"/>
    </xf>
    <xf numFmtId="184" fontId="4" fillId="8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80" fontId="12" fillId="0" borderId="1" xfId="0" applyNumberFormat="1" applyFont="1" applyBorder="1" applyAlignment="1">
      <alignment horizontal="center" vertical="center" wrapText="1"/>
    </xf>
    <xf numFmtId="179" fontId="12" fillId="0" borderId="1" xfId="0" applyNumberFormat="1" applyFont="1" applyBorder="1" applyAlignment="1">
      <alignment horizontal="center" vertical="center" wrapText="1"/>
    </xf>
    <xf numFmtId="183" fontId="1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82" fontId="9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9" fontId="4" fillId="8" borderId="1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85" fontId="5" fillId="0" borderId="1" xfId="0" applyNumberFormat="1" applyFont="1" applyBorder="1" applyAlignment="1">
      <alignment horizontal="center" vertical="center" wrapText="1"/>
    </xf>
    <xf numFmtId="186" fontId="5" fillId="0" borderId="1" xfId="0" applyNumberFormat="1" applyFont="1" applyBorder="1" applyAlignment="1">
      <alignment horizontal="center" vertical="center" wrapText="1"/>
    </xf>
    <xf numFmtId="3" fontId="4" fillId="8" borderId="1" xfId="0" applyNumberFormat="1" applyFont="1" applyFill="1" applyBorder="1" applyAlignment="1">
      <alignment horizontal="center" vertical="center" wrapText="1"/>
    </xf>
    <xf numFmtId="185" fontId="4" fillId="8" borderId="1" xfId="0" applyNumberFormat="1" applyFont="1" applyFill="1" applyBorder="1" applyAlignment="1">
      <alignment horizontal="center" vertical="center" wrapText="1"/>
    </xf>
    <xf numFmtId="186" fontId="4" fillId="8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187" fontId="4" fillId="0" borderId="1" xfId="0" applyNumberFormat="1" applyFont="1" applyBorder="1" applyAlignment="1">
      <alignment horizontal="center" vertical="center" wrapText="1"/>
    </xf>
    <xf numFmtId="180" fontId="14" fillId="9" borderId="1" xfId="0" applyNumberFormat="1" applyFont="1" applyFill="1" applyBorder="1" applyAlignment="1">
      <alignment horizontal="center" vertical="center" wrapText="1"/>
    </xf>
    <xf numFmtId="180" fontId="14" fillId="10" borderId="1" xfId="0" applyNumberFormat="1" applyFont="1" applyFill="1" applyBorder="1" applyAlignment="1">
      <alignment horizontal="center" vertical="center" wrapText="1"/>
    </xf>
    <xf numFmtId="180" fontId="14" fillId="11" borderId="1" xfId="0" applyNumberFormat="1" applyFont="1" applyFill="1" applyBorder="1" applyAlignment="1">
      <alignment horizontal="center" vertical="center" wrapText="1"/>
    </xf>
    <xf numFmtId="180" fontId="6" fillId="3" borderId="1" xfId="0" applyNumberFormat="1" applyFont="1" applyFill="1" applyBorder="1" applyAlignment="1">
      <alignment horizontal="center" vertical="center" wrapText="1"/>
    </xf>
    <xf numFmtId="0" fontId="15" fillId="0" borderId="0" xfId="0" applyFont="1"/>
    <xf numFmtId="0" fontId="16" fillId="0" borderId="0" xfId="0" applyFont="1"/>
    <xf numFmtId="0" fontId="18" fillId="0" borderId="0" xfId="0" applyFont="1"/>
    <xf numFmtId="0" fontId="17" fillId="12" borderId="4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3" fontId="15" fillId="0" borderId="4" xfId="0" applyNumberFormat="1" applyFont="1" applyBorder="1" applyAlignment="1">
      <alignment horizontal="center" vertical="center" wrapText="1"/>
    </xf>
    <xf numFmtId="179" fontId="15" fillId="0" borderId="4" xfId="0" applyNumberFormat="1" applyFont="1" applyBorder="1" applyAlignment="1">
      <alignment horizontal="center" vertical="center" wrapText="1"/>
    </xf>
    <xf numFmtId="188" fontId="15" fillId="0" borderId="4" xfId="0" applyNumberFormat="1" applyFont="1" applyBorder="1" applyAlignment="1">
      <alignment horizontal="center" vertical="center" wrapText="1"/>
    </xf>
    <xf numFmtId="0" fontId="17" fillId="14" borderId="4" xfId="0" applyFont="1" applyFill="1" applyBorder="1" applyAlignment="1">
      <alignment horizontal="center" vertical="center" wrapText="1"/>
    </xf>
    <xf numFmtId="179" fontId="17" fillId="14" borderId="4" xfId="0" applyNumberFormat="1" applyFont="1" applyFill="1" applyBorder="1" applyAlignment="1">
      <alignment horizontal="center" vertical="center" wrapText="1"/>
    </xf>
    <xf numFmtId="3" fontId="17" fillId="14" borderId="4" xfId="0" applyNumberFormat="1" applyFont="1" applyFill="1" applyBorder="1" applyAlignment="1">
      <alignment horizontal="center" vertical="center" wrapText="1"/>
    </xf>
    <xf numFmtId="188" fontId="17" fillId="14" borderId="4" xfId="0" applyNumberFormat="1" applyFont="1" applyFill="1" applyBorder="1" applyAlignment="1">
      <alignment horizontal="center" vertical="center" wrapText="1"/>
    </xf>
    <xf numFmtId="0" fontId="17" fillId="13" borderId="4" xfId="0" applyFont="1" applyFill="1" applyBorder="1" applyAlignment="1">
      <alignment horizontal="center" vertical="center" wrapText="1"/>
    </xf>
    <xf numFmtId="3" fontId="17" fillId="13" borderId="4" xfId="0" applyNumberFormat="1" applyFont="1" applyFill="1" applyBorder="1" applyAlignment="1">
      <alignment horizontal="center" vertical="center" wrapText="1"/>
    </xf>
    <xf numFmtId="179" fontId="17" fillId="13" borderId="4" xfId="0" applyNumberFormat="1" applyFont="1" applyFill="1" applyBorder="1" applyAlignment="1">
      <alignment horizontal="center" vertical="center" wrapText="1"/>
    </xf>
    <xf numFmtId="188" fontId="17" fillId="13" borderId="4" xfId="0" applyNumberFormat="1" applyFont="1" applyFill="1" applyBorder="1" applyAlignment="1">
      <alignment horizontal="center" vertical="center" wrapText="1"/>
    </xf>
    <xf numFmtId="0" fontId="17" fillId="12" borderId="6" xfId="0" applyFont="1" applyFill="1" applyBorder="1" applyAlignment="1">
      <alignment horizontal="center" vertical="center" wrapText="1"/>
    </xf>
    <xf numFmtId="3" fontId="15" fillId="0" borderId="5" xfId="0" applyNumberFormat="1" applyFont="1" applyBorder="1" applyAlignment="1">
      <alignment horizontal="center" vertical="center" wrapText="1"/>
    </xf>
    <xf numFmtId="3" fontId="17" fillId="13" borderId="5" xfId="0" applyNumberFormat="1" applyFont="1" applyFill="1" applyBorder="1" applyAlignment="1">
      <alignment horizontal="center" vertical="center" wrapText="1"/>
    </xf>
    <xf numFmtId="189" fontId="15" fillId="0" borderId="6" xfId="0" applyNumberFormat="1" applyFont="1" applyBorder="1" applyAlignment="1">
      <alignment horizontal="center" vertical="center" wrapText="1"/>
    </xf>
    <xf numFmtId="189" fontId="17" fillId="13" borderId="6" xfId="0" applyNumberFormat="1" applyFont="1" applyFill="1" applyBorder="1" applyAlignment="1">
      <alignment horizontal="center" vertical="center" wrapText="1"/>
    </xf>
    <xf numFmtId="189" fontId="17" fillId="14" borderId="6" xfId="0" applyNumberFormat="1" applyFont="1" applyFill="1" applyBorder="1" applyAlignment="1">
      <alignment horizontal="center" vertical="center" wrapText="1"/>
    </xf>
    <xf numFmtId="3" fontId="17" fillId="14" borderId="5" xfId="0" applyNumberFormat="1" applyFont="1" applyFill="1" applyBorder="1" applyAlignment="1">
      <alignment horizontal="center" vertical="center" wrapText="1"/>
    </xf>
    <xf numFmtId="0" fontId="19" fillId="16" borderId="0" xfId="0" applyFont="1" applyFill="1" applyAlignment="1">
      <alignment horizontal="center" vertical="center"/>
    </xf>
    <xf numFmtId="0" fontId="21" fillId="0" borderId="0" xfId="0" applyFont="1"/>
    <xf numFmtId="0" fontId="17" fillId="12" borderId="7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7" fillId="12" borderId="4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14" borderId="4" xfId="0" applyFont="1" applyFill="1" applyBorder="1" applyAlignment="1">
      <alignment horizontal="center" vertical="center" wrapText="1"/>
    </xf>
    <xf numFmtId="0" fontId="17" fillId="15" borderId="4" xfId="0" applyFont="1" applyFill="1" applyBorder="1" applyAlignment="1">
      <alignment horizontal="center" vertical="center" wrapText="1"/>
    </xf>
    <xf numFmtId="0" fontId="17" fillId="15" borderId="6" xfId="0" applyFont="1" applyFill="1" applyBorder="1" applyAlignment="1">
      <alignment horizontal="center" vertical="center" wrapText="1"/>
    </xf>
    <xf numFmtId="0" fontId="17" fillId="15" borderId="5" xfId="0" applyFont="1" applyFill="1" applyBorder="1" applyAlignment="1">
      <alignment horizontal="center" vertical="center" wrapText="1"/>
    </xf>
    <xf numFmtId="0" fontId="17" fillId="12" borderId="6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>
      <alignment horizontal="center" vertical="center" wrapText="1"/>
    </xf>
    <xf numFmtId="0" fontId="17" fillId="15" borderId="7" xfId="0" applyFont="1" applyFill="1" applyBorder="1" applyAlignment="1">
      <alignment horizontal="center" vertical="center" wrapText="1"/>
    </xf>
    <xf numFmtId="0" fontId="17" fillId="12" borderId="7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8" fillId="5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179" fontId="15" fillId="0" borderId="9" xfId="0" applyNumberFormat="1" applyFont="1" applyBorder="1" applyAlignment="1">
      <alignment horizontal="center" vertical="center" wrapText="1"/>
    </xf>
    <xf numFmtId="9" fontId="17" fillId="13" borderId="4" xfId="0" applyNumberFormat="1" applyFont="1" applyFill="1" applyBorder="1" applyAlignment="1">
      <alignment horizontal="center" vertical="center" wrapText="1"/>
    </xf>
    <xf numFmtId="179" fontId="15" fillId="0" borderId="8" xfId="0" quotePrefix="1" applyNumberFormat="1" applyFont="1" applyBorder="1" applyAlignment="1">
      <alignment horizontal="center" vertical="center" wrapText="1"/>
    </xf>
    <xf numFmtId="0" fontId="17" fillId="12" borderId="8" xfId="0" applyFont="1" applyFill="1" applyBorder="1" applyAlignment="1">
      <alignment horizontal="center" vertical="center" wrapText="1"/>
    </xf>
    <xf numFmtId="0" fontId="17" fillId="12" borderId="9" xfId="0" applyFont="1" applyFill="1" applyBorder="1" applyAlignment="1">
      <alignment horizontal="center" vertical="center" wrapText="1"/>
    </xf>
    <xf numFmtId="41" fontId="15" fillId="0" borderId="4" xfId="1" applyFont="1" applyBorder="1" applyAlignment="1">
      <alignment horizontal="center" vertical="center" wrapText="1"/>
    </xf>
    <xf numFmtId="41" fontId="15" fillId="0" borderId="4" xfId="0" applyNumberFormat="1" applyFont="1" applyBorder="1" applyAlignment="1">
      <alignment horizontal="center" vertical="center" wrapText="1"/>
    </xf>
    <xf numFmtId="41" fontId="17" fillId="15" borderId="4" xfId="0" applyNumberFormat="1" applyFont="1" applyFill="1" applyBorder="1" applyAlignment="1">
      <alignment horizontal="center" vertical="center" wrapText="1"/>
    </xf>
    <xf numFmtId="0" fontId="17" fillId="12" borderId="10" xfId="0" applyFont="1" applyFill="1" applyBorder="1" applyAlignment="1">
      <alignment horizontal="center" vertical="center" wrapText="1"/>
    </xf>
    <xf numFmtId="41" fontId="17" fillId="14" borderId="4" xfId="0" applyNumberFormat="1" applyFont="1" applyFill="1" applyBorder="1" applyAlignment="1">
      <alignment horizontal="center" vertical="center" wrapText="1"/>
    </xf>
    <xf numFmtId="0" fontId="17" fillId="13" borderId="4" xfId="0" quotePrefix="1" applyFont="1" applyFill="1" applyBorder="1" applyAlignment="1">
      <alignment horizontal="center" vertical="center" wrapText="1"/>
    </xf>
    <xf numFmtId="0" fontId="17" fillId="14" borderId="4" xfId="0" quotePrefix="1" applyFont="1" applyFill="1" applyBorder="1" applyAlignment="1">
      <alignment horizontal="center" vertical="center" wrapText="1"/>
    </xf>
    <xf numFmtId="0" fontId="23" fillId="15" borderId="0" xfId="0" applyFont="1" applyFill="1" applyAlignment="1">
      <alignment horizontal="center" vertical="center"/>
    </xf>
    <xf numFmtId="0" fontId="17" fillId="15" borderId="11" xfId="0" applyFont="1" applyFill="1" applyBorder="1" applyAlignment="1">
      <alignment horizontal="center" vertical="center" wrapText="1"/>
    </xf>
    <xf numFmtId="0" fontId="17" fillId="12" borderId="11" xfId="0" applyFont="1" applyFill="1" applyBorder="1" applyAlignment="1">
      <alignment horizontal="center" vertical="center" wrapText="1"/>
    </xf>
    <xf numFmtId="3" fontId="15" fillId="0" borderId="7" xfId="0" applyNumberFormat="1" applyFont="1" applyBorder="1" applyAlignment="1">
      <alignment horizontal="center" vertical="center" wrapText="1"/>
    </xf>
    <xf numFmtId="3" fontId="17" fillId="13" borderId="7" xfId="0" applyNumberFormat="1" applyFont="1" applyFill="1" applyBorder="1" applyAlignment="1">
      <alignment horizontal="center" vertical="center" wrapText="1"/>
    </xf>
    <xf numFmtId="3" fontId="17" fillId="14" borderId="7" xfId="0" applyNumberFormat="1" applyFont="1" applyFill="1" applyBorder="1" applyAlignment="1">
      <alignment horizontal="center" vertical="center" wrapText="1"/>
    </xf>
    <xf numFmtId="0" fontId="17" fillId="15" borderId="12" xfId="0" applyFont="1" applyFill="1" applyBorder="1" applyAlignment="1">
      <alignment horizontal="center" vertical="center" wrapText="1"/>
    </xf>
    <xf numFmtId="0" fontId="17" fillId="12" borderId="12" xfId="0" applyFont="1" applyFill="1" applyBorder="1" applyAlignment="1">
      <alignment horizontal="center" vertical="center" wrapText="1"/>
    </xf>
    <xf numFmtId="0" fontId="17" fillId="12" borderId="12" xfId="0" applyFont="1" applyFill="1" applyBorder="1" applyAlignment="1">
      <alignment horizontal="center" vertical="center" wrapText="1"/>
    </xf>
    <xf numFmtId="189" fontId="15" fillId="0" borderId="12" xfId="0" applyNumberFormat="1" applyFont="1" applyBorder="1" applyAlignment="1">
      <alignment horizontal="center" vertical="center" wrapText="1"/>
    </xf>
    <xf numFmtId="189" fontId="17" fillId="13" borderId="12" xfId="0" applyNumberFormat="1" applyFont="1" applyFill="1" applyBorder="1" applyAlignment="1">
      <alignment horizontal="center" vertical="center" wrapText="1"/>
    </xf>
    <xf numFmtId="189" fontId="17" fillId="14" borderId="12" xfId="0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현장별 산출면적 </a:t>
            </a:r>
            <a:r>
              <a:rPr lang="en-US" altLang="ko-KR"/>
              <a:t>(㎡)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'04-1_지표요약(참고)'!$F$5</c:f>
              <c:strCache>
                <c:ptCount val="1"/>
                <c:pt idx="0">
                  <c:v>실행기준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'04-1_지표요약(참고)'!$B$6:$B$8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'04-1_지표요약(참고)'!$F$6:$F$8</c:f>
              <c:numCache>
                <c:formatCode>#,##0.00;\-#,##0.00;"-"</c:formatCode>
                <c:ptCount val="3"/>
                <c:pt idx="0">
                  <c:v>73637</c:v>
                </c:pt>
                <c:pt idx="1">
                  <c:v>174418</c:v>
                </c:pt>
                <c:pt idx="2">
                  <c:v>213652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D4-4EDE-B46F-67015545BFE7}"/>
            </c:ext>
          </c:extLst>
        </c:ser>
        <c:ser>
          <c:idx val="1"/>
          <c:order val="1"/>
          <c:tx>
            <c:strRef>
              <c:f>'04-1_지표요약(참고)'!$G$5</c:f>
              <c:strCache>
                <c:ptCount val="1"/>
                <c:pt idx="0">
                  <c:v>현장산출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'04-1_지표요약(참고)'!$B$6:$B$8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'04-1_지표요약(참고)'!$G$6:$G$8</c:f>
              <c:numCache>
                <c:formatCode>#,##0.00;\-#,##0.00;"-"</c:formatCode>
                <c:ptCount val="3"/>
                <c:pt idx="0">
                  <c:v>72865</c:v>
                </c:pt>
                <c:pt idx="1">
                  <c:v>170938</c:v>
                </c:pt>
                <c:pt idx="2">
                  <c:v>213652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D4-4EDE-B46F-67015545BFE7}"/>
            </c:ext>
          </c:extLst>
        </c:ser>
        <c:ser>
          <c:idx val="2"/>
          <c:order val="2"/>
          <c:tx>
            <c:strRef>
              <c:f>'04-1_지표요약(참고)'!$H$5</c:f>
              <c:strCache>
                <c:ptCount val="1"/>
                <c:pt idx="0">
                  <c:v>플랫폼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'04-1_지표요약(참고)'!$B$6:$B$8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'04-1_지표요약(참고)'!$H$6:$H$8</c:f>
              <c:numCache>
                <c:formatCode>#,##0.00;\-#,##0.00;"-"</c:formatCode>
                <c:ptCount val="3"/>
                <c:pt idx="0">
                  <c:v>73313.8</c:v>
                </c:pt>
                <c:pt idx="1">
                  <c:v>171337.4</c:v>
                </c:pt>
                <c:pt idx="2">
                  <c:v>215264.56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D4-4EDE-B46F-67015545B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;\-#,##0.00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현장별 로스율 </a:t>
            </a:r>
            <a:r>
              <a:rPr lang="en-US" altLang="ko-KR"/>
              <a:t>(</a:t>
            </a:r>
            <a:r>
              <a:rPr lang="ko-KR" altLang="en-US"/>
              <a:t>두께 무관 지표</a:t>
            </a:r>
            <a:r>
              <a:rPr lang="en-US" altLang="ko-KR"/>
              <a:t>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'04-1_지표요약(참고)'!$I$5</c:f>
              <c:strCache>
                <c:ptCount val="1"/>
                <c:pt idx="0">
                  <c:v>실행기준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'04-1_지표요약(참고)'!$B$6:$B$8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'04-1_지표요약(참고)'!$I$6:$I$8</c:f>
              <c:numCache>
                <c:formatCode>0.0%</c:formatCode>
                <c:ptCount val="3"/>
                <c:pt idx="0">
                  <c:v>9.2104625037948695E-2</c:v>
                </c:pt>
                <c:pt idx="1">
                  <c:v>0.1117220843938167</c:v>
                </c:pt>
                <c:pt idx="2">
                  <c:v>7.708840899877889E-2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E6-4A17-85D8-FCDA7380D230}"/>
            </c:ext>
          </c:extLst>
        </c:ser>
        <c:ser>
          <c:idx val="1"/>
          <c:order val="1"/>
          <c:tx>
            <c:strRef>
              <c:f>'04-1_지표요약(참고)'!$J$5</c:f>
              <c:strCache>
                <c:ptCount val="1"/>
                <c:pt idx="0">
                  <c:v>현장산출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'04-1_지표요약(참고)'!$B$6:$B$8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'04-1_지표요약(참고)'!$J$6:$J$8</c:f>
              <c:numCache>
                <c:formatCode>0.0%</c:formatCode>
                <c:ptCount val="3"/>
                <c:pt idx="0">
                  <c:v>8.0655153026197857E-2</c:v>
                </c:pt>
                <c:pt idx="1">
                  <c:v>8.954092847131756E-2</c:v>
                </c:pt>
                <c:pt idx="2">
                  <c:v>7.708840899877889E-2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E6-4A17-85D8-FCDA7380D230}"/>
            </c:ext>
          </c:extLst>
        </c:ser>
        <c:ser>
          <c:idx val="2"/>
          <c:order val="2"/>
          <c:tx>
            <c:strRef>
              <c:f>'04-1_지표요약(참고)'!$K$5</c:f>
              <c:strCache>
                <c:ptCount val="1"/>
                <c:pt idx="0">
                  <c:v>플랫폼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'04-1_지표요약(참고)'!$B$6:$B$8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'04-1_지표요약(참고)'!$K$6:$K$8</c:f>
              <c:numCache>
                <c:formatCode>0.0%</c:formatCode>
                <c:ptCount val="3"/>
                <c:pt idx="0">
                  <c:v>8.7311270952200148E-2</c:v>
                </c:pt>
                <c:pt idx="1">
                  <c:v>9.208666228610074E-2</c:v>
                </c:pt>
                <c:pt idx="2">
                  <c:v>8.5217842305347791E-2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E6-4A17-85D8-FCDA7380D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</xdr:row>
      <xdr:rowOff>0</xdr:rowOff>
    </xdr:from>
    <xdr:ext cx="4680000" cy="223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17</xdr:row>
      <xdr:rowOff>0</xdr:rowOff>
    </xdr:from>
    <xdr:ext cx="4680000" cy="2232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6"/>
  <sheetViews>
    <sheetView showGridLines="0" zoomScale="90" workbookViewId="0"/>
  </sheetViews>
  <sheetFormatPr defaultRowHeight="16.5" x14ac:dyDescent="0.3"/>
  <cols>
    <col min="1" max="1" width="3" customWidth="1"/>
    <col min="2" max="2" width="22" customWidth="1"/>
    <col min="3" max="3" width="95" customWidth="1"/>
  </cols>
  <sheetData>
    <row r="1" spans="1:3" ht="26.25" x14ac:dyDescent="0.5">
      <c r="A1" s="1" t="s">
        <v>0</v>
      </c>
    </row>
    <row r="2" spans="1:3" x14ac:dyDescent="0.3">
      <c r="A2" s="2" t="s">
        <v>1</v>
      </c>
    </row>
    <row r="4" spans="1:3" x14ac:dyDescent="0.3">
      <c r="B4" s="3" t="s">
        <v>2</v>
      </c>
    </row>
    <row r="5" spans="1:3" ht="30" customHeight="1" x14ac:dyDescent="0.3">
      <c r="B5" s="4" t="s">
        <v>3</v>
      </c>
      <c r="C5" s="5" t="s">
        <v>4</v>
      </c>
    </row>
    <row r="6" spans="1:3" ht="18" customHeight="1" x14ac:dyDescent="0.3">
      <c r="B6" s="4" t="s">
        <v>5</v>
      </c>
      <c r="C6" s="5" t="s">
        <v>6</v>
      </c>
    </row>
    <row r="8" spans="1:3" x14ac:dyDescent="0.3">
      <c r="B8" s="3" t="s">
        <v>7</v>
      </c>
    </row>
    <row r="9" spans="1:3" ht="30" customHeight="1" x14ac:dyDescent="0.3">
      <c r="B9" s="4" t="s">
        <v>8</v>
      </c>
      <c r="C9" s="5" t="s">
        <v>9</v>
      </c>
    </row>
    <row r="10" spans="1:3" ht="18" customHeight="1" x14ac:dyDescent="0.3">
      <c r="B10" s="4" t="s">
        <v>10</v>
      </c>
      <c r="C10" s="5" t="s">
        <v>11</v>
      </c>
    </row>
    <row r="11" spans="1:3" ht="30" customHeight="1" x14ac:dyDescent="0.3">
      <c r="B11" s="4" t="s">
        <v>12</v>
      </c>
      <c r="C11" s="5" t="s">
        <v>13</v>
      </c>
    </row>
    <row r="13" spans="1:3" x14ac:dyDescent="0.3">
      <c r="B13" s="3" t="s">
        <v>14</v>
      </c>
    </row>
    <row r="14" spans="1:3" ht="18" customHeight="1" x14ac:dyDescent="0.3">
      <c r="B14" s="4" t="s">
        <v>15</v>
      </c>
      <c r="C14" s="5" t="s">
        <v>16</v>
      </c>
    </row>
    <row r="15" spans="1:3" ht="30" customHeight="1" x14ac:dyDescent="0.3">
      <c r="B15" s="4" t="s">
        <v>17</v>
      </c>
      <c r="C15" s="5" t="s">
        <v>18</v>
      </c>
    </row>
    <row r="16" spans="1:3" ht="30" customHeight="1" x14ac:dyDescent="0.3">
      <c r="B16" s="4" t="s">
        <v>19</v>
      </c>
      <c r="C16" s="5" t="s">
        <v>20</v>
      </c>
    </row>
    <row r="17" spans="2:3" ht="30" customHeight="1" x14ac:dyDescent="0.3">
      <c r="B17" s="4" t="s">
        <v>21</v>
      </c>
      <c r="C17" s="5" t="s">
        <v>22</v>
      </c>
    </row>
    <row r="19" spans="2:3" x14ac:dyDescent="0.3">
      <c r="B19" s="3" t="s">
        <v>23</v>
      </c>
    </row>
    <row r="20" spans="2:3" ht="30" customHeight="1" x14ac:dyDescent="0.3">
      <c r="B20" s="4" t="s">
        <v>24</v>
      </c>
      <c r="C20" s="5" t="s">
        <v>25</v>
      </c>
    </row>
    <row r="21" spans="2:3" ht="30" customHeight="1" x14ac:dyDescent="0.3">
      <c r="B21" s="4" t="s">
        <v>26</v>
      </c>
      <c r="C21" s="5" t="s">
        <v>27</v>
      </c>
    </row>
    <row r="23" spans="2:3" x14ac:dyDescent="0.3">
      <c r="B23" s="3" t="s">
        <v>28</v>
      </c>
    </row>
    <row r="24" spans="2:3" ht="18" customHeight="1" x14ac:dyDescent="0.3">
      <c r="B24" s="4" t="s">
        <v>29</v>
      </c>
      <c r="C24" s="5" t="s">
        <v>30</v>
      </c>
    </row>
    <row r="25" spans="2:3" ht="18" customHeight="1" x14ac:dyDescent="0.3">
      <c r="B25" s="4" t="s">
        <v>31</v>
      </c>
      <c r="C25" s="5" t="s">
        <v>32</v>
      </c>
    </row>
    <row r="26" spans="2:3" ht="18" customHeight="1" x14ac:dyDescent="0.3">
      <c r="B26" s="4" t="s">
        <v>33</v>
      </c>
      <c r="C26" s="5" t="s">
        <v>34</v>
      </c>
    </row>
    <row r="27" spans="2:3" ht="18" customHeight="1" x14ac:dyDescent="0.3">
      <c r="B27" s="4" t="s">
        <v>35</v>
      </c>
      <c r="C27" s="5" t="s">
        <v>36</v>
      </c>
    </row>
    <row r="28" spans="2:3" ht="18" customHeight="1" x14ac:dyDescent="0.3">
      <c r="B28" s="4" t="s">
        <v>37</v>
      </c>
      <c r="C28" s="5" t="s">
        <v>38</v>
      </c>
    </row>
    <row r="29" spans="2:3" ht="18" customHeight="1" x14ac:dyDescent="0.3">
      <c r="B29" s="4" t="s">
        <v>39</v>
      </c>
      <c r="C29" s="5" t="s">
        <v>40</v>
      </c>
    </row>
    <row r="30" spans="2:3" ht="18" customHeight="1" x14ac:dyDescent="0.3">
      <c r="B30" s="4" t="s">
        <v>41</v>
      </c>
      <c r="C30" s="5" t="s">
        <v>42</v>
      </c>
    </row>
    <row r="32" spans="2:3" x14ac:dyDescent="0.3">
      <c r="B32" s="3" t="s">
        <v>43</v>
      </c>
    </row>
    <row r="33" spans="2:3" ht="18" customHeight="1" x14ac:dyDescent="0.3">
      <c r="B33" s="6" t="s">
        <v>44</v>
      </c>
      <c r="C33" s="5" t="s">
        <v>45</v>
      </c>
    </row>
    <row r="34" spans="2:3" ht="18" customHeight="1" x14ac:dyDescent="0.3">
      <c r="B34" s="7" t="s">
        <v>46</v>
      </c>
      <c r="C34" s="5" t="s">
        <v>47</v>
      </c>
    </row>
    <row r="35" spans="2:3" ht="18" customHeight="1" x14ac:dyDescent="0.3">
      <c r="B35" s="8" t="s">
        <v>48</v>
      </c>
      <c r="C35" s="5" t="s">
        <v>49</v>
      </c>
    </row>
    <row r="36" spans="2:3" ht="30" customHeight="1" x14ac:dyDescent="0.3">
      <c r="B36" s="4" t="s">
        <v>50</v>
      </c>
      <c r="C36" s="5" t="s">
        <v>51</v>
      </c>
    </row>
  </sheetData>
  <phoneticPr fontId="13" type="noConversion"/>
  <printOptions horizontalCentered="1"/>
  <pageMargins left="0.4" right="0.4" top="1" bottom="1" header="0.5" footer="0.5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2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26" customWidth="1"/>
    <col min="2" max="4" width="30" customWidth="1"/>
    <col min="5" max="5" width="7" customWidth="1"/>
    <col min="6" max="6" width="52" customWidth="1"/>
  </cols>
  <sheetData>
    <row r="1" spans="1:6" ht="26.25" x14ac:dyDescent="0.5">
      <c r="A1" s="1" t="s">
        <v>52</v>
      </c>
    </row>
    <row r="2" spans="1:6" x14ac:dyDescent="0.3">
      <c r="A2" s="2" t="s">
        <v>53</v>
      </c>
    </row>
    <row r="3" spans="1:6" x14ac:dyDescent="0.3">
      <c r="A3" s="9" t="s">
        <v>54</v>
      </c>
      <c r="B3" s="9" t="s">
        <v>55</v>
      </c>
      <c r="C3" s="9" t="s">
        <v>56</v>
      </c>
      <c r="D3" s="9" t="s">
        <v>57</v>
      </c>
      <c r="E3" s="9" t="s">
        <v>58</v>
      </c>
      <c r="F3" s="9" t="s">
        <v>59</v>
      </c>
    </row>
    <row r="4" spans="1:6" x14ac:dyDescent="0.3">
      <c r="A4" s="4" t="s">
        <v>60</v>
      </c>
      <c r="B4" s="10" t="s">
        <v>61</v>
      </c>
      <c r="C4" s="10" t="s">
        <v>62</v>
      </c>
      <c r="D4" s="10" t="s">
        <v>63</v>
      </c>
      <c r="E4" s="11"/>
      <c r="F4" s="12" t="s">
        <v>64</v>
      </c>
    </row>
    <row r="5" spans="1:6" x14ac:dyDescent="0.3">
      <c r="A5" s="4" t="s">
        <v>65</v>
      </c>
      <c r="B5" s="10" t="s">
        <v>66</v>
      </c>
      <c r="C5" s="10" t="s">
        <v>67</v>
      </c>
      <c r="D5" s="10" t="s">
        <v>68</v>
      </c>
      <c r="E5" s="11"/>
      <c r="F5" s="12" t="s">
        <v>69</v>
      </c>
    </row>
    <row r="6" spans="1:6" x14ac:dyDescent="0.3">
      <c r="A6" s="4" t="s">
        <v>70</v>
      </c>
      <c r="B6" s="10" t="s">
        <v>71</v>
      </c>
      <c r="C6" s="10" t="s">
        <v>72</v>
      </c>
      <c r="D6" s="10" t="s">
        <v>73</v>
      </c>
      <c r="E6" s="11"/>
      <c r="F6" s="12" t="s">
        <v>74</v>
      </c>
    </row>
    <row r="7" spans="1:6" x14ac:dyDescent="0.3">
      <c r="A7" s="4" t="s">
        <v>75</v>
      </c>
      <c r="B7" s="10" t="s">
        <v>76</v>
      </c>
      <c r="C7" s="10" t="s">
        <v>77</v>
      </c>
      <c r="D7" s="10" t="s">
        <v>78</v>
      </c>
      <c r="E7" s="11"/>
      <c r="F7" s="12" t="s">
        <v>79</v>
      </c>
    </row>
    <row r="8" spans="1:6" x14ac:dyDescent="0.3">
      <c r="A8" s="4" t="s">
        <v>80</v>
      </c>
      <c r="B8" s="10" t="s">
        <v>81</v>
      </c>
      <c r="C8" s="10" t="s">
        <v>82</v>
      </c>
      <c r="D8" s="10" t="s">
        <v>83</v>
      </c>
      <c r="E8" s="11"/>
      <c r="F8" s="12" t="s">
        <v>84</v>
      </c>
    </row>
    <row r="9" spans="1:6" ht="27" x14ac:dyDescent="0.3">
      <c r="A9" s="4" t="s">
        <v>85</v>
      </c>
      <c r="B9" s="10" t="s">
        <v>86</v>
      </c>
      <c r="C9" s="10" t="s">
        <v>87</v>
      </c>
      <c r="D9" s="10" t="s">
        <v>88</v>
      </c>
      <c r="E9" s="11"/>
      <c r="F9" s="12" t="s">
        <v>89</v>
      </c>
    </row>
    <row r="10" spans="1:6" x14ac:dyDescent="0.3">
      <c r="A10" s="4" t="s">
        <v>90</v>
      </c>
      <c r="B10" s="13">
        <v>900</v>
      </c>
      <c r="C10" s="13">
        <v>1000</v>
      </c>
      <c r="D10" s="13">
        <v>1000</v>
      </c>
      <c r="E10" s="11" t="s">
        <v>91</v>
      </c>
      <c r="F10" s="12" t="s">
        <v>92</v>
      </c>
    </row>
    <row r="11" spans="1:6" x14ac:dyDescent="0.3">
      <c r="A11" s="4" t="s">
        <v>93</v>
      </c>
      <c r="B11" s="13">
        <v>2640</v>
      </c>
      <c r="C11" s="13">
        <v>2600</v>
      </c>
      <c r="D11" s="13">
        <v>2690</v>
      </c>
      <c r="E11" s="11" t="s">
        <v>91</v>
      </c>
      <c r="F11" s="12" t="s">
        <v>94</v>
      </c>
    </row>
    <row r="12" spans="1:6" x14ac:dyDescent="0.3">
      <c r="A12" s="4" t="s">
        <v>95</v>
      </c>
      <c r="B12" s="14">
        <f>B10*B11/1000000</f>
        <v>2.3759999999999999</v>
      </c>
      <c r="C12" s="14">
        <f>C10*C11/1000000</f>
        <v>2.6</v>
      </c>
      <c r="D12" s="14">
        <f>D10*D11/1000000</f>
        <v>2.69</v>
      </c>
      <c r="E12" s="11" t="s">
        <v>96</v>
      </c>
      <c r="F12" s="12" t="s">
        <v>97</v>
      </c>
    </row>
    <row r="13" spans="1:6" x14ac:dyDescent="0.3">
      <c r="A13" s="4" t="s">
        <v>98</v>
      </c>
      <c r="B13" s="13">
        <v>95</v>
      </c>
      <c r="C13" s="13">
        <v>90</v>
      </c>
      <c r="D13" s="13">
        <v>70</v>
      </c>
      <c r="E13" s="11" t="s">
        <v>99</v>
      </c>
      <c r="F13" s="12" t="s">
        <v>100</v>
      </c>
    </row>
    <row r="14" spans="1:6" x14ac:dyDescent="0.3">
      <c r="A14" s="4" t="s">
        <v>101</v>
      </c>
      <c r="B14" s="13">
        <v>55</v>
      </c>
      <c r="C14" s="13">
        <v>50</v>
      </c>
      <c r="D14" s="13">
        <v>70</v>
      </c>
      <c r="E14" s="11" t="s">
        <v>99</v>
      </c>
      <c r="F14" s="12" t="s">
        <v>100</v>
      </c>
    </row>
    <row r="15" spans="1:6" x14ac:dyDescent="0.3">
      <c r="A15" s="4" t="s">
        <v>102</v>
      </c>
      <c r="B15" s="15">
        <f>IF(AND(B13="",B14=""),"",N(B13)+N(B14))</f>
        <v>150</v>
      </c>
      <c r="C15" s="15">
        <f>IF(AND(C13="",C14=""),"",N(C13)+N(C14))</f>
        <v>140</v>
      </c>
      <c r="D15" s="15">
        <f>IF(AND(D13="",D14=""),"",N(D13)+N(D14))</f>
        <v>140</v>
      </c>
      <c r="E15" s="11" t="s">
        <v>99</v>
      </c>
      <c r="F15" s="12" t="s">
        <v>103</v>
      </c>
    </row>
    <row r="16" spans="1:6" x14ac:dyDescent="0.3">
      <c r="A16" s="4" t="s">
        <v>104</v>
      </c>
      <c r="B16" s="13">
        <v>55</v>
      </c>
      <c r="C16" s="13">
        <v>50</v>
      </c>
      <c r="D16" s="13">
        <v>70</v>
      </c>
      <c r="E16" s="11" t="s">
        <v>99</v>
      </c>
      <c r="F16" s="12" t="s">
        <v>100</v>
      </c>
    </row>
    <row r="17" spans="1:6" x14ac:dyDescent="0.3">
      <c r="A17" s="4" t="s">
        <v>105</v>
      </c>
      <c r="B17" s="13">
        <v>55</v>
      </c>
      <c r="C17" s="13">
        <v>50</v>
      </c>
      <c r="D17" s="13">
        <v>40</v>
      </c>
      <c r="E17" s="11" t="s">
        <v>99</v>
      </c>
      <c r="F17" s="12" t="s">
        <v>100</v>
      </c>
    </row>
    <row r="18" spans="1:6" x14ac:dyDescent="0.3">
      <c r="A18" s="4" t="s">
        <v>106</v>
      </c>
      <c r="B18" s="15">
        <f>IF(AND(B16="",B17=""),"",N(B16)+N(B17))</f>
        <v>110</v>
      </c>
      <c r="C18" s="15">
        <f>IF(AND(C16="",C17=""),"",N(C16)+N(C17))</f>
        <v>100</v>
      </c>
      <c r="D18" s="15">
        <f>IF(AND(D16="",D17=""),"",N(D16)+N(D17))</f>
        <v>110</v>
      </c>
      <c r="E18" s="11" t="s">
        <v>99</v>
      </c>
      <c r="F18" s="12" t="s">
        <v>103</v>
      </c>
    </row>
    <row r="19" spans="1:6" x14ac:dyDescent="0.3">
      <c r="A19" s="4" t="s">
        <v>107</v>
      </c>
      <c r="B19" s="10" t="s">
        <v>108</v>
      </c>
      <c r="C19" s="10" t="s">
        <v>108</v>
      </c>
      <c r="D19" s="10" t="s">
        <v>108</v>
      </c>
      <c r="E19" s="11"/>
      <c r="F19" s="12" t="s">
        <v>109</v>
      </c>
    </row>
    <row r="20" spans="1:6" x14ac:dyDescent="0.3">
      <c r="A20" s="4" t="s">
        <v>110</v>
      </c>
      <c r="B20" s="13">
        <v>10</v>
      </c>
      <c r="C20" s="13">
        <v>50</v>
      </c>
      <c r="D20" s="13">
        <v>100</v>
      </c>
      <c r="E20" s="11" t="s">
        <v>91</v>
      </c>
      <c r="F20" s="12" t="s">
        <v>111</v>
      </c>
    </row>
    <row r="21" spans="1:6" x14ac:dyDescent="0.3">
      <c r="A21" s="4" t="s">
        <v>112</v>
      </c>
      <c r="B21" s="13">
        <v>0</v>
      </c>
      <c r="C21" s="13">
        <v>100</v>
      </c>
      <c r="D21" s="13">
        <v>10</v>
      </c>
      <c r="E21" s="11" t="s">
        <v>91</v>
      </c>
      <c r="F21" s="12" t="s">
        <v>113</v>
      </c>
    </row>
    <row r="22" spans="1:6" x14ac:dyDescent="0.3">
      <c r="A22" s="4" t="s">
        <v>114</v>
      </c>
      <c r="B22" s="16"/>
      <c r="C22" s="16"/>
      <c r="D22" s="16"/>
      <c r="E22" s="11" t="s">
        <v>115</v>
      </c>
      <c r="F22" s="12" t="s">
        <v>116</v>
      </c>
    </row>
    <row r="23" spans="1:6" x14ac:dyDescent="0.3">
      <c r="A23" s="4" t="s">
        <v>117</v>
      </c>
      <c r="B23" s="13">
        <v>95</v>
      </c>
      <c r="C23" s="13">
        <v>90</v>
      </c>
      <c r="D23" s="13">
        <v>70</v>
      </c>
      <c r="E23" s="11" t="s">
        <v>99</v>
      </c>
      <c r="F23" s="12" t="s">
        <v>118</v>
      </c>
    </row>
    <row r="24" spans="1:6" x14ac:dyDescent="0.3">
      <c r="A24" s="4" t="s">
        <v>119</v>
      </c>
      <c r="B24" s="13">
        <v>55</v>
      </c>
      <c r="C24" s="13">
        <v>50</v>
      </c>
      <c r="D24" s="13">
        <v>40</v>
      </c>
      <c r="E24" s="11" t="s">
        <v>99</v>
      </c>
      <c r="F24" s="12"/>
    </row>
    <row r="25" spans="1:6" x14ac:dyDescent="0.3">
      <c r="A25" s="4" t="s">
        <v>120</v>
      </c>
      <c r="B25" s="13"/>
      <c r="C25" s="13"/>
      <c r="D25" s="13"/>
      <c r="E25" s="11" t="s">
        <v>99</v>
      </c>
      <c r="F25" s="12"/>
    </row>
    <row r="26" spans="1:6" x14ac:dyDescent="0.3">
      <c r="A26" s="4" t="s">
        <v>121</v>
      </c>
      <c r="B26" s="10" t="s">
        <v>122</v>
      </c>
      <c r="C26" s="10" t="s">
        <v>122</v>
      </c>
      <c r="D26" s="10" t="s">
        <v>122</v>
      </c>
      <c r="E26" s="11"/>
      <c r="F26" s="12" t="s">
        <v>123</v>
      </c>
    </row>
    <row r="27" spans="1:6" ht="40.5" x14ac:dyDescent="0.3">
      <c r="A27" s="4" t="s">
        <v>124</v>
      </c>
      <c r="B27" s="10" t="s">
        <v>125</v>
      </c>
      <c r="C27" s="10" t="s">
        <v>126</v>
      </c>
      <c r="D27" s="10" t="s">
        <v>127</v>
      </c>
      <c r="E27" s="11"/>
      <c r="F27" s="12"/>
    </row>
    <row r="30" spans="1:6" x14ac:dyDescent="0.3">
      <c r="A30" s="3" t="s">
        <v>128</v>
      </c>
    </row>
    <row r="31" spans="1:6" x14ac:dyDescent="0.3">
      <c r="A31" s="4" t="s">
        <v>129</v>
      </c>
      <c r="B31" s="17">
        <v>0.03</v>
      </c>
      <c r="F31" s="18" t="s">
        <v>130</v>
      </c>
    </row>
    <row r="32" spans="1:6" x14ac:dyDescent="0.3">
      <c r="A32" s="4" t="s">
        <v>131</v>
      </c>
      <c r="B32" s="17">
        <v>7.0000000000000007E-2</v>
      </c>
      <c r="F32" s="18" t="s">
        <v>132</v>
      </c>
    </row>
  </sheetData>
  <phoneticPr fontId="13" type="noConversion"/>
  <dataValidations count="2">
    <dataValidation type="list" allowBlank="1" sqref="B19:D19" xr:uid="{00000000-0002-0000-0100-000000000000}">
      <formula1>"물량 최소,시공성 우선"</formula1>
    </dataValidation>
    <dataValidation type="list" allowBlank="1" sqref="B4:D4" xr:uid="{00000000-0002-0000-0100-000001000000}">
      <formula1>"중부1,중부2,남부,제주"</formula1>
    </dataValidation>
  </dataValidations>
  <printOptions horizontalCentered="1"/>
  <pageMargins left="0.4" right="0.4" top="1" bottom="1" header="0.5" footer="0.5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52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H11" sqref="H11"/>
    </sheetView>
  </sheetViews>
  <sheetFormatPr defaultRowHeight="16.5" x14ac:dyDescent="0.3"/>
  <cols>
    <col min="1" max="1" width="5" customWidth="1"/>
    <col min="2" max="2" width="12" customWidth="1"/>
    <col min="3" max="3" width="18.25" customWidth="1"/>
    <col min="4" max="4" width="11" customWidth="1"/>
    <col min="5" max="5" width="7" customWidth="1"/>
    <col min="6" max="6" width="8" customWidth="1"/>
    <col min="7" max="7" width="18" customWidth="1"/>
    <col min="8" max="11" width="13" customWidth="1"/>
    <col min="12" max="12" width="26" customWidth="1"/>
    <col min="13" max="13" width="20" customWidth="1"/>
    <col min="14" max="14" width="8" customWidth="1"/>
    <col min="15" max="15" width="11" customWidth="1"/>
    <col min="16" max="19" width="12" customWidth="1"/>
    <col min="20" max="20" width="10" customWidth="1"/>
  </cols>
  <sheetData>
    <row r="1" spans="1:20" ht="26.25" x14ac:dyDescent="0.5">
      <c r="A1" s="1" t="s">
        <v>133</v>
      </c>
    </row>
    <row r="2" spans="1:20" x14ac:dyDescent="0.3">
      <c r="A2" s="2" t="s">
        <v>134</v>
      </c>
    </row>
    <row r="3" spans="1:20" x14ac:dyDescent="0.3">
      <c r="A3" s="94" t="s">
        <v>135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6"/>
      <c r="N3" s="97" t="s">
        <v>136</v>
      </c>
      <c r="O3" s="95"/>
      <c r="P3" s="95"/>
      <c r="Q3" s="95"/>
      <c r="R3" s="95"/>
      <c r="S3" s="95"/>
      <c r="T3" s="96"/>
    </row>
    <row r="4" spans="1:20" ht="42" customHeight="1" x14ac:dyDescent="0.3">
      <c r="A4" s="9" t="s">
        <v>137</v>
      </c>
      <c r="B4" s="9" t="s">
        <v>138</v>
      </c>
      <c r="C4" s="9" t="s">
        <v>139</v>
      </c>
      <c r="D4" s="9" t="s">
        <v>140</v>
      </c>
      <c r="E4" s="9" t="s">
        <v>141</v>
      </c>
      <c r="F4" s="9" t="s">
        <v>142</v>
      </c>
      <c r="G4" s="9" t="s">
        <v>143</v>
      </c>
      <c r="H4" s="9" t="s">
        <v>144</v>
      </c>
      <c r="I4" s="9" t="s">
        <v>145</v>
      </c>
      <c r="J4" s="9" t="s">
        <v>146</v>
      </c>
      <c r="K4" s="9" t="s">
        <v>147</v>
      </c>
      <c r="L4" s="9" t="s">
        <v>148</v>
      </c>
      <c r="M4" s="9" t="s">
        <v>124</v>
      </c>
      <c r="N4" s="9" t="s">
        <v>149</v>
      </c>
      <c r="O4" s="9" t="s">
        <v>150</v>
      </c>
      <c r="P4" s="9" t="s">
        <v>151</v>
      </c>
      <c r="Q4" s="9" t="s">
        <v>152</v>
      </c>
      <c r="R4" s="9" t="s">
        <v>153</v>
      </c>
      <c r="S4" s="9" t="s">
        <v>154</v>
      </c>
      <c r="T4" s="9" t="s">
        <v>155</v>
      </c>
    </row>
    <row r="5" spans="1:20" ht="27" x14ac:dyDescent="0.3">
      <c r="A5" s="11">
        <v>1</v>
      </c>
      <c r="B5" s="10" t="s">
        <v>55</v>
      </c>
      <c r="C5" s="10" t="s">
        <v>66</v>
      </c>
      <c r="D5" s="10" t="s">
        <v>156</v>
      </c>
      <c r="E5" s="13">
        <v>1</v>
      </c>
      <c r="F5" s="13">
        <v>95</v>
      </c>
      <c r="G5" s="19" t="s">
        <v>157</v>
      </c>
      <c r="H5" s="56">
        <v>25427</v>
      </c>
      <c r="I5" s="56">
        <v>29621</v>
      </c>
      <c r="J5" s="53">
        <v>26884.400000000001</v>
      </c>
      <c r="K5" s="20">
        <v>25275.360000000001</v>
      </c>
      <c r="L5" s="19" t="s">
        <v>158</v>
      </c>
      <c r="M5" s="19" t="s">
        <v>159</v>
      </c>
      <c r="N5" s="14">
        <f>IF($B5="","",IFERROR(INDEX('01_현장조건'!$B$12:$D$12,MATCH($B5,'01_현장조건'!$B$3:$D$3,0)),""))</f>
        <v>2.3759999999999999</v>
      </c>
      <c r="O5" s="21">
        <f>IF($B5="","",IF($H5&lt;&gt;"",$H5,IF(AND($K5&lt;&gt;"",IFERROR(INDEX('01_현장조건'!$B$22:$D$22,MATCH($B5,'01_현장조건'!$B$3:$D$3,0)),"")&lt;&gt;""),$K5*(1+INDEX('01_현장조건'!$B$22:$D$22,MATCH($B5,'01_현장조건'!$B$3:$D$3,0))),"")))</f>
        <v>25427</v>
      </c>
      <c r="P5" s="21">
        <f t="shared" ref="P5:P34" si="0">IF(O5="","",O5*IF($E5="",1,$E5))</f>
        <v>25427</v>
      </c>
      <c r="Q5" s="21">
        <f t="shared" ref="Q5:Q34" si="1">IF($I5="","",$I5*IF($E5="",1,$E5))</f>
        <v>29621</v>
      </c>
      <c r="R5" s="21">
        <f t="shared" ref="R5:R34" si="2">IF($J5="","",$J5*IF($E5="",1,$E5))</f>
        <v>26884.400000000001</v>
      </c>
      <c r="S5" s="21">
        <f t="shared" ref="S5:S34" si="3">IF($K5="","",$K5*IF($E5="",1,$E5))</f>
        <v>25275.360000000001</v>
      </c>
      <c r="T5" s="15">
        <f t="shared" ref="T5:T34" si="4">IF(OR(R5="",N5=""),"",ROUND(R5/N5,0))</f>
        <v>11315</v>
      </c>
    </row>
    <row r="6" spans="1:20" ht="27" x14ac:dyDescent="0.3">
      <c r="A6" s="11">
        <v>2</v>
      </c>
      <c r="B6" s="10" t="s">
        <v>55</v>
      </c>
      <c r="C6" s="10" t="s">
        <v>66</v>
      </c>
      <c r="D6" s="10" t="s">
        <v>156</v>
      </c>
      <c r="E6" s="13">
        <v>1</v>
      </c>
      <c r="F6" s="13">
        <v>55</v>
      </c>
      <c r="G6" s="19" t="s">
        <v>160</v>
      </c>
      <c r="H6" s="56">
        <v>48210</v>
      </c>
      <c r="I6" s="56">
        <v>43244</v>
      </c>
      <c r="J6" s="53">
        <v>46429.4</v>
      </c>
      <c r="K6" s="20">
        <v>42151.33</v>
      </c>
      <c r="L6" s="19" t="s">
        <v>158</v>
      </c>
      <c r="M6" s="19" t="s">
        <v>161</v>
      </c>
      <c r="N6" s="14">
        <f>IF($B6="","",IFERROR(INDEX('01_현장조건'!$B$12:$D$12,MATCH($B6,'01_현장조건'!$B$3:$D$3,0)),""))</f>
        <v>2.3759999999999999</v>
      </c>
      <c r="O6" s="21">
        <f>IF($B6="","",IF($H6&lt;&gt;"",$H6,IF(AND($K6&lt;&gt;"",IFERROR(INDEX('01_현장조건'!$B$22:$D$22,MATCH($B6,'01_현장조건'!$B$3:$D$3,0)),"")&lt;&gt;""),$K6*(1+INDEX('01_현장조건'!$B$22:$D$22,MATCH($B6,'01_현장조건'!$B$3:$D$3,0))),"")))</f>
        <v>48210</v>
      </c>
      <c r="P6" s="21">
        <f t="shared" si="0"/>
        <v>48210</v>
      </c>
      <c r="Q6" s="21">
        <f t="shared" si="1"/>
        <v>43244</v>
      </c>
      <c r="R6" s="21">
        <f t="shared" si="2"/>
        <v>46429.4</v>
      </c>
      <c r="S6" s="21">
        <f t="shared" si="3"/>
        <v>42151.33</v>
      </c>
      <c r="T6" s="15">
        <f t="shared" si="4"/>
        <v>19541</v>
      </c>
    </row>
    <row r="7" spans="1:20" ht="27" x14ac:dyDescent="0.3">
      <c r="A7" s="11">
        <v>3</v>
      </c>
      <c r="B7" s="10" t="s">
        <v>56</v>
      </c>
      <c r="C7" s="10" t="s">
        <v>67</v>
      </c>
      <c r="D7" s="10" t="s">
        <v>162</v>
      </c>
      <c r="E7" s="13">
        <v>1</v>
      </c>
      <c r="F7" s="13">
        <v>90</v>
      </c>
      <c r="G7" s="19" t="s">
        <v>157</v>
      </c>
      <c r="H7" s="56">
        <v>54657</v>
      </c>
      <c r="I7" s="56">
        <v>56829</v>
      </c>
      <c r="J7" s="54">
        <v>54272.4</v>
      </c>
      <c r="K7" s="20">
        <v>50761.72</v>
      </c>
      <c r="L7" s="19" t="s">
        <v>163</v>
      </c>
      <c r="M7" s="19" t="s">
        <v>164</v>
      </c>
      <c r="N7" s="14">
        <f>IF($B7="","",IFERROR(INDEX('01_현장조건'!$B$12:$D$12,MATCH($B7,'01_현장조건'!$B$3:$D$3,0)),""))</f>
        <v>2.6</v>
      </c>
      <c r="O7" s="21">
        <f>IF($B7="","",IF($H7&lt;&gt;"",$H7,IF(AND($K7&lt;&gt;"",IFERROR(INDEX('01_현장조건'!$B$22:$D$22,MATCH($B7,'01_현장조건'!$B$3:$D$3,0)),"")&lt;&gt;""),$K7*(1+INDEX('01_현장조건'!$B$22:$D$22,MATCH($B7,'01_현장조건'!$B$3:$D$3,0))),"")))</f>
        <v>54657</v>
      </c>
      <c r="P7" s="21">
        <f t="shared" si="0"/>
        <v>54657</v>
      </c>
      <c r="Q7" s="21">
        <f t="shared" si="1"/>
        <v>56829</v>
      </c>
      <c r="R7" s="21">
        <f t="shared" si="2"/>
        <v>54272.4</v>
      </c>
      <c r="S7" s="21">
        <f t="shared" si="3"/>
        <v>50761.72</v>
      </c>
      <c r="T7" s="15">
        <f t="shared" si="4"/>
        <v>20874</v>
      </c>
    </row>
    <row r="8" spans="1:20" ht="27" x14ac:dyDescent="0.3">
      <c r="A8" s="11">
        <v>4</v>
      </c>
      <c r="B8" s="10" t="s">
        <v>56</v>
      </c>
      <c r="C8" s="10" t="s">
        <v>67</v>
      </c>
      <c r="D8" s="10" t="s">
        <v>162</v>
      </c>
      <c r="E8" s="13">
        <v>1</v>
      </c>
      <c r="F8" s="13">
        <v>50</v>
      </c>
      <c r="G8" s="19" t="s">
        <v>160</v>
      </c>
      <c r="H8" s="56">
        <v>119761</v>
      </c>
      <c r="I8" s="56">
        <v>114109</v>
      </c>
      <c r="J8" s="54">
        <v>117065</v>
      </c>
      <c r="K8" s="20">
        <v>106128.21</v>
      </c>
      <c r="L8" s="19" t="s">
        <v>163</v>
      </c>
      <c r="M8" s="19" t="s">
        <v>165</v>
      </c>
      <c r="N8" s="14">
        <f>IF($B8="","",IFERROR(INDEX('01_현장조건'!$B$12:$D$12,MATCH($B8,'01_현장조건'!$B$3:$D$3,0)),""))</f>
        <v>2.6</v>
      </c>
      <c r="O8" s="21">
        <f>IF($B8="","",IF($H8&lt;&gt;"",$H8,IF(AND($K8&lt;&gt;"",IFERROR(INDEX('01_현장조건'!$B$22:$D$22,MATCH($B8,'01_현장조건'!$B$3:$D$3,0)),"")&lt;&gt;""),$K8*(1+INDEX('01_현장조건'!$B$22:$D$22,MATCH($B8,'01_현장조건'!$B$3:$D$3,0))),"")))</f>
        <v>119761</v>
      </c>
      <c r="P8" s="21">
        <f t="shared" si="0"/>
        <v>119761</v>
      </c>
      <c r="Q8" s="21">
        <f t="shared" si="1"/>
        <v>114109</v>
      </c>
      <c r="R8" s="21">
        <f t="shared" si="2"/>
        <v>117065</v>
      </c>
      <c r="S8" s="21">
        <f t="shared" si="3"/>
        <v>106128.21</v>
      </c>
      <c r="T8" s="15">
        <f t="shared" si="4"/>
        <v>45025</v>
      </c>
    </row>
    <row r="9" spans="1:20" ht="40.5" x14ac:dyDescent="0.3">
      <c r="A9" s="11">
        <v>5</v>
      </c>
      <c r="B9" s="10" t="s">
        <v>57</v>
      </c>
      <c r="C9" s="10" t="s">
        <v>366</v>
      </c>
      <c r="D9" s="10" t="s">
        <v>367</v>
      </c>
      <c r="E9" s="13">
        <v>1</v>
      </c>
      <c r="F9" s="13">
        <v>70</v>
      </c>
      <c r="G9" s="19" t="s">
        <v>166</v>
      </c>
      <c r="H9" s="56">
        <v>170936</v>
      </c>
      <c r="I9" s="56">
        <v>170936</v>
      </c>
      <c r="J9" s="55">
        <f>45703.1+128331.83</f>
        <v>174034.93</v>
      </c>
      <c r="K9" s="20">
        <v>163636.09</v>
      </c>
      <c r="L9" s="19" t="s">
        <v>368</v>
      </c>
      <c r="M9" s="19" t="s">
        <v>369</v>
      </c>
      <c r="N9" s="14">
        <f>IF($B9="","",IFERROR(INDEX('01_현장조건'!$B$12:$D$12,MATCH($B9,'01_현장조건'!$B$3:$D$3,0)),""))</f>
        <v>2.69</v>
      </c>
      <c r="O9" s="21">
        <f>IF($B9="","",IF($H9&lt;&gt;"",$H9,IF(AND($K9&lt;&gt;"",IFERROR(INDEX('01_현장조건'!$B$22:$D$22,MATCH($B9,'01_현장조건'!$B$3:$D$3,0)),"")&lt;&gt;""),$K9*(1+INDEX('01_현장조건'!$B$22:$D$22,MATCH($B9,'01_현장조건'!$B$3:$D$3,0))),"")))</f>
        <v>170936</v>
      </c>
      <c r="P9" s="21">
        <f t="shared" si="0"/>
        <v>170936</v>
      </c>
      <c r="Q9" s="21">
        <f t="shared" si="1"/>
        <v>170936</v>
      </c>
      <c r="R9" s="21">
        <f t="shared" si="2"/>
        <v>174034.93</v>
      </c>
      <c r="S9" s="21">
        <f t="shared" si="3"/>
        <v>163636.09</v>
      </c>
      <c r="T9" s="15">
        <f t="shared" si="4"/>
        <v>64697</v>
      </c>
    </row>
    <row r="10" spans="1:20" ht="40.5" x14ac:dyDescent="0.3">
      <c r="A10" s="11">
        <v>6</v>
      </c>
      <c r="B10" s="10" t="s">
        <v>57</v>
      </c>
      <c r="C10" s="10" t="s">
        <v>366</v>
      </c>
      <c r="D10" s="10" t="s">
        <v>367</v>
      </c>
      <c r="E10" s="13">
        <v>1</v>
      </c>
      <c r="F10" s="13">
        <v>40</v>
      </c>
      <c r="G10" s="19" t="s">
        <v>167</v>
      </c>
      <c r="H10" s="56">
        <v>42716</v>
      </c>
      <c r="I10" s="56">
        <v>42716</v>
      </c>
      <c r="J10" s="55">
        <f>11300.69+29928.94</f>
        <v>41229.629999999997</v>
      </c>
      <c r="K10" s="20">
        <v>34724.6</v>
      </c>
      <c r="L10" s="19" t="s">
        <v>368</v>
      </c>
      <c r="M10" s="19" t="s">
        <v>370</v>
      </c>
      <c r="N10" s="14">
        <f>IF($B10="","",IFERROR(INDEX('01_현장조건'!$B$12:$D$12,MATCH($B10,'01_현장조건'!$B$3:$D$3,0)),""))</f>
        <v>2.69</v>
      </c>
      <c r="O10" s="21">
        <f>IF($B10="","",IF($H10&lt;&gt;"",$H10,IF(AND($K10&lt;&gt;"",IFERROR(INDEX('01_현장조건'!$B$22:$D$22,MATCH($B10,'01_현장조건'!$B$3:$D$3,0)),"")&lt;&gt;""),$K10*(1+INDEX('01_현장조건'!$B$22:$D$22,MATCH($B10,'01_현장조건'!$B$3:$D$3,0))),"")))</f>
        <v>42716</v>
      </c>
      <c r="P10" s="21">
        <f t="shared" si="0"/>
        <v>42716</v>
      </c>
      <c r="Q10" s="21">
        <f t="shared" si="1"/>
        <v>42716</v>
      </c>
      <c r="R10" s="21">
        <f t="shared" si="2"/>
        <v>41229.629999999997</v>
      </c>
      <c r="S10" s="21">
        <f t="shared" si="3"/>
        <v>34724.6</v>
      </c>
      <c r="T10" s="15">
        <f t="shared" si="4"/>
        <v>15327</v>
      </c>
    </row>
    <row r="11" spans="1:20" x14ac:dyDescent="0.3">
      <c r="A11" s="11">
        <v>9</v>
      </c>
      <c r="B11" s="10"/>
      <c r="C11" s="10"/>
      <c r="D11" s="10"/>
      <c r="E11" s="13"/>
      <c r="F11" s="13"/>
      <c r="G11" s="19"/>
      <c r="H11" s="20"/>
      <c r="I11" s="20"/>
      <c r="J11" s="20"/>
      <c r="K11" s="20"/>
      <c r="L11" s="19"/>
      <c r="M11" s="19"/>
      <c r="N11" s="14" t="str">
        <f>IF($B11="","",IFERROR(INDEX('01_현장조건'!$B$12:$D$12,MATCH($B11,'01_현장조건'!$B$3:$D$3,0)),""))</f>
        <v/>
      </c>
      <c r="O11" s="21" t="str">
        <f>IF($B11="","",IF($H11&lt;&gt;"",$H11,IF(AND($K11&lt;&gt;"",IFERROR(INDEX('01_현장조건'!$B$22:$D$22,MATCH($B11,'01_현장조건'!$B$3:$D$3,0)),"")&lt;&gt;""),$K11*(1+INDEX('01_현장조건'!$B$22:$D$22,MATCH($B11,'01_현장조건'!$B$3:$D$3,0))),"")))</f>
        <v/>
      </c>
      <c r="P11" s="21" t="str">
        <f t="shared" si="0"/>
        <v/>
      </c>
      <c r="Q11" s="21" t="str">
        <f t="shared" si="1"/>
        <v/>
      </c>
      <c r="R11" s="21" t="str">
        <f t="shared" si="2"/>
        <v/>
      </c>
      <c r="S11" s="21" t="str">
        <f t="shared" si="3"/>
        <v/>
      </c>
      <c r="T11" s="15" t="str">
        <f t="shared" si="4"/>
        <v/>
      </c>
    </row>
    <row r="12" spans="1:20" x14ac:dyDescent="0.3">
      <c r="A12" s="11">
        <v>10</v>
      </c>
      <c r="B12" s="10"/>
      <c r="C12" s="10"/>
      <c r="D12" s="10"/>
      <c r="E12" s="13"/>
      <c r="F12" s="13"/>
      <c r="G12" s="19"/>
      <c r="H12" s="20"/>
      <c r="I12" s="20"/>
      <c r="J12" s="20"/>
      <c r="K12" s="20"/>
      <c r="L12" s="19"/>
      <c r="M12" s="19"/>
      <c r="N12" s="14" t="str">
        <f>IF($B12="","",IFERROR(INDEX('01_현장조건'!$B$12:$D$12,MATCH($B12,'01_현장조건'!$B$3:$D$3,0)),""))</f>
        <v/>
      </c>
      <c r="O12" s="21" t="str">
        <f>IF($B12="","",IF($H12&lt;&gt;"",$H12,IF(AND($K12&lt;&gt;"",IFERROR(INDEX('01_현장조건'!$B$22:$D$22,MATCH($B12,'01_현장조건'!$B$3:$D$3,0)),"")&lt;&gt;""),$K12*(1+INDEX('01_현장조건'!$B$22:$D$22,MATCH($B12,'01_현장조건'!$B$3:$D$3,0))),"")))</f>
        <v/>
      </c>
      <c r="P12" s="21" t="str">
        <f t="shared" si="0"/>
        <v/>
      </c>
      <c r="Q12" s="21" t="str">
        <f t="shared" si="1"/>
        <v/>
      </c>
      <c r="R12" s="21" t="str">
        <f t="shared" si="2"/>
        <v/>
      </c>
      <c r="S12" s="21" t="str">
        <f t="shared" si="3"/>
        <v/>
      </c>
      <c r="T12" s="15" t="str">
        <f t="shared" si="4"/>
        <v/>
      </c>
    </row>
    <row r="13" spans="1:20" x14ac:dyDescent="0.3">
      <c r="A13" s="11">
        <v>11</v>
      </c>
      <c r="B13" s="10"/>
      <c r="C13" s="10"/>
      <c r="D13" s="10"/>
      <c r="E13" s="13"/>
      <c r="F13" s="13"/>
      <c r="G13" s="19"/>
      <c r="H13" s="20"/>
      <c r="I13" s="20"/>
      <c r="J13" s="20"/>
      <c r="K13" s="20"/>
      <c r="L13" s="19"/>
      <c r="M13" s="19"/>
      <c r="N13" s="14" t="str">
        <f>IF($B13="","",IFERROR(INDEX('01_현장조건'!$B$12:$D$12,MATCH($B13,'01_현장조건'!$B$3:$D$3,0)),""))</f>
        <v/>
      </c>
      <c r="O13" s="21" t="str">
        <f>IF($B13="","",IF($H13&lt;&gt;"",$H13,IF(AND($K13&lt;&gt;"",IFERROR(INDEX('01_현장조건'!$B$22:$D$22,MATCH($B13,'01_현장조건'!$B$3:$D$3,0)),"")&lt;&gt;""),$K13*(1+INDEX('01_현장조건'!$B$22:$D$22,MATCH($B13,'01_현장조건'!$B$3:$D$3,0))),"")))</f>
        <v/>
      </c>
      <c r="P13" s="21" t="str">
        <f t="shared" si="0"/>
        <v/>
      </c>
      <c r="Q13" s="21" t="str">
        <f t="shared" si="1"/>
        <v/>
      </c>
      <c r="R13" s="21" t="str">
        <f t="shared" si="2"/>
        <v/>
      </c>
      <c r="S13" s="21" t="str">
        <f t="shared" si="3"/>
        <v/>
      </c>
      <c r="T13" s="15" t="str">
        <f t="shared" si="4"/>
        <v/>
      </c>
    </row>
    <row r="14" spans="1:20" x14ac:dyDescent="0.3">
      <c r="A14" s="11">
        <v>12</v>
      </c>
      <c r="B14" s="10"/>
      <c r="C14" s="10"/>
      <c r="D14" s="10"/>
      <c r="E14" s="13"/>
      <c r="F14" s="13"/>
      <c r="G14" s="19"/>
      <c r="H14" s="20"/>
      <c r="I14" s="20"/>
      <c r="J14" s="20"/>
      <c r="K14" s="20"/>
      <c r="L14" s="19"/>
      <c r="M14" s="19"/>
      <c r="N14" s="14" t="str">
        <f>IF($B14="","",IFERROR(INDEX('01_현장조건'!$B$12:$D$12,MATCH($B14,'01_현장조건'!$B$3:$D$3,0)),""))</f>
        <v/>
      </c>
      <c r="O14" s="21" t="str">
        <f>IF($B14="","",IF($H14&lt;&gt;"",$H14,IF(AND($K14&lt;&gt;"",IFERROR(INDEX('01_현장조건'!$B$22:$D$22,MATCH($B14,'01_현장조건'!$B$3:$D$3,0)),"")&lt;&gt;""),$K14*(1+INDEX('01_현장조건'!$B$22:$D$22,MATCH($B14,'01_현장조건'!$B$3:$D$3,0))),"")))</f>
        <v/>
      </c>
      <c r="P14" s="21" t="str">
        <f t="shared" si="0"/>
        <v/>
      </c>
      <c r="Q14" s="21" t="str">
        <f t="shared" si="1"/>
        <v/>
      </c>
      <c r="R14" s="21" t="str">
        <f t="shared" si="2"/>
        <v/>
      </c>
      <c r="S14" s="21" t="str">
        <f t="shared" si="3"/>
        <v/>
      </c>
      <c r="T14" s="15" t="str">
        <f t="shared" si="4"/>
        <v/>
      </c>
    </row>
    <row r="15" spans="1:20" x14ac:dyDescent="0.3">
      <c r="A15" s="11">
        <v>13</v>
      </c>
      <c r="B15" s="10"/>
      <c r="C15" s="10"/>
      <c r="D15" s="10"/>
      <c r="E15" s="13"/>
      <c r="F15" s="13"/>
      <c r="G15" s="19"/>
      <c r="H15" s="20"/>
      <c r="I15" s="20"/>
      <c r="J15" s="20"/>
      <c r="K15" s="20"/>
      <c r="L15" s="19"/>
      <c r="M15" s="19"/>
      <c r="N15" s="14" t="str">
        <f>IF($B15="","",IFERROR(INDEX('01_현장조건'!$B$12:$D$12,MATCH($B15,'01_현장조건'!$B$3:$D$3,0)),""))</f>
        <v/>
      </c>
      <c r="O15" s="21" t="str">
        <f>IF($B15="","",IF($H15&lt;&gt;"",$H15,IF(AND($K15&lt;&gt;"",IFERROR(INDEX('01_현장조건'!$B$22:$D$22,MATCH($B15,'01_현장조건'!$B$3:$D$3,0)),"")&lt;&gt;""),$K15*(1+INDEX('01_현장조건'!$B$22:$D$22,MATCH($B15,'01_현장조건'!$B$3:$D$3,0))),"")))</f>
        <v/>
      </c>
      <c r="P15" s="21" t="str">
        <f t="shared" si="0"/>
        <v/>
      </c>
      <c r="Q15" s="21" t="str">
        <f t="shared" si="1"/>
        <v/>
      </c>
      <c r="R15" s="21" t="str">
        <f t="shared" si="2"/>
        <v/>
      </c>
      <c r="S15" s="21" t="str">
        <f t="shared" si="3"/>
        <v/>
      </c>
      <c r="T15" s="15" t="str">
        <f t="shared" si="4"/>
        <v/>
      </c>
    </row>
    <row r="16" spans="1:20" x14ac:dyDescent="0.3">
      <c r="A16" s="11">
        <v>14</v>
      </c>
      <c r="B16" s="10"/>
      <c r="C16" s="10"/>
      <c r="D16" s="10"/>
      <c r="E16" s="13"/>
      <c r="F16" s="13"/>
      <c r="G16" s="19"/>
      <c r="H16" s="20"/>
      <c r="I16" s="20"/>
      <c r="J16" s="20"/>
      <c r="K16" s="20"/>
      <c r="L16" s="19"/>
      <c r="M16" s="19"/>
      <c r="N16" s="14" t="str">
        <f>IF($B16="","",IFERROR(INDEX('01_현장조건'!$B$12:$D$12,MATCH($B16,'01_현장조건'!$B$3:$D$3,0)),""))</f>
        <v/>
      </c>
      <c r="O16" s="21" t="str">
        <f>IF($B16="","",IF($H16&lt;&gt;"",$H16,IF(AND($K16&lt;&gt;"",IFERROR(INDEX('01_현장조건'!$B$22:$D$22,MATCH($B16,'01_현장조건'!$B$3:$D$3,0)),"")&lt;&gt;""),$K16*(1+INDEX('01_현장조건'!$B$22:$D$22,MATCH($B16,'01_현장조건'!$B$3:$D$3,0))),"")))</f>
        <v/>
      </c>
      <c r="P16" s="21" t="str">
        <f t="shared" si="0"/>
        <v/>
      </c>
      <c r="Q16" s="21" t="str">
        <f t="shared" si="1"/>
        <v/>
      </c>
      <c r="R16" s="21" t="str">
        <f t="shared" si="2"/>
        <v/>
      </c>
      <c r="S16" s="21" t="str">
        <f t="shared" si="3"/>
        <v/>
      </c>
      <c r="T16" s="15" t="str">
        <f t="shared" si="4"/>
        <v/>
      </c>
    </row>
    <row r="17" spans="1:20" x14ac:dyDescent="0.3">
      <c r="A17" s="11">
        <v>15</v>
      </c>
      <c r="B17" s="10"/>
      <c r="C17" s="10"/>
      <c r="D17" s="10"/>
      <c r="E17" s="13"/>
      <c r="F17" s="13"/>
      <c r="G17" s="19"/>
      <c r="H17" s="20"/>
      <c r="I17" s="20"/>
      <c r="J17" s="20"/>
      <c r="K17" s="20"/>
      <c r="L17" s="19"/>
      <c r="M17" s="19"/>
      <c r="N17" s="14" t="str">
        <f>IF($B17="","",IFERROR(INDEX('01_현장조건'!$B$12:$D$12,MATCH($B17,'01_현장조건'!$B$3:$D$3,0)),""))</f>
        <v/>
      </c>
      <c r="O17" s="21" t="str">
        <f>IF($B17="","",IF($H17&lt;&gt;"",$H17,IF(AND($K17&lt;&gt;"",IFERROR(INDEX('01_현장조건'!$B$22:$D$22,MATCH($B17,'01_현장조건'!$B$3:$D$3,0)),"")&lt;&gt;""),$K17*(1+INDEX('01_현장조건'!$B$22:$D$22,MATCH($B17,'01_현장조건'!$B$3:$D$3,0))),"")))</f>
        <v/>
      </c>
      <c r="P17" s="21" t="str">
        <f t="shared" si="0"/>
        <v/>
      </c>
      <c r="Q17" s="21" t="str">
        <f t="shared" si="1"/>
        <v/>
      </c>
      <c r="R17" s="21" t="str">
        <f t="shared" si="2"/>
        <v/>
      </c>
      <c r="S17" s="21" t="str">
        <f t="shared" si="3"/>
        <v/>
      </c>
      <c r="T17" s="15" t="str">
        <f t="shared" si="4"/>
        <v/>
      </c>
    </row>
    <row r="18" spans="1:20" x14ac:dyDescent="0.3">
      <c r="A18" s="11">
        <v>16</v>
      </c>
      <c r="B18" s="10"/>
      <c r="C18" s="10"/>
      <c r="D18" s="10"/>
      <c r="E18" s="13"/>
      <c r="F18" s="13"/>
      <c r="G18" s="19"/>
      <c r="H18" s="20"/>
      <c r="I18" s="20"/>
      <c r="J18" s="20"/>
      <c r="K18" s="20"/>
      <c r="L18" s="19"/>
      <c r="M18" s="19"/>
      <c r="N18" s="14" t="str">
        <f>IF($B18="","",IFERROR(INDEX('01_현장조건'!$B$12:$D$12,MATCH($B18,'01_현장조건'!$B$3:$D$3,0)),""))</f>
        <v/>
      </c>
      <c r="O18" s="21" t="str">
        <f>IF($B18="","",IF($H18&lt;&gt;"",$H18,IF(AND($K18&lt;&gt;"",IFERROR(INDEX('01_현장조건'!$B$22:$D$22,MATCH($B18,'01_현장조건'!$B$3:$D$3,0)),"")&lt;&gt;""),$K18*(1+INDEX('01_현장조건'!$B$22:$D$22,MATCH($B18,'01_현장조건'!$B$3:$D$3,0))),"")))</f>
        <v/>
      </c>
      <c r="P18" s="21" t="str">
        <f t="shared" si="0"/>
        <v/>
      </c>
      <c r="Q18" s="21" t="str">
        <f t="shared" si="1"/>
        <v/>
      </c>
      <c r="R18" s="21" t="str">
        <f t="shared" si="2"/>
        <v/>
      </c>
      <c r="S18" s="21" t="str">
        <f t="shared" si="3"/>
        <v/>
      </c>
      <c r="T18" s="15" t="str">
        <f t="shared" si="4"/>
        <v/>
      </c>
    </row>
    <row r="19" spans="1:20" x14ac:dyDescent="0.3">
      <c r="A19" s="11">
        <v>17</v>
      </c>
      <c r="B19" s="10"/>
      <c r="C19" s="10"/>
      <c r="D19" s="10"/>
      <c r="E19" s="13"/>
      <c r="F19" s="13"/>
      <c r="G19" s="19"/>
      <c r="H19" s="20"/>
      <c r="I19" s="20"/>
      <c r="J19" s="20"/>
      <c r="K19" s="20"/>
      <c r="L19" s="19"/>
      <c r="M19" s="19"/>
      <c r="N19" s="14" t="str">
        <f>IF($B19="","",IFERROR(INDEX('01_현장조건'!$B$12:$D$12,MATCH($B19,'01_현장조건'!$B$3:$D$3,0)),""))</f>
        <v/>
      </c>
      <c r="O19" s="21" t="str">
        <f>IF($B19="","",IF($H19&lt;&gt;"",$H19,IF(AND($K19&lt;&gt;"",IFERROR(INDEX('01_현장조건'!$B$22:$D$22,MATCH($B19,'01_현장조건'!$B$3:$D$3,0)),"")&lt;&gt;""),$K19*(1+INDEX('01_현장조건'!$B$22:$D$22,MATCH($B19,'01_현장조건'!$B$3:$D$3,0))),"")))</f>
        <v/>
      </c>
      <c r="P19" s="21" t="str">
        <f t="shared" si="0"/>
        <v/>
      </c>
      <c r="Q19" s="21" t="str">
        <f t="shared" si="1"/>
        <v/>
      </c>
      <c r="R19" s="21" t="str">
        <f t="shared" si="2"/>
        <v/>
      </c>
      <c r="S19" s="21" t="str">
        <f t="shared" si="3"/>
        <v/>
      </c>
      <c r="T19" s="15" t="str">
        <f t="shared" si="4"/>
        <v/>
      </c>
    </row>
    <row r="20" spans="1:20" x14ac:dyDescent="0.3">
      <c r="A20" s="11">
        <v>18</v>
      </c>
      <c r="B20" s="10"/>
      <c r="C20" s="10"/>
      <c r="D20" s="10"/>
      <c r="E20" s="13"/>
      <c r="F20" s="13"/>
      <c r="G20" s="19"/>
      <c r="H20" s="20"/>
      <c r="I20" s="20"/>
      <c r="J20" s="20"/>
      <c r="K20" s="20"/>
      <c r="L20" s="19"/>
      <c r="M20" s="19"/>
      <c r="N20" s="14" t="str">
        <f>IF($B20="","",IFERROR(INDEX('01_현장조건'!$B$12:$D$12,MATCH($B20,'01_현장조건'!$B$3:$D$3,0)),""))</f>
        <v/>
      </c>
      <c r="O20" s="21" t="str">
        <f>IF($B20="","",IF($H20&lt;&gt;"",$H20,IF(AND($K20&lt;&gt;"",IFERROR(INDEX('01_현장조건'!$B$22:$D$22,MATCH($B20,'01_현장조건'!$B$3:$D$3,0)),"")&lt;&gt;""),$K20*(1+INDEX('01_현장조건'!$B$22:$D$22,MATCH($B20,'01_현장조건'!$B$3:$D$3,0))),"")))</f>
        <v/>
      </c>
      <c r="P20" s="21" t="str">
        <f t="shared" si="0"/>
        <v/>
      </c>
      <c r="Q20" s="21" t="str">
        <f t="shared" si="1"/>
        <v/>
      </c>
      <c r="R20" s="21" t="str">
        <f t="shared" si="2"/>
        <v/>
      </c>
      <c r="S20" s="21" t="str">
        <f t="shared" si="3"/>
        <v/>
      </c>
      <c r="T20" s="15" t="str">
        <f t="shared" si="4"/>
        <v/>
      </c>
    </row>
    <row r="21" spans="1:20" x14ac:dyDescent="0.3">
      <c r="A21" s="11">
        <v>19</v>
      </c>
      <c r="B21" s="10"/>
      <c r="C21" s="10"/>
      <c r="D21" s="10"/>
      <c r="E21" s="13"/>
      <c r="F21" s="13"/>
      <c r="G21" s="19"/>
      <c r="H21" s="20"/>
      <c r="I21" s="20"/>
      <c r="J21" s="20"/>
      <c r="K21" s="20"/>
      <c r="L21" s="19"/>
      <c r="M21" s="19"/>
      <c r="N21" s="14" t="str">
        <f>IF($B21="","",IFERROR(INDEX('01_현장조건'!$B$12:$D$12,MATCH($B21,'01_현장조건'!$B$3:$D$3,0)),""))</f>
        <v/>
      </c>
      <c r="O21" s="21" t="str">
        <f>IF($B21="","",IF($H21&lt;&gt;"",$H21,IF(AND($K21&lt;&gt;"",IFERROR(INDEX('01_현장조건'!$B$22:$D$22,MATCH($B21,'01_현장조건'!$B$3:$D$3,0)),"")&lt;&gt;""),$K21*(1+INDEX('01_현장조건'!$B$22:$D$22,MATCH($B21,'01_현장조건'!$B$3:$D$3,0))),"")))</f>
        <v/>
      </c>
      <c r="P21" s="21" t="str">
        <f t="shared" si="0"/>
        <v/>
      </c>
      <c r="Q21" s="21" t="str">
        <f t="shared" si="1"/>
        <v/>
      </c>
      <c r="R21" s="21" t="str">
        <f t="shared" si="2"/>
        <v/>
      </c>
      <c r="S21" s="21" t="str">
        <f t="shared" si="3"/>
        <v/>
      </c>
      <c r="T21" s="15" t="str">
        <f t="shared" si="4"/>
        <v/>
      </c>
    </row>
    <row r="22" spans="1:20" x14ac:dyDescent="0.3">
      <c r="A22" s="11">
        <v>20</v>
      </c>
      <c r="B22" s="10"/>
      <c r="C22" s="10"/>
      <c r="D22" s="10"/>
      <c r="E22" s="13"/>
      <c r="F22" s="13"/>
      <c r="G22" s="19"/>
      <c r="H22" s="20"/>
      <c r="I22" s="20"/>
      <c r="J22" s="20"/>
      <c r="K22" s="20"/>
      <c r="L22" s="19"/>
      <c r="M22" s="19"/>
      <c r="N22" s="14" t="str">
        <f>IF($B22="","",IFERROR(INDEX('01_현장조건'!$B$12:$D$12,MATCH($B22,'01_현장조건'!$B$3:$D$3,0)),""))</f>
        <v/>
      </c>
      <c r="O22" s="21" t="str">
        <f>IF($B22="","",IF($H22&lt;&gt;"",$H22,IF(AND($K22&lt;&gt;"",IFERROR(INDEX('01_현장조건'!$B$22:$D$22,MATCH($B22,'01_현장조건'!$B$3:$D$3,0)),"")&lt;&gt;""),$K22*(1+INDEX('01_현장조건'!$B$22:$D$22,MATCH($B22,'01_현장조건'!$B$3:$D$3,0))),"")))</f>
        <v/>
      </c>
      <c r="P22" s="21" t="str">
        <f t="shared" si="0"/>
        <v/>
      </c>
      <c r="Q22" s="21" t="str">
        <f t="shared" si="1"/>
        <v/>
      </c>
      <c r="R22" s="21" t="str">
        <f t="shared" si="2"/>
        <v/>
      </c>
      <c r="S22" s="21" t="str">
        <f t="shared" si="3"/>
        <v/>
      </c>
      <c r="T22" s="15" t="str">
        <f t="shared" si="4"/>
        <v/>
      </c>
    </row>
    <row r="23" spans="1:20" x14ac:dyDescent="0.3">
      <c r="A23" s="11">
        <v>21</v>
      </c>
      <c r="B23" s="10"/>
      <c r="C23" s="10"/>
      <c r="D23" s="10"/>
      <c r="E23" s="13"/>
      <c r="F23" s="13"/>
      <c r="G23" s="19"/>
      <c r="H23" s="20"/>
      <c r="I23" s="20"/>
      <c r="J23" s="20"/>
      <c r="K23" s="20"/>
      <c r="L23" s="19"/>
      <c r="M23" s="19"/>
      <c r="N23" s="14" t="str">
        <f>IF($B23="","",IFERROR(INDEX('01_현장조건'!$B$12:$D$12,MATCH($B23,'01_현장조건'!$B$3:$D$3,0)),""))</f>
        <v/>
      </c>
      <c r="O23" s="21" t="str">
        <f>IF($B23="","",IF($H23&lt;&gt;"",$H23,IF(AND($K23&lt;&gt;"",IFERROR(INDEX('01_현장조건'!$B$22:$D$22,MATCH($B23,'01_현장조건'!$B$3:$D$3,0)),"")&lt;&gt;""),$K23*(1+INDEX('01_현장조건'!$B$22:$D$22,MATCH($B23,'01_현장조건'!$B$3:$D$3,0))),"")))</f>
        <v/>
      </c>
      <c r="P23" s="21" t="str">
        <f t="shared" si="0"/>
        <v/>
      </c>
      <c r="Q23" s="21" t="str">
        <f t="shared" si="1"/>
        <v/>
      </c>
      <c r="R23" s="21" t="str">
        <f t="shared" si="2"/>
        <v/>
      </c>
      <c r="S23" s="21" t="str">
        <f t="shared" si="3"/>
        <v/>
      </c>
      <c r="T23" s="15" t="str">
        <f t="shared" si="4"/>
        <v/>
      </c>
    </row>
    <row r="24" spans="1:20" x14ac:dyDescent="0.3">
      <c r="A24" s="11">
        <v>22</v>
      </c>
      <c r="B24" s="10"/>
      <c r="C24" s="10"/>
      <c r="D24" s="10"/>
      <c r="E24" s="13"/>
      <c r="F24" s="13"/>
      <c r="G24" s="19"/>
      <c r="H24" s="20"/>
      <c r="I24" s="20"/>
      <c r="J24" s="20"/>
      <c r="K24" s="20"/>
      <c r="L24" s="19"/>
      <c r="M24" s="19"/>
      <c r="N24" s="14" t="str">
        <f>IF($B24="","",IFERROR(INDEX('01_현장조건'!$B$12:$D$12,MATCH($B24,'01_현장조건'!$B$3:$D$3,0)),""))</f>
        <v/>
      </c>
      <c r="O24" s="21" t="str">
        <f>IF($B24="","",IF($H24&lt;&gt;"",$H24,IF(AND($K24&lt;&gt;"",IFERROR(INDEX('01_현장조건'!$B$22:$D$22,MATCH($B24,'01_현장조건'!$B$3:$D$3,0)),"")&lt;&gt;""),$K24*(1+INDEX('01_현장조건'!$B$22:$D$22,MATCH($B24,'01_현장조건'!$B$3:$D$3,0))),"")))</f>
        <v/>
      </c>
      <c r="P24" s="21" t="str">
        <f t="shared" si="0"/>
        <v/>
      </c>
      <c r="Q24" s="21" t="str">
        <f t="shared" si="1"/>
        <v/>
      </c>
      <c r="R24" s="21" t="str">
        <f t="shared" si="2"/>
        <v/>
      </c>
      <c r="S24" s="21" t="str">
        <f t="shared" si="3"/>
        <v/>
      </c>
      <c r="T24" s="15" t="str">
        <f t="shared" si="4"/>
        <v/>
      </c>
    </row>
    <row r="25" spans="1:20" x14ac:dyDescent="0.3">
      <c r="A25" s="11">
        <v>23</v>
      </c>
      <c r="B25" s="10"/>
      <c r="C25" s="10"/>
      <c r="D25" s="10"/>
      <c r="E25" s="13"/>
      <c r="F25" s="13"/>
      <c r="G25" s="19"/>
      <c r="H25" s="20"/>
      <c r="I25" s="20"/>
      <c r="J25" s="20"/>
      <c r="K25" s="20"/>
      <c r="L25" s="19"/>
      <c r="M25" s="19"/>
      <c r="N25" s="14" t="str">
        <f>IF($B25="","",IFERROR(INDEX('01_현장조건'!$B$12:$D$12,MATCH($B25,'01_현장조건'!$B$3:$D$3,0)),""))</f>
        <v/>
      </c>
      <c r="O25" s="21" t="str">
        <f>IF($B25="","",IF($H25&lt;&gt;"",$H25,IF(AND($K25&lt;&gt;"",IFERROR(INDEX('01_현장조건'!$B$22:$D$22,MATCH($B25,'01_현장조건'!$B$3:$D$3,0)),"")&lt;&gt;""),$K25*(1+INDEX('01_현장조건'!$B$22:$D$22,MATCH($B25,'01_현장조건'!$B$3:$D$3,0))),"")))</f>
        <v/>
      </c>
      <c r="P25" s="21" t="str">
        <f t="shared" si="0"/>
        <v/>
      </c>
      <c r="Q25" s="21" t="str">
        <f t="shared" si="1"/>
        <v/>
      </c>
      <c r="R25" s="21" t="str">
        <f t="shared" si="2"/>
        <v/>
      </c>
      <c r="S25" s="21" t="str">
        <f t="shared" si="3"/>
        <v/>
      </c>
      <c r="T25" s="15" t="str">
        <f t="shared" si="4"/>
        <v/>
      </c>
    </row>
    <row r="26" spans="1:20" x14ac:dyDescent="0.3">
      <c r="A26" s="11">
        <v>24</v>
      </c>
      <c r="B26" s="10"/>
      <c r="C26" s="10"/>
      <c r="D26" s="10"/>
      <c r="E26" s="13"/>
      <c r="F26" s="13"/>
      <c r="G26" s="19"/>
      <c r="H26" s="20"/>
      <c r="I26" s="20"/>
      <c r="J26" s="20"/>
      <c r="K26" s="20"/>
      <c r="L26" s="19"/>
      <c r="M26" s="19"/>
      <c r="N26" s="14" t="str">
        <f>IF($B26="","",IFERROR(INDEX('01_현장조건'!$B$12:$D$12,MATCH($B26,'01_현장조건'!$B$3:$D$3,0)),""))</f>
        <v/>
      </c>
      <c r="O26" s="21" t="str">
        <f>IF($B26="","",IF($H26&lt;&gt;"",$H26,IF(AND($K26&lt;&gt;"",IFERROR(INDEX('01_현장조건'!$B$22:$D$22,MATCH($B26,'01_현장조건'!$B$3:$D$3,0)),"")&lt;&gt;""),$K26*(1+INDEX('01_현장조건'!$B$22:$D$22,MATCH($B26,'01_현장조건'!$B$3:$D$3,0))),"")))</f>
        <v/>
      </c>
      <c r="P26" s="21" t="str">
        <f t="shared" si="0"/>
        <v/>
      </c>
      <c r="Q26" s="21" t="str">
        <f t="shared" si="1"/>
        <v/>
      </c>
      <c r="R26" s="21" t="str">
        <f t="shared" si="2"/>
        <v/>
      </c>
      <c r="S26" s="21" t="str">
        <f t="shared" si="3"/>
        <v/>
      </c>
      <c r="T26" s="15" t="str">
        <f t="shared" si="4"/>
        <v/>
      </c>
    </row>
    <row r="27" spans="1:20" x14ac:dyDescent="0.3">
      <c r="A27" s="11">
        <v>25</v>
      </c>
      <c r="B27" s="10"/>
      <c r="C27" s="10"/>
      <c r="D27" s="10"/>
      <c r="E27" s="13"/>
      <c r="F27" s="13"/>
      <c r="G27" s="19"/>
      <c r="H27" s="20"/>
      <c r="I27" s="20"/>
      <c r="J27" s="20"/>
      <c r="K27" s="20"/>
      <c r="L27" s="19"/>
      <c r="M27" s="19"/>
      <c r="N27" s="14" t="str">
        <f>IF($B27="","",IFERROR(INDEX('01_현장조건'!$B$12:$D$12,MATCH($B27,'01_현장조건'!$B$3:$D$3,0)),""))</f>
        <v/>
      </c>
      <c r="O27" s="21" t="str">
        <f>IF($B27="","",IF($H27&lt;&gt;"",$H27,IF(AND($K27&lt;&gt;"",IFERROR(INDEX('01_현장조건'!$B$22:$D$22,MATCH($B27,'01_현장조건'!$B$3:$D$3,0)),"")&lt;&gt;""),$K27*(1+INDEX('01_현장조건'!$B$22:$D$22,MATCH($B27,'01_현장조건'!$B$3:$D$3,0))),"")))</f>
        <v/>
      </c>
      <c r="P27" s="21" t="str">
        <f t="shared" si="0"/>
        <v/>
      </c>
      <c r="Q27" s="21" t="str">
        <f t="shared" si="1"/>
        <v/>
      </c>
      <c r="R27" s="21" t="str">
        <f t="shared" si="2"/>
        <v/>
      </c>
      <c r="S27" s="21" t="str">
        <f t="shared" si="3"/>
        <v/>
      </c>
      <c r="T27" s="15" t="str">
        <f t="shared" si="4"/>
        <v/>
      </c>
    </row>
    <row r="28" spans="1:20" x14ac:dyDescent="0.3">
      <c r="A28" s="11">
        <v>26</v>
      </c>
      <c r="B28" s="10"/>
      <c r="C28" s="10"/>
      <c r="D28" s="10"/>
      <c r="E28" s="13"/>
      <c r="F28" s="13"/>
      <c r="G28" s="19"/>
      <c r="H28" s="20"/>
      <c r="I28" s="20"/>
      <c r="J28" s="20"/>
      <c r="K28" s="20"/>
      <c r="L28" s="19"/>
      <c r="M28" s="19"/>
      <c r="N28" s="14" t="str">
        <f>IF($B28="","",IFERROR(INDEX('01_현장조건'!$B$12:$D$12,MATCH($B28,'01_현장조건'!$B$3:$D$3,0)),""))</f>
        <v/>
      </c>
      <c r="O28" s="21" t="str">
        <f>IF($B28="","",IF($H28&lt;&gt;"",$H28,IF(AND($K28&lt;&gt;"",IFERROR(INDEX('01_현장조건'!$B$22:$D$22,MATCH($B28,'01_현장조건'!$B$3:$D$3,0)),"")&lt;&gt;""),$K28*(1+INDEX('01_현장조건'!$B$22:$D$22,MATCH($B28,'01_현장조건'!$B$3:$D$3,0))),"")))</f>
        <v/>
      </c>
      <c r="P28" s="21" t="str">
        <f t="shared" si="0"/>
        <v/>
      </c>
      <c r="Q28" s="21" t="str">
        <f t="shared" si="1"/>
        <v/>
      </c>
      <c r="R28" s="21" t="str">
        <f t="shared" si="2"/>
        <v/>
      </c>
      <c r="S28" s="21" t="str">
        <f t="shared" si="3"/>
        <v/>
      </c>
      <c r="T28" s="15" t="str">
        <f t="shared" si="4"/>
        <v/>
      </c>
    </row>
    <row r="29" spans="1:20" x14ac:dyDescent="0.3">
      <c r="A29" s="11">
        <v>27</v>
      </c>
      <c r="B29" s="10"/>
      <c r="C29" s="10"/>
      <c r="D29" s="10"/>
      <c r="E29" s="13"/>
      <c r="F29" s="13"/>
      <c r="G29" s="19"/>
      <c r="H29" s="20"/>
      <c r="I29" s="20"/>
      <c r="J29" s="20"/>
      <c r="K29" s="20"/>
      <c r="L29" s="19"/>
      <c r="M29" s="19"/>
      <c r="N29" s="14" t="str">
        <f>IF($B29="","",IFERROR(INDEX('01_현장조건'!$B$12:$D$12,MATCH($B29,'01_현장조건'!$B$3:$D$3,0)),""))</f>
        <v/>
      </c>
      <c r="O29" s="21" t="str">
        <f>IF($B29="","",IF($H29&lt;&gt;"",$H29,IF(AND($K29&lt;&gt;"",IFERROR(INDEX('01_현장조건'!$B$22:$D$22,MATCH($B29,'01_현장조건'!$B$3:$D$3,0)),"")&lt;&gt;""),$K29*(1+INDEX('01_현장조건'!$B$22:$D$22,MATCH($B29,'01_현장조건'!$B$3:$D$3,0))),"")))</f>
        <v/>
      </c>
      <c r="P29" s="21" t="str">
        <f t="shared" si="0"/>
        <v/>
      </c>
      <c r="Q29" s="21" t="str">
        <f t="shared" si="1"/>
        <v/>
      </c>
      <c r="R29" s="21" t="str">
        <f t="shared" si="2"/>
        <v/>
      </c>
      <c r="S29" s="21" t="str">
        <f t="shared" si="3"/>
        <v/>
      </c>
      <c r="T29" s="15" t="str">
        <f t="shared" si="4"/>
        <v/>
      </c>
    </row>
    <row r="30" spans="1:20" x14ac:dyDescent="0.3">
      <c r="A30" s="11">
        <v>28</v>
      </c>
      <c r="B30" s="10"/>
      <c r="C30" s="10"/>
      <c r="D30" s="10"/>
      <c r="E30" s="13"/>
      <c r="F30" s="13"/>
      <c r="G30" s="19"/>
      <c r="H30" s="20"/>
      <c r="I30" s="20"/>
      <c r="J30" s="20"/>
      <c r="K30" s="20"/>
      <c r="L30" s="19"/>
      <c r="M30" s="19"/>
      <c r="N30" s="14" t="str">
        <f>IF($B30="","",IFERROR(INDEX('01_현장조건'!$B$12:$D$12,MATCH($B30,'01_현장조건'!$B$3:$D$3,0)),""))</f>
        <v/>
      </c>
      <c r="O30" s="21" t="str">
        <f>IF($B30="","",IF($H30&lt;&gt;"",$H30,IF(AND($K30&lt;&gt;"",IFERROR(INDEX('01_현장조건'!$B$22:$D$22,MATCH($B30,'01_현장조건'!$B$3:$D$3,0)),"")&lt;&gt;""),$K30*(1+INDEX('01_현장조건'!$B$22:$D$22,MATCH($B30,'01_현장조건'!$B$3:$D$3,0))),"")))</f>
        <v/>
      </c>
      <c r="P30" s="21" t="str">
        <f t="shared" si="0"/>
        <v/>
      </c>
      <c r="Q30" s="21" t="str">
        <f t="shared" si="1"/>
        <v/>
      </c>
      <c r="R30" s="21" t="str">
        <f t="shared" si="2"/>
        <v/>
      </c>
      <c r="S30" s="21" t="str">
        <f t="shared" si="3"/>
        <v/>
      </c>
      <c r="T30" s="15" t="str">
        <f t="shared" si="4"/>
        <v/>
      </c>
    </row>
    <row r="31" spans="1:20" x14ac:dyDescent="0.3">
      <c r="A31" s="11">
        <v>29</v>
      </c>
      <c r="B31" s="10"/>
      <c r="C31" s="10"/>
      <c r="D31" s="10"/>
      <c r="E31" s="13"/>
      <c r="F31" s="13"/>
      <c r="G31" s="19"/>
      <c r="H31" s="20"/>
      <c r="I31" s="20"/>
      <c r="J31" s="20"/>
      <c r="K31" s="20"/>
      <c r="L31" s="19"/>
      <c r="M31" s="19"/>
      <c r="N31" s="14" t="str">
        <f>IF($B31="","",IFERROR(INDEX('01_현장조건'!$B$12:$D$12,MATCH($B31,'01_현장조건'!$B$3:$D$3,0)),""))</f>
        <v/>
      </c>
      <c r="O31" s="21" t="str">
        <f>IF($B31="","",IF($H31&lt;&gt;"",$H31,IF(AND($K31&lt;&gt;"",IFERROR(INDEX('01_현장조건'!$B$22:$D$22,MATCH($B31,'01_현장조건'!$B$3:$D$3,0)),"")&lt;&gt;""),$K31*(1+INDEX('01_현장조건'!$B$22:$D$22,MATCH($B31,'01_현장조건'!$B$3:$D$3,0))),"")))</f>
        <v/>
      </c>
      <c r="P31" s="21" t="str">
        <f t="shared" si="0"/>
        <v/>
      </c>
      <c r="Q31" s="21" t="str">
        <f t="shared" si="1"/>
        <v/>
      </c>
      <c r="R31" s="21" t="str">
        <f t="shared" si="2"/>
        <v/>
      </c>
      <c r="S31" s="21" t="str">
        <f t="shared" si="3"/>
        <v/>
      </c>
      <c r="T31" s="15" t="str">
        <f t="shared" si="4"/>
        <v/>
      </c>
    </row>
    <row r="32" spans="1:20" x14ac:dyDescent="0.3">
      <c r="A32" s="11">
        <v>30</v>
      </c>
      <c r="B32" s="10"/>
      <c r="C32" s="10"/>
      <c r="D32" s="10"/>
      <c r="E32" s="13"/>
      <c r="F32" s="13"/>
      <c r="G32" s="19"/>
      <c r="H32" s="20"/>
      <c r="I32" s="20"/>
      <c r="J32" s="20"/>
      <c r="K32" s="20"/>
      <c r="L32" s="19"/>
      <c r="M32" s="19"/>
      <c r="N32" s="14" t="str">
        <f>IF($B32="","",IFERROR(INDEX('01_현장조건'!$B$12:$D$12,MATCH($B32,'01_현장조건'!$B$3:$D$3,0)),""))</f>
        <v/>
      </c>
      <c r="O32" s="21" t="str">
        <f>IF($B32="","",IF($H32&lt;&gt;"",$H32,IF(AND($K32&lt;&gt;"",IFERROR(INDEX('01_현장조건'!$B$22:$D$22,MATCH($B32,'01_현장조건'!$B$3:$D$3,0)),"")&lt;&gt;""),$K32*(1+INDEX('01_현장조건'!$B$22:$D$22,MATCH($B32,'01_현장조건'!$B$3:$D$3,0))),"")))</f>
        <v/>
      </c>
      <c r="P32" s="21" t="str">
        <f t="shared" si="0"/>
        <v/>
      </c>
      <c r="Q32" s="21" t="str">
        <f t="shared" si="1"/>
        <v/>
      </c>
      <c r="R32" s="21" t="str">
        <f t="shared" si="2"/>
        <v/>
      </c>
      <c r="S32" s="21" t="str">
        <f t="shared" si="3"/>
        <v/>
      </c>
      <c r="T32" s="15" t="str">
        <f t="shared" si="4"/>
        <v/>
      </c>
    </row>
    <row r="33" spans="1:20" x14ac:dyDescent="0.3">
      <c r="A33" s="11">
        <v>31</v>
      </c>
      <c r="B33" s="10"/>
      <c r="C33" s="10"/>
      <c r="D33" s="10"/>
      <c r="E33" s="13"/>
      <c r="F33" s="13"/>
      <c r="G33" s="19"/>
      <c r="H33" s="20"/>
      <c r="I33" s="20"/>
      <c r="J33" s="20"/>
      <c r="K33" s="20"/>
      <c r="L33" s="19"/>
      <c r="M33" s="19"/>
      <c r="N33" s="14" t="str">
        <f>IF($B33="","",IFERROR(INDEX('01_현장조건'!$B$12:$D$12,MATCH($B33,'01_현장조건'!$B$3:$D$3,0)),""))</f>
        <v/>
      </c>
      <c r="O33" s="21" t="str">
        <f>IF($B33="","",IF($H33&lt;&gt;"",$H33,IF(AND($K33&lt;&gt;"",IFERROR(INDEX('01_현장조건'!$B$22:$D$22,MATCH($B33,'01_현장조건'!$B$3:$D$3,0)),"")&lt;&gt;""),$K33*(1+INDEX('01_현장조건'!$B$22:$D$22,MATCH($B33,'01_현장조건'!$B$3:$D$3,0))),"")))</f>
        <v/>
      </c>
      <c r="P33" s="21" t="str">
        <f t="shared" si="0"/>
        <v/>
      </c>
      <c r="Q33" s="21" t="str">
        <f t="shared" si="1"/>
        <v/>
      </c>
      <c r="R33" s="21" t="str">
        <f t="shared" si="2"/>
        <v/>
      </c>
      <c r="S33" s="21" t="str">
        <f t="shared" si="3"/>
        <v/>
      </c>
      <c r="T33" s="15" t="str">
        <f t="shared" si="4"/>
        <v/>
      </c>
    </row>
    <row r="34" spans="1:20" x14ac:dyDescent="0.3">
      <c r="A34" s="11">
        <v>32</v>
      </c>
      <c r="B34" s="10"/>
      <c r="C34" s="10"/>
      <c r="D34" s="10"/>
      <c r="E34" s="13"/>
      <c r="F34" s="13"/>
      <c r="G34" s="19"/>
      <c r="H34" s="20"/>
      <c r="I34" s="20"/>
      <c r="J34" s="20"/>
      <c r="K34" s="20"/>
      <c r="L34" s="19"/>
      <c r="M34" s="19"/>
      <c r="N34" s="14" t="str">
        <f>IF($B34="","",IFERROR(INDEX('01_현장조건'!$B$12:$D$12,MATCH($B34,'01_현장조건'!$B$3:$D$3,0)),""))</f>
        <v/>
      </c>
      <c r="O34" s="21" t="str">
        <f>IF($B34="","",IF($H34&lt;&gt;"",$H34,IF(AND($K34&lt;&gt;"",IFERROR(INDEX('01_현장조건'!$B$22:$D$22,MATCH($B34,'01_현장조건'!$B$3:$D$3,0)),"")&lt;&gt;""),$K34*(1+INDEX('01_현장조건'!$B$22:$D$22,MATCH($B34,'01_현장조건'!$B$3:$D$3,0))),"")))</f>
        <v/>
      </c>
      <c r="P34" s="21" t="str">
        <f t="shared" si="0"/>
        <v/>
      </c>
      <c r="Q34" s="21" t="str">
        <f t="shared" si="1"/>
        <v/>
      </c>
      <c r="R34" s="21" t="str">
        <f t="shared" si="2"/>
        <v/>
      </c>
      <c r="S34" s="21" t="str">
        <f t="shared" si="3"/>
        <v/>
      </c>
      <c r="T34" s="15" t="str">
        <f t="shared" si="4"/>
        <v/>
      </c>
    </row>
    <row r="35" spans="1:20" x14ac:dyDescent="0.3">
      <c r="A35" s="11">
        <v>33</v>
      </c>
      <c r="B35" s="10"/>
      <c r="C35" s="10"/>
      <c r="D35" s="10"/>
      <c r="E35" s="13"/>
      <c r="F35" s="13"/>
      <c r="G35" s="19"/>
      <c r="H35" s="20"/>
      <c r="I35" s="20"/>
      <c r="J35" s="20"/>
      <c r="K35" s="20"/>
      <c r="L35" s="19"/>
      <c r="M35" s="19"/>
      <c r="N35" s="14" t="str">
        <f>IF($B35="","",IFERROR(INDEX('01_현장조건'!$B$12:$D$12,MATCH($B35,'01_현장조건'!$B$3:$D$3,0)),""))</f>
        <v/>
      </c>
      <c r="O35" s="21" t="str">
        <f>IF($B35="","",IF($H35&lt;&gt;"",$H35,IF(AND($K35&lt;&gt;"",IFERROR(INDEX('01_현장조건'!$B$22:$D$22,MATCH($B35,'01_현장조건'!$B$3:$D$3,0)),"")&lt;&gt;""),$K35*(1+INDEX('01_현장조건'!$B$22:$D$22,MATCH($B35,'01_현장조건'!$B$3:$D$3,0))),"")))</f>
        <v/>
      </c>
      <c r="P35" s="21" t="str">
        <f t="shared" ref="P35:P52" si="5">IF(O35="","",O35*IF($E35="",1,$E35))</f>
        <v/>
      </c>
      <c r="Q35" s="21" t="str">
        <f t="shared" ref="Q35:Q52" si="6">IF($I35="","",$I35*IF($E35="",1,$E35))</f>
        <v/>
      </c>
      <c r="R35" s="21" t="str">
        <f t="shared" ref="R35:R52" si="7">IF($J35="","",$J35*IF($E35="",1,$E35))</f>
        <v/>
      </c>
      <c r="S35" s="21" t="str">
        <f t="shared" ref="S35:S52" si="8">IF($K35="","",$K35*IF($E35="",1,$E35))</f>
        <v/>
      </c>
      <c r="T35" s="15" t="str">
        <f t="shared" ref="T35:T52" si="9">IF(OR(R35="",N35=""),"",ROUND(R35/N35,0))</f>
        <v/>
      </c>
    </row>
    <row r="36" spans="1:20" x14ac:dyDescent="0.3">
      <c r="A36" s="11">
        <v>34</v>
      </c>
      <c r="B36" s="10"/>
      <c r="C36" s="10"/>
      <c r="D36" s="10"/>
      <c r="E36" s="13"/>
      <c r="F36" s="13"/>
      <c r="G36" s="19"/>
      <c r="H36" s="20"/>
      <c r="I36" s="20"/>
      <c r="J36" s="20"/>
      <c r="K36" s="20"/>
      <c r="L36" s="19"/>
      <c r="M36" s="19"/>
      <c r="N36" s="14" t="str">
        <f>IF($B36="","",IFERROR(INDEX('01_현장조건'!$B$12:$D$12,MATCH($B36,'01_현장조건'!$B$3:$D$3,0)),""))</f>
        <v/>
      </c>
      <c r="O36" s="21" t="str">
        <f>IF($B36="","",IF($H36&lt;&gt;"",$H36,IF(AND($K36&lt;&gt;"",IFERROR(INDEX('01_현장조건'!$B$22:$D$22,MATCH($B36,'01_현장조건'!$B$3:$D$3,0)),"")&lt;&gt;""),$K36*(1+INDEX('01_현장조건'!$B$22:$D$22,MATCH($B36,'01_현장조건'!$B$3:$D$3,0))),"")))</f>
        <v/>
      </c>
      <c r="P36" s="21" t="str">
        <f t="shared" si="5"/>
        <v/>
      </c>
      <c r="Q36" s="21" t="str">
        <f t="shared" si="6"/>
        <v/>
      </c>
      <c r="R36" s="21" t="str">
        <f t="shared" si="7"/>
        <v/>
      </c>
      <c r="S36" s="21" t="str">
        <f t="shared" si="8"/>
        <v/>
      </c>
      <c r="T36" s="15" t="str">
        <f t="shared" si="9"/>
        <v/>
      </c>
    </row>
    <row r="37" spans="1:20" x14ac:dyDescent="0.3">
      <c r="A37" s="11">
        <v>35</v>
      </c>
      <c r="B37" s="10"/>
      <c r="C37" s="10"/>
      <c r="D37" s="10"/>
      <c r="E37" s="13"/>
      <c r="F37" s="13"/>
      <c r="G37" s="19"/>
      <c r="H37" s="20"/>
      <c r="I37" s="20"/>
      <c r="J37" s="20"/>
      <c r="K37" s="20"/>
      <c r="L37" s="19"/>
      <c r="M37" s="19"/>
      <c r="N37" s="14" t="str">
        <f>IF($B37="","",IFERROR(INDEX('01_현장조건'!$B$12:$D$12,MATCH($B37,'01_현장조건'!$B$3:$D$3,0)),""))</f>
        <v/>
      </c>
      <c r="O37" s="21" t="str">
        <f>IF($B37="","",IF($H37&lt;&gt;"",$H37,IF(AND($K37&lt;&gt;"",IFERROR(INDEX('01_현장조건'!$B$22:$D$22,MATCH($B37,'01_현장조건'!$B$3:$D$3,0)),"")&lt;&gt;""),$K37*(1+INDEX('01_현장조건'!$B$22:$D$22,MATCH($B37,'01_현장조건'!$B$3:$D$3,0))),"")))</f>
        <v/>
      </c>
      <c r="P37" s="21" t="str">
        <f t="shared" si="5"/>
        <v/>
      </c>
      <c r="Q37" s="21" t="str">
        <f t="shared" si="6"/>
        <v/>
      </c>
      <c r="R37" s="21" t="str">
        <f t="shared" si="7"/>
        <v/>
      </c>
      <c r="S37" s="21" t="str">
        <f t="shared" si="8"/>
        <v/>
      </c>
      <c r="T37" s="15" t="str">
        <f t="shared" si="9"/>
        <v/>
      </c>
    </row>
    <row r="38" spans="1:20" x14ac:dyDescent="0.3">
      <c r="A38" s="11">
        <v>36</v>
      </c>
      <c r="B38" s="10"/>
      <c r="C38" s="10"/>
      <c r="D38" s="10"/>
      <c r="E38" s="13"/>
      <c r="F38" s="13"/>
      <c r="G38" s="19"/>
      <c r="H38" s="20"/>
      <c r="I38" s="20"/>
      <c r="J38" s="20"/>
      <c r="K38" s="20"/>
      <c r="L38" s="19"/>
      <c r="M38" s="19"/>
      <c r="N38" s="14" t="str">
        <f>IF($B38="","",IFERROR(INDEX('01_현장조건'!$B$12:$D$12,MATCH($B38,'01_현장조건'!$B$3:$D$3,0)),""))</f>
        <v/>
      </c>
      <c r="O38" s="21" t="str">
        <f>IF($B38="","",IF($H38&lt;&gt;"",$H38,IF(AND($K38&lt;&gt;"",IFERROR(INDEX('01_현장조건'!$B$22:$D$22,MATCH($B38,'01_현장조건'!$B$3:$D$3,0)),"")&lt;&gt;""),$K38*(1+INDEX('01_현장조건'!$B$22:$D$22,MATCH($B38,'01_현장조건'!$B$3:$D$3,0))),"")))</f>
        <v/>
      </c>
      <c r="P38" s="21" t="str">
        <f t="shared" si="5"/>
        <v/>
      </c>
      <c r="Q38" s="21" t="str">
        <f t="shared" si="6"/>
        <v/>
      </c>
      <c r="R38" s="21" t="str">
        <f t="shared" si="7"/>
        <v/>
      </c>
      <c r="S38" s="21" t="str">
        <f t="shared" si="8"/>
        <v/>
      </c>
      <c r="T38" s="15" t="str">
        <f t="shared" si="9"/>
        <v/>
      </c>
    </row>
    <row r="39" spans="1:20" x14ac:dyDescent="0.3">
      <c r="A39" s="11">
        <v>37</v>
      </c>
      <c r="B39" s="10"/>
      <c r="C39" s="10"/>
      <c r="D39" s="10"/>
      <c r="E39" s="13"/>
      <c r="F39" s="13"/>
      <c r="G39" s="19"/>
      <c r="H39" s="20"/>
      <c r="I39" s="20"/>
      <c r="J39" s="20"/>
      <c r="K39" s="20"/>
      <c r="L39" s="19"/>
      <c r="M39" s="19"/>
      <c r="N39" s="14" t="str">
        <f>IF($B39="","",IFERROR(INDEX('01_현장조건'!$B$12:$D$12,MATCH($B39,'01_현장조건'!$B$3:$D$3,0)),""))</f>
        <v/>
      </c>
      <c r="O39" s="21" t="str">
        <f>IF($B39="","",IF($H39&lt;&gt;"",$H39,IF(AND($K39&lt;&gt;"",IFERROR(INDEX('01_현장조건'!$B$22:$D$22,MATCH($B39,'01_현장조건'!$B$3:$D$3,0)),"")&lt;&gt;""),$K39*(1+INDEX('01_현장조건'!$B$22:$D$22,MATCH($B39,'01_현장조건'!$B$3:$D$3,0))),"")))</f>
        <v/>
      </c>
      <c r="P39" s="21" t="str">
        <f t="shared" si="5"/>
        <v/>
      </c>
      <c r="Q39" s="21" t="str">
        <f t="shared" si="6"/>
        <v/>
      </c>
      <c r="R39" s="21" t="str">
        <f t="shared" si="7"/>
        <v/>
      </c>
      <c r="S39" s="21" t="str">
        <f t="shared" si="8"/>
        <v/>
      </c>
      <c r="T39" s="15" t="str">
        <f t="shared" si="9"/>
        <v/>
      </c>
    </row>
    <row r="40" spans="1:20" x14ac:dyDescent="0.3">
      <c r="A40" s="11">
        <v>38</v>
      </c>
      <c r="B40" s="10"/>
      <c r="C40" s="10"/>
      <c r="D40" s="10"/>
      <c r="E40" s="13"/>
      <c r="F40" s="13"/>
      <c r="G40" s="19"/>
      <c r="H40" s="20"/>
      <c r="I40" s="20"/>
      <c r="J40" s="20"/>
      <c r="K40" s="20"/>
      <c r="L40" s="19"/>
      <c r="M40" s="19"/>
      <c r="N40" s="14" t="str">
        <f>IF($B40="","",IFERROR(INDEX('01_현장조건'!$B$12:$D$12,MATCH($B40,'01_현장조건'!$B$3:$D$3,0)),""))</f>
        <v/>
      </c>
      <c r="O40" s="21" t="str">
        <f>IF($B40="","",IF($H40&lt;&gt;"",$H40,IF(AND($K40&lt;&gt;"",IFERROR(INDEX('01_현장조건'!$B$22:$D$22,MATCH($B40,'01_현장조건'!$B$3:$D$3,0)),"")&lt;&gt;""),$K40*(1+INDEX('01_현장조건'!$B$22:$D$22,MATCH($B40,'01_현장조건'!$B$3:$D$3,0))),"")))</f>
        <v/>
      </c>
      <c r="P40" s="21" t="str">
        <f t="shared" si="5"/>
        <v/>
      </c>
      <c r="Q40" s="21" t="str">
        <f t="shared" si="6"/>
        <v/>
      </c>
      <c r="R40" s="21" t="str">
        <f t="shared" si="7"/>
        <v/>
      </c>
      <c r="S40" s="21" t="str">
        <f t="shared" si="8"/>
        <v/>
      </c>
      <c r="T40" s="15" t="str">
        <f t="shared" si="9"/>
        <v/>
      </c>
    </row>
    <row r="41" spans="1:20" x14ac:dyDescent="0.3">
      <c r="A41" s="11">
        <v>39</v>
      </c>
      <c r="B41" s="10"/>
      <c r="C41" s="10"/>
      <c r="D41" s="10"/>
      <c r="E41" s="13"/>
      <c r="F41" s="13"/>
      <c r="G41" s="19"/>
      <c r="H41" s="20"/>
      <c r="I41" s="20"/>
      <c r="J41" s="20"/>
      <c r="K41" s="20"/>
      <c r="L41" s="19"/>
      <c r="M41" s="19"/>
      <c r="N41" s="14" t="str">
        <f>IF($B41="","",IFERROR(INDEX('01_현장조건'!$B$12:$D$12,MATCH($B41,'01_현장조건'!$B$3:$D$3,0)),""))</f>
        <v/>
      </c>
      <c r="O41" s="21" t="str">
        <f>IF($B41="","",IF($H41&lt;&gt;"",$H41,IF(AND($K41&lt;&gt;"",IFERROR(INDEX('01_현장조건'!$B$22:$D$22,MATCH($B41,'01_현장조건'!$B$3:$D$3,0)),"")&lt;&gt;""),$K41*(1+INDEX('01_현장조건'!$B$22:$D$22,MATCH($B41,'01_현장조건'!$B$3:$D$3,0))),"")))</f>
        <v/>
      </c>
      <c r="P41" s="21" t="str">
        <f t="shared" si="5"/>
        <v/>
      </c>
      <c r="Q41" s="21" t="str">
        <f t="shared" si="6"/>
        <v/>
      </c>
      <c r="R41" s="21" t="str">
        <f t="shared" si="7"/>
        <v/>
      </c>
      <c r="S41" s="21" t="str">
        <f t="shared" si="8"/>
        <v/>
      </c>
      <c r="T41" s="15" t="str">
        <f t="shared" si="9"/>
        <v/>
      </c>
    </row>
    <row r="42" spans="1:20" x14ac:dyDescent="0.3">
      <c r="A42" s="11">
        <v>40</v>
      </c>
      <c r="B42" s="10"/>
      <c r="C42" s="10"/>
      <c r="D42" s="10"/>
      <c r="E42" s="13"/>
      <c r="F42" s="13"/>
      <c r="G42" s="19"/>
      <c r="H42" s="20"/>
      <c r="I42" s="20"/>
      <c r="J42" s="20"/>
      <c r="K42" s="20"/>
      <c r="L42" s="19"/>
      <c r="M42" s="19"/>
      <c r="N42" s="14" t="str">
        <f>IF($B42="","",IFERROR(INDEX('01_현장조건'!$B$12:$D$12,MATCH($B42,'01_현장조건'!$B$3:$D$3,0)),""))</f>
        <v/>
      </c>
      <c r="O42" s="21" t="str">
        <f>IF($B42="","",IF($H42&lt;&gt;"",$H42,IF(AND($K42&lt;&gt;"",IFERROR(INDEX('01_현장조건'!$B$22:$D$22,MATCH($B42,'01_현장조건'!$B$3:$D$3,0)),"")&lt;&gt;""),$K42*(1+INDEX('01_현장조건'!$B$22:$D$22,MATCH($B42,'01_현장조건'!$B$3:$D$3,0))),"")))</f>
        <v/>
      </c>
      <c r="P42" s="21" t="str">
        <f t="shared" si="5"/>
        <v/>
      </c>
      <c r="Q42" s="21" t="str">
        <f t="shared" si="6"/>
        <v/>
      </c>
      <c r="R42" s="21" t="str">
        <f t="shared" si="7"/>
        <v/>
      </c>
      <c r="S42" s="21" t="str">
        <f t="shared" si="8"/>
        <v/>
      </c>
      <c r="T42" s="15" t="str">
        <f t="shared" si="9"/>
        <v/>
      </c>
    </row>
    <row r="43" spans="1:20" x14ac:dyDescent="0.3">
      <c r="A43" s="11">
        <v>41</v>
      </c>
      <c r="B43" s="10"/>
      <c r="C43" s="10"/>
      <c r="D43" s="10"/>
      <c r="E43" s="13"/>
      <c r="F43" s="13"/>
      <c r="G43" s="19"/>
      <c r="H43" s="20"/>
      <c r="I43" s="20"/>
      <c r="J43" s="20"/>
      <c r="K43" s="20"/>
      <c r="L43" s="19"/>
      <c r="M43" s="19"/>
      <c r="N43" s="14" t="str">
        <f>IF($B43="","",IFERROR(INDEX('01_현장조건'!$B$12:$D$12,MATCH($B43,'01_현장조건'!$B$3:$D$3,0)),""))</f>
        <v/>
      </c>
      <c r="O43" s="21" t="str">
        <f>IF($B43="","",IF($H43&lt;&gt;"",$H43,IF(AND($K43&lt;&gt;"",IFERROR(INDEX('01_현장조건'!$B$22:$D$22,MATCH($B43,'01_현장조건'!$B$3:$D$3,0)),"")&lt;&gt;""),$K43*(1+INDEX('01_현장조건'!$B$22:$D$22,MATCH($B43,'01_현장조건'!$B$3:$D$3,0))),"")))</f>
        <v/>
      </c>
      <c r="P43" s="21" t="str">
        <f t="shared" si="5"/>
        <v/>
      </c>
      <c r="Q43" s="21" t="str">
        <f t="shared" si="6"/>
        <v/>
      </c>
      <c r="R43" s="21" t="str">
        <f t="shared" si="7"/>
        <v/>
      </c>
      <c r="S43" s="21" t="str">
        <f t="shared" si="8"/>
        <v/>
      </c>
      <c r="T43" s="15" t="str">
        <f t="shared" si="9"/>
        <v/>
      </c>
    </row>
    <row r="44" spans="1:20" x14ac:dyDescent="0.3">
      <c r="A44" s="11">
        <v>42</v>
      </c>
      <c r="B44" s="10"/>
      <c r="C44" s="10"/>
      <c r="D44" s="10"/>
      <c r="E44" s="13"/>
      <c r="F44" s="13"/>
      <c r="G44" s="19"/>
      <c r="H44" s="20"/>
      <c r="I44" s="20"/>
      <c r="J44" s="20"/>
      <c r="K44" s="20"/>
      <c r="L44" s="19"/>
      <c r="M44" s="19"/>
      <c r="N44" s="14" t="str">
        <f>IF($B44="","",IFERROR(INDEX('01_현장조건'!$B$12:$D$12,MATCH($B44,'01_현장조건'!$B$3:$D$3,0)),""))</f>
        <v/>
      </c>
      <c r="O44" s="21" t="str">
        <f>IF($B44="","",IF($H44&lt;&gt;"",$H44,IF(AND($K44&lt;&gt;"",IFERROR(INDEX('01_현장조건'!$B$22:$D$22,MATCH($B44,'01_현장조건'!$B$3:$D$3,0)),"")&lt;&gt;""),$K44*(1+INDEX('01_현장조건'!$B$22:$D$22,MATCH($B44,'01_현장조건'!$B$3:$D$3,0))),"")))</f>
        <v/>
      </c>
      <c r="P44" s="21" t="str">
        <f t="shared" si="5"/>
        <v/>
      </c>
      <c r="Q44" s="21" t="str">
        <f t="shared" si="6"/>
        <v/>
      </c>
      <c r="R44" s="21" t="str">
        <f t="shared" si="7"/>
        <v/>
      </c>
      <c r="S44" s="21" t="str">
        <f t="shared" si="8"/>
        <v/>
      </c>
      <c r="T44" s="15" t="str">
        <f t="shared" si="9"/>
        <v/>
      </c>
    </row>
    <row r="45" spans="1:20" x14ac:dyDescent="0.3">
      <c r="A45" s="11">
        <v>43</v>
      </c>
      <c r="B45" s="10"/>
      <c r="C45" s="10"/>
      <c r="D45" s="10"/>
      <c r="E45" s="13"/>
      <c r="F45" s="13"/>
      <c r="G45" s="19"/>
      <c r="H45" s="20"/>
      <c r="I45" s="20"/>
      <c r="J45" s="20"/>
      <c r="K45" s="20"/>
      <c r="L45" s="19"/>
      <c r="M45" s="19"/>
      <c r="N45" s="14" t="str">
        <f>IF($B45="","",IFERROR(INDEX('01_현장조건'!$B$12:$D$12,MATCH($B45,'01_현장조건'!$B$3:$D$3,0)),""))</f>
        <v/>
      </c>
      <c r="O45" s="21" t="str">
        <f>IF($B45="","",IF($H45&lt;&gt;"",$H45,IF(AND($K45&lt;&gt;"",IFERROR(INDEX('01_현장조건'!$B$22:$D$22,MATCH($B45,'01_현장조건'!$B$3:$D$3,0)),"")&lt;&gt;""),$K45*(1+INDEX('01_현장조건'!$B$22:$D$22,MATCH($B45,'01_현장조건'!$B$3:$D$3,0))),"")))</f>
        <v/>
      </c>
      <c r="P45" s="21" t="str">
        <f t="shared" si="5"/>
        <v/>
      </c>
      <c r="Q45" s="21" t="str">
        <f t="shared" si="6"/>
        <v/>
      </c>
      <c r="R45" s="21" t="str">
        <f t="shared" si="7"/>
        <v/>
      </c>
      <c r="S45" s="21" t="str">
        <f t="shared" si="8"/>
        <v/>
      </c>
      <c r="T45" s="15" t="str">
        <f t="shared" si="9"/>
        <v/>
      </c>
    </row>
    <row r="46" spans="1:20" x14ac:dyDescent="0.3">
      <c r="A46" s="11">
        <v>44</v>
      </c>
      <c r="B46" s="10"/>
      <c r="C46" s="10"/>
      <c r="D46" s="10"/>
      <c r="E46" s="13"/>
      <c r="F46" s="13"/>
      <c r="G46" s="19"/>
      <c r="H46" s="20"/>
      <c r="I46" s="20"/>
      <c r="J46" s="20"/>
      <c r="K46" s="20"/>
      <c r="L46" s="19"/>
      <c r="M46" s="19"/>
      <c r="N46" s="14" t="str">
        <f>IF($B46="","",IFERROR(INDEX('01_현장조건'!$B$12:$D$12,MATCH($B46,'01_현장조건'!$B$3:$D$3,0)),""))</f>
        <v/>
      </c>
      <c r="O46" s="21" t="str">
        <f>IF($B46="","",IF($H46&lt;&gt;"",$H46,IF(AND($K46&lt;&gt;"",IFERROR(INDEX('01_현장조건'!$B$22:$D$22,MATCH($B46,'01_현장조건'!$B$3:$D$3,0)),"")&lt;&gt;""),$K46*(1+INDEX('01_현장조건'!$B$22:$D$22,MATCH($B46,'01_현장조건'!$B$3:$D$3,0))),"")))</f>
        <v/>
      </c>
      <c r="P46" s="21" t="str">
        <f t="shared" si="5"/>
        <v/>
      </c>
      <c r="Q46" s="21" t="str">
        <f t="shared" si="6"/>
        <v/>
      </c>
      <c r="R46" s="21" t="str">
        <f t="shared" si="7"/>
        <v/>
      </c>
      <c r="S46" s="21" t="str">
        <f t="shared" si="8"/>
        <v/>
      </c>
      <c r="T46" s="15" t="str">
        <f t="shared" si="9"/>
        <v/>
      </c>
    </row>
    <row r="47" spans="1:20" x14ac:dyDescent="0.3">
      <c r="A47" s="11">
        <v>45</v>
      </c>
      <c r="B47" s="10"/>
      <c r="C47" s="10"/>
      <c r="D47" s="10"/>
      <c r="E47" s="13"/>
      <c r="F47" s="13"/>
      <c r="G47" s="19"/>
      <c r="H47" s="20"/>
      <c r="I47" s="20"/>
      <c r="J47" s="20"/>
      <c r="K47" s="20"/>
      <c r="L47" s="19"/>
      <c r="M47" s="19"/>
      <c r="N47" s="14" t="str">
        <f>IF($B47="","",IFERROR(INDEX('01_현장조건'!$B$12:$D$12,MATCH($B47,'01_현장조건'!$B$3:$D$3,0)),""))</f>
        <v/>
      </c>
      <c r="O47" s="21" t="str">
        <f>IF($B47="","",IF($H47&lt;&gt;"",$H47,IF(AND($K47&lt;&gt;"",IFERROR(INDEX('01_현장조건'!$B$22:$D$22,MATCH($B47,'01_현장조건'!$B$3:$D$3,0)),"")&lt;&gt;""),$K47*(1+INDEX('01_현장조건'!$B$22:$D$22,MATCH($B47,'01_현장조건'!$B$3:$D$3,0))),"")))</f>
        <v/>
      </c>
      <c r="P47" s="21" t="str">
        <f t="shared" si="5"/>
        <v/>
      </c>
      <c r="Q47" s="21" t="str">
        <f t="shared" si="6"/>
        <v/>
      </c>
      <c r="R47" s="21" t="str">
        <f t="shared" si="7"/>
        <v/>
      </c>
      <c r="S47" s="21" t="str">
        <f t="shared" si="8"/>
        <v/>
      </c>
      <c r="T47" s="15" t="str">
        <f t="shared" si="9"/>
        <v/>
      </c>
    </row>
    <row r="48" spans="1:20" x14ac:dyDescent="0.3">
      <c r="A48" s="11">
        <v>46</v>
      </c>
      <c r="B48" s="10"/>
      <c r="C48" s="10"/>
      <c r="D48" s="10"/>
      <c r="E48" s="13"/>
      <c r="F48" s="13"/>
      <c r="G48" s="19"/>
      <c r="H48" s="20"/>
      <c r="I48" s="20"/>
      <c r="J48" s="20"/>
      <c r="K48" s="20"/>
      <c r="L48" s="19"/>
      <c r="M48" s="19"/>
      <c r="N48" s="14" t="str">
        <f>IF($B48="","",IFERROR(INDEX('01_현장조건'!$B$12:$D$12,MATCH($B48,'01_현장조건'!$B$3:$D$3,0)),""))</f>
        <v/>
      </c>
      <c r="O48" s="21" t="str">
        <f>IF($B48="","",IF($H48&lt;&gt;"",$H48,IF(AND($K48&lt;&gt;"",IFERROR(INDEX('01_현장조건'!$B$22:$D$22,MATCH($B48,'01_현장조건'!$B$3:$D$3,0)),"")&lt;&gt;""),$K48*(1+INDEX('01_현장조건'!$B$22:$D$22,MATCH($B48,'01_현장조건'!$B$3:$D$3,0))),"")))</f>
        <v/>
      </c>
      <c r="P48" s="21" t="str">
        <f t="shared" si="5"/>
        <v/>
      </c>
      <c r="Q48" s="21" t="str">
        <f t="shared" si="6"/>
        <v/>
      </c>
      <c r="R48" s="21" t="str">
        <f t="shared" si="7"/>
        <v/>
      </c>
      <c r="S48" s="21" t="str">
        <f t="shared" si="8"/>
        <v/>
      </c>
      <c r="T48" s="15" t="str">
        <f t="shared" si="9"/>
        <v/>
      </c>
    </row>
    <row r="49" spans="1:20" x14ac:dyDescent="0.3">
      <c r="A49" s="11">
        <v>47</v>
      </c>
      <c r="B49" s="10"/>
      <c r="C49" s="10"/>
      <c r="D49" s="10"/>
      <c r="E49" s="13"/>
      <c r="F49" s="13"/>
      <c r="G49" s="19"/>
      <c r="H49" s="20"/>
      <c r="I49" s="20"/>
      <c r="J49" s="20"/>
      <c r="K49" s="20"/>
      <c r="L49" s="19"/>
      <c r="M49" s="19"/>
      <c r="N49" s="14" t="str">
        <f>IF($B49="","",IFERROR(INDEX('01_현장조건'!$B$12:$D$12,MATCH($B49,'01_현장조건'!$B$3:$D$3,0)),""))</f>
        <v/>
      </c>
      <c r="O49" s="21" t="str">
        <f>IF($B49="","",IF($H49&lt;&gt;"",$H49,IF(AND($K49&lt;&gt;"",IFERROR(INDEX('01_현장조건'!$B$22:$D$22,MATCH($B49,'01_현장조건'!$B$3:$D$3,0)),"")&lt;&gt;""),$K49*(1+INDEX('01_현장조건'!$B$22:$D$22,MATCH($B49,'01_현장조건'!$B$3:$D$3,0))),"")))</f>
        <v/>
      </c>
      <c r="P49" s="21" t="str">
        <f t="shared" si="5"/>
        <v/>
      </c>
      <c r="Q49" s="21" t="str">
        <f t="shared" si="6"/>
        <v/>
      </c>
      <c r="R49" s="21" t="str">
        <f t="shared" si="7"/>
        <v/>
      </c>
      <c r="S49" s="21" t="str">
        <f t="shared" si="8"/>
        <v/>
      </c>
      <c r="T49" s="15" t="str">
        <f t="shared" si="9"/>
        <v/>
      </c>
    </row>
    <row r="50" spans="1:20" x14ac:dyDescent="0.3">
      <c r="A50" s="11">
        <v>48</v>
      </c>
      <c r="B50" s="10"/>
      <c r="C50" s="10"/>
      <c r="D50" s="10"/>
      <c r="E50" s="13"/>
      <c r="F50" s="13"/>
      <c r="G50" s="19"/>
      <c r="H50" s="20"/>
      <c r="I50" s="20"/>
      <c r="J50" s="20"/>
      <c r="K50" s="20"/>
      <c r="L50" s="19"/>
      <c r="M50" s="19"/>
      <c r="N50" s="14" t="str">
        <f>IF($B50="","",IFERROR(INDEX('01_현장조건'!$B$12:$D$12,MATCH($B50,'01_현장조건'!$B$3:$D$3,0)),""))</f>
        <v/>
      </c>
      <c r="O50" s="21" t="str">
        <f>IF($B50="","",IF($H50&lt;&gt;"",$H50,IF(AND($K50&lt;&gt;"",IFERROR(INDEX('01_현장조건'!$B$22:$D$22,MATCH($B50,'01_현장조건'!$B$3:$D$3,0)),"")&lt;&gt;""),$K50*(1+INDEX('01_현장조건'!$B$22:$D$22,MATCH($B50,'01_현장조건'!$B$3:$D$3,0))),"")))</f>
        <v/>
      </c>
      <c r="P50" s="21" t="str">
        <f t="shared" si="5"/>
        <v/>
      </c>
      <c r="Q50" s="21" t="str">
        <f t="shared" si="6"/>
        <v/>
      </c>
      <c r="R50" s="21" t="str">
        <f t="shared" si="7"/>
        <v/>
      </c>
      <c r="S50" s="21" t="str">
        <f t="shared" si="8"/>
        <v/>
      </c>
      <c r="T50" s="15" t="str">
        <f t="shared" si="9"/>
        <v/>
      </c>
    </row>
    <row r="51" spans="1:20" x14ac:dyDescent="0.3">
      <c r="A51" s="11">
        <v>49</v>
      </c>
      <c r="B51" s="10"/>
      <c r="C51" s="10"/>
      <c r="D51" s="10"/>
      <c r="E51" s="13"/>
      <c r="F51" s="13"/>
      <c r="G51" s="19"/>
      <c r="H51" s="20"/>
      <c r="I51" s="20"/>
      <c r="J51" s="20"/>
      <c r="K51" s="20"/>
      <c r="L51" s="19"/>
      <c r="M51" s="19"/>
      <c r="N51" s="14" t="str">
        <f>IF($B51="","",IFERROR(INDEX('01_현장조건'!$B$12:$D$12,MATCH($B51,'01_현장조건'!$B$3:$D$3,0)),""))</f>
        <v/>
      </c>
      <c r="O51" s="21" t="str">
        <f>IF($B51="","",IF($H51&lt;&gt;"",$H51,IF(AND($K51&lt;&gt;"",IFERROR(INDEX('01_현장조건'!$B$22:$D$22,MATCH($B51,'01_현장조건'!$B$3:$D$3,0)),"")&lt;&gt;""),$K51*(1+INDEX('01_현장조건'!$B$22:$D$22,MATCH($B51,'01_현장조건'!$B$3:$D$3,0))),"")))</f>
        <v/>
      </c>
      <c r="P51" s="21" t="str">
        <f t="shared" si="5"/>
        <v/>
      </c>
      <c r="Q51" s="21" t="str">
        <f t="shared" si="6"/>
        <v/>
      </c>
      <c r="R51" s="21" t="str">
        <f t="shared" si="7"/>
        <v/>
      </c>
      <c r="S51" s="21" t="str">
        <f t="shared" si="8"/>
        <v/>
      </c>
      <c r="T51" s="15" t="str">
        <f t="shared" si="9"/>
        <v/>
      </c>
    </row>
    <row r="52" spans="1:20" x14ac:dyDescent="0.3">
      <c r="A52" s="11">
        <v>50</v>
      </c>
      <c r="B52" s="10"/>
      <c r="C52" s="10"/>
      <c r="D52" s="10"/>
      <c r="E52" s="13"/>
      <c r="F52" s="13"/>
      <c r="G52" s="19"/>
      <c r="H52" s="20"/>
      <c r="I52" s="20"/>
      <c r="J52" s="20"/>
      <c r="K52" s="20"/>
      <c r="L52" s="19"/>
      <c r="M52" s="19"/>
      <c r="N52" s="14" t="str">
        <f>IF($B52="","",IFERROR(INDEX('01_현장조건'!$B$12:$D$12,MATCH($B52,'01_현장조건'!$B$3:$D$3,0)),""))</f>
        <v/>
      </c>
      <c r="O52" s="21" t="str">
        <f>IF($B52="","",IF($H52&lt;&gt;"",$H52,IF(AND($K52&lt;&gt;"",IFERROR(INDEX('01_현장조건'!$B$22:$D$22,MATCH($B52,'01_현장조건'!$B$3:$D$3,0)),"")&lt;&gt;""),$K52*(1+INDEX('01_현장조건'!$B$22:$D$22,MATCH($B52,'01_현장조건'!$B$3:$D$3,0))),"")))</f>
        <v/>
      </c>
      <c r="P52" s="21" t="str">
        <f t="shared" si="5"/>
        <v/>
      </c>
      <c r="Q52" s="21" t="str">
        <f t="shared" si="6"/>
        <v/>
      </c>
      <c r="R52" s="21" t="str">
        <f t="shared" si="7"/>
        <v/>
      </c>
      <c r="S52" s="21" t="str">
        <f t="shared" si="8"/>
        <v/>
      </c>
      <c r="T52" s="15" t="str">
        <f t="shared" si="9"/>
        <v/>
      </c>
    </row>
  </sheetData>
  <mergeCells count="2">
    <mergeCell ref="A3:M3"/>
    <mergeCell ref="N3:T3"/>
  </mergeCells>
  <phoneticPr fontId="13" type="noConversion"/>
  <printOptions horizontalCentered="1"/>
  <pageMargins left="0.4" right="0.4" top="1" bottom="1" header="0.5" footer="0.5"/>
  <pageSetup paperSize="8" fitToHeight="0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xr:uid="{00000000-0002-0000-0200-000000000000}">
          <x14:formula1>
            <xm:f>'01_현장조건'!$B$3:$D$3</xm:f>
          </x14:formula1>
          <xm:sqref>B5:B52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29"/>
  <sheetViews>
    <sheetView showGridLines="0" zoomScaleNormal="100" workbookViewId="0">
      <pane xSplit="2" ySplit="3" topLeftCell="C4" activePane="bottomRight" state="frozen"/>
      <selection pane="topRight"/>
      <selection pane="bottomLeft"/>
      <selection pane="bottomRight" activeCell="R15" sqref="R15"/>
    </sheetView>
  </sheetViews>
  <sheetFormatPr defaultRowHeight="16.5" x14ac:dyDescent="0.3"/>
  <cols>
    <col min="1" max="1" width="2" customWidth="1"/>
    <col min="2" max="2" width="10" customWidth="1"/>
    <col min="3" max="5" width="12" customWidth="1"/>
    <col min="6" max="6" width="11" customWidth="1"/>
    <col min="7" max="7" width="9" customWidth="1"/>
    <col min="8" max="8" width="8" customWidth="1"/>
    <col min="9" max="9" width="11" customWidth="1"/>
    <col min="10" max="10" width="9" customWidth="1"/>
    <col min="11" max="11" width="12" customWidth="1"/>
    <col min="12" max="14" width="8" hidden="1" customWidth="1"/>
    <col min="15" max="17" width="9" customWidth="1"/>
    <col min="18" max="20" width="11" customWidth="1"/>
  </cols>
  <sheetData>
    <row r="1" spans="1:20" ht="26.25" x14ac:dyDescent="0.5">
      <c r="A1" s="1" t="s">
        <v>168</v>
      </c>
    </row>
    <row r="2" spans="1:20" x14ac:dyDescent="0.3">
      <c r="A2" s="2" t="s">
        <v>169</v>
      </c>
    </row>
    <row r="4" spans="1:20" x14ac:dyDescent="0.3">
      <c r="B4" s="100" t="str">
        <f>'01_현장조건'!B$3</f>
        <v>부산장안</v>
      </c>
      <c r="C4" s="95"/>
      <c r="D4" s="95"/>
      <c r="E4" s="96"/>
      <c r="F4" s="99" t="str">
        <f>"지역 "&amp;'01_현장조건'!B$4&amp;"  |  "&amp;IF(AND('01_현장조건'!B$13="",'01_현장조건'!B$16=""),"두께 미입력","직접 "&amp;'01_현장조건'!B$13&amp;"+"&amp;'01_현장조건'!B$14&amp;"T / 간접 "&amp;'01_현장조건'!B$16&amp;"+"&amp;'01_현장조건'!B$17&amp;"T")&amp;"  |  "&amp;'01_현장조건'!B$5&amp;" "&amp;'01_현장조건'!B$6&amp;"  |  판 "&amp;'01_현장조건'!B$10&amp;"×"&amp;'01_현장조건'!B$11&amp;"  |  "&amp;'01_현장조건'!B$19</f>
        <v>지역 남부  |  직접 95+55T / 간접 55+55T  |  101~104동 전 타입 전체 419세대  |  판 900×2640  |  물량 최소</v>
      </c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6"/>
    </row>
    <row r="5" spans="1:20" x14ac:dyDescent="0.3">
      <c r="B5" s="22" t="s">
        <v>170</v>
      </c>
      <c r="C5" s="98" t="s">
        <v>171</v>
      </c>
      <c r="D5" s="95"/>
      <c r="E5" s="96"/>
      <c r="F5" s="98" t="s">
        <v>398</v>
      </c>
      <c r="G5" s="95"/>
      <c r="H5" s="96"/>
      <c r="I5" s="98" t="s">
        <v>399</v>
      </c>
      <c r="J5" s="96"/>
      <c r="K5" s="22" t="s">
        <v>172</v>
      </c>
      <c r="L5" s="98" t="s">
        <v>173</v>
      </c>
      <c r="M5" s="95"/>
      <c r="N5" s="96"/>
      <c r="O5" s="98" t="s">
        <v>174</v>
      </c>
      <c r="P5" s="95"/>
      <c r="Q5" s="96"/>
      <c r="R5" s="98" t="s">
        <v>175</v>
      </c>
      <c r="S5" s="95"/>
      <c r="T5" s="96"/>
    </row>
    <row r="6" spans="1:20" x14ac:dyDescent="0.3">
      <c r="B6" s="9" t="s">
        <v>176</v>
      </c>
      <c r="C6" s="9" t="s">
        <v>8</v>
      </c>
      <c r="D6" s="9" t="s">
        <v>10</v>
      </c>
      <c r="E6" s="9" t="s">
        <v>177</v>
      </c>
      <c r="F6" s="9" t="s">
        <v>178</v>
      </c>
      <c r="G6" s="9" t="s">
        <v>179</v>
      </c>
      <c r="H6" s="9" t="s">
        <v>180</v>
      </c>
      <c r="I6" s="9" t="s">
        <v>178</v>
      </c>
      <c r="J6" s="9" t="s">
        <v>181</v>
      </c>
      <c r="K6" s="9" t="s">
        <v>182</v>
      </c>
      <c r="L6" s="9" t="s">
        <v>8</v>
      </c>
      <c r="M6" s="9" t="s">
        <v>10</v>
      </c>
      <c r="N6" s="9" t="s">
        <v>177</v>
      </c>
      <c r="O6" s="9" t="s">
        <v>8</v>
      </c>
      <c r="P6" s="9" t="s">
        <v>10</v>
      </c>
      <c r="Q6" s="9" t="s">
        <v>177</v>
      </c>
      <c r="R6" s="9" t="s">
        <v>8</v>
      </c>
      <c r="S6" s="9" t="s">
        <v>10</v>
      </c>
      <c r="T6" s="9" t="s">
        <v>177</v>
      </c>
    </row>
    <row r="7" spans="1:20" x14ac:dyDescent="0.3">
      <c r="B7" s="23">
        <f>IF('01_현장조건'!B$23="","",'01_현장조건'!B$23)</f>
        <v>95</v>
      </c>
      <c r="C7" s="24">
        <f>IF($B7="","",IF(SUMPRODUCT(('02_산출입력'!$B$5:$B$52=$B$4)*('02_산출입력'!$F$5:$F$52=$B7)*ISNUMBER('02_산출입력'!$P$5:$P$52))=0,"",SUMIFS('02_산출입력'!$P$5:$P$52,'02_산출입력'!$B$5:$B$52,$B$4,'02_산출입력'!$F$5:$F$52,$B7)))</f>
        <v>25427</v>
      </c>
      <c r="D7" s="24">
        <f>IF($B7="","",IF(SUMPRODUCT(('02_산출입력'!$B$5:$B$52=$B$4)*('02_산출입력'!$F$5:$F$52=$B7)*ISNUMBER('02_산출입력'!$Q$5:$Q$52))=0,"",SUMIFS('02_산출입력'!$Q$5:$Q$52,'02_산출입력'!$B$5:$B$52,$B$4,'02_산출입력'!$F$5:$F$52,$B7)))</f>
        <v>29621</v>
      </c>
      <c r="E7" s="24">
        <f>IF($B7="","",IF(SUMPRODUCT(('02_산출입력'!$B$5:$B$52=$B$4)*('02_산출입력'!$F$5:$F$52=$B7)*ISNUMBER('02_산출입력'!$R$5:$R$52))=0,"",SUMIFS('02_산출입력'!$R$5:$R$52,'02_산출입력'!$B$5:$B$52,$B$4,'02_산출입력'!$F$5:$F$52,$B7)))</f>
        <v>26884.400000000001</v>
      </c>
      <c r="F7" s="25">
        <f>IF(OR(D7="",E7=""),"",E7-D7)</f>
        <v>-2736.5999999999985</v>
      </c>
      <c r="G7" s="26">
        <f>IF(OR(F7="",D7=0),"",F7/D7)</f>
        <v>-9.2387157759697469E-2</v>
      </c>
      <c r="H7" s="11" t="str">
        <f>IF(G7="","",IF(ABS(G7)&lt;='01_현장조건'!$B$31,"적합",IF(ABS(G7)&lt;='01_현장조건'!$B$32,"검토","부적합")))</f>
        <v>부적합</v>
      </c>
      <c r="I7" s="25">
        <f>IF(OR(C7="",E7=""),"",E7-C7)</f>
        <v>1457.4000000000015</v>
      </c>
      <c r="J7" s="26">
        <f>IF(OR(I7="",C7=0),"",I7/C7)</f>
        <v>5.7317025209423111E-2</v>
      </c>
      <c r="K7" s="24">
        <f>IF($B7="","",IF(SUMPRODUCT(('02_산출입력'!$B$5:$B$52=$B$4)*('02_산출입력'!$F$5:$F$52=$B7)*ISNUMBER('02_산출입력'!$S$5:$S$52))=0,"",SUMIFS('02_산출입력'!$S$5:$S$52,'02_산출입력'!$B$5:$B$52,$B$4,'02_산출입력'!$F$5:$F$52,$B7)))</f>
        <v>25275.360000000001</v>
      </c>
      <c r="L7" s="27">
        <f>IF(OR(C7="",K7="",K7=0),"",C7/K7-1)</f>
        <v>5.9995188990384918E-3</v>
      </c>
      <c r="M7" s="27">
        <f>IF(OR(D7="",K7="",K7=0),"",D7/K7-1)</f>
        <v>0.17193187357173145</v>
      </c>
      <c r="N7" s="27">
        <f>IF(OR(E7="",K7="",K7=0),"",E7/K7-1)</f>
        <v>6.3660418684442055E-2</v>
      </c>
      <c r="O7" s="28">
        <f>IF(C7="","",ROUND(C7/'01_현장조건'!$B$12,0))</f>
        <v>10702</v>
      </c>
      <c r="P7" s="28">
        <f>IF(D7="","",ROUND(D7/'01_현장조건'!$B$12,0))</f>
        <v>12467</v>
      </c>
      <c r="Q7" s="28">
        <f>IF(E7="","",ROUND(E7/'01_현장조건'!$B$12,0))</f>
        <v>11315</v>
      </c>
      <c r="R7" s="29">
        <f t="shared" ref="R7:T9" si="0">IF(C7="","",C7*$B7/1000)</f>
        <v>2415.5650000000001</v>
      </c>
      <c r="S7" s="29">
        <f t="shared" si="0"/>
        <v>2813.9949999999999</v>
      </c>
      <c r="T7" s="29">
        <f t="shared" si="0"/>
        <v>2554.018</v>
      </c>
    </row>
    <row r="8" spans="1:20" x14ac:dyDescent="0.3">
      <c r="B8" s="23">
        <f>IF('01_현장조건'!B$24="","",'01_현장조건'!B$24)</f>
        <v>55</v>
      </c>
      <c r="C8" s="24">
        <f>IF($B8="","",IF(SUMPRODUCT(('02_산출입력'!$B$5:$B$52=$B$4)*('02_산출입력'!$F$5:$F$52=$B8)*ISNUMBER('02_산출입력'!$P$5:$P$52))=0,"",SUMIFS('02_산출입력'!$P$5:$P$52,'02_산출입력'!$B$5:$B$52,$B$4,'02_산출입력'!$F$5:$F$52,$B8)))</f>
        <v>48210</v>
      </c>
      <c r="D8" s="24">
        <f>IF($B8="","",IF(SUMPRODUCT(('02_산출입력'!$B$5:$B$52=$B$4)*('02_산출입력'!$F$5:$F$52=$B8)*ISNUMBER('02_산출입력'!$Q$5:$Q$52))=0,"",SUMIFS('02_산출입력'!$Q$5:$Q$52,'02_산출입력'!$B$5:$B$52,$B$4,'02_산출입력'!$F$5:$F$52,$B8)))</f>
        <v>43244</v>
      </c>
      <c r="E8" s="24">
        <f>IF($B8="","",IF(SUMPRODUCT(('02_산출입력'!$B$5:$B$52=$B$4)*('02_산출입력'!$F$5:$F$52=$B8)*ISNUMBER('02_산출입력'!$R$5:$R$52))=0,"",SUMIFS('02_산출입력'!$R$5:$R$52,'02_산출입력'!$B$5:$B$52,$B$4,'02_산출입력'!$F$5:$F$52,$B8)))</f>
        <v>46429.4</v>
      </c>
      <c r="F8" s="25">
        <f>IF(OR(D8="",E8=""),"",E8-D8)</f>
        <v>3185.4000000000015</v>
      </c>
      <c r="G8" s="26">
        <f>IF(OR(F8="",D8=0),"",F8/D8)</f>
        <v>7.366108593099624E-2</v>
      </c>
      <c r="H8" s="11" t="str">
        <f>IF(G8="","",IF(ABS(G8)&lt;='01_현장조건'!$B$31,"적합",IF(ABS(G8)&lt;='01_현장조건'!$B$32,"검토","부적합")))</f>
        <v>부적합</v>
      </c>
      <c r="I8" s="25">
        <f>IF(OR(C8="",E8=""),"",E8-C8)</f>
        <v>-1780.5999999999985</v>
      </c>
      <c r="J8" s="26">
        <f>IF(OR(I8="",C8=0),"",I8/C8)</f>
        <v>-3.6934246007052446E-2</v>
      </c>
      <c r="K8" s="24">
        <f>IF($B8="","",IF(SUMPRODUCT(('02_산출입력'!$B$5:$B$52=$B$4)*('02_산출입력'!$F$5:$F$52=$B8)*ISNUMBER('02_산출입력'!$S$5:$S$52))=0,"",SUMIFS('02_산출입력'!$S$5:$S$52,'02_산출입력'!$B$5:$B$52,$B$4,'02_산출입력'!$F$5:$F$52,$B8)))</f>
        <v>42151.33</v>
      </c>
      <c r="L8" s="27">
        <f>IF(OR(C8="",K8="",K8=0),"",C8/K8-1)</f>
        <v>0.14373615257217254</v>
      </c>
      <c r="M8" s="27">
        <f>IF(OR(D8="",K8="",K8=0),"",D8/K8-1)</f>
        <v>2.592255096102547E-2</v>
      </c>
      <c r="N8" s="27">
        <f>IF(OR(E8="",K8="",K8=0),"",E8/K8-1)</f>
        <v>0.10149312014591239</v>
      </c>
      <c r="O8" s="28">
        <f>IF(C8="","",ROUND(C8/'01_현장조건'!$B$12,0))</f>
        <v>20290</v>
      </c>
      <c r="P8" s="28">
        <f>IF(D8="","",ROUND(D8/'01_현장조건'!$B$12,0))</f>
        <v>18200</v>
      </c>
      <c r="Q8" s="28">
        <f>IF(E8="","",ROUND(E8/'01_현장조건'!$B$12,0))</f>
        <v>19541</v>
      </c>
      <c r="R8" s="29">
        <f t="shared" si="0"/>
        <v>2651.55</v>
      </c>
      <c r="S8" s="29">
        <f t="shared" si="0"/>
        <v>2378.42</v>
      </c>
      <c r="T8" s="29">
        <f t="shared" si="0"/>
        <v>2553.6170000000002</v>
      </c>
    </row>
    <row r="9" spans="1:20" x14ac:dyDescent="0.3">
      <c r="B9" s="23" t="str">
        <f>IF('01_현장조건'!B$25="","",'01_현장조건'!B$25)</f>
        <v/>
      </c>
      <c r="C9" s="24" t="str">
        <f>IF($B9="","",IF(SUMPRODUCT(('02_산출입력'!$B$5:$B$52=$B$4)*('02_산출입력'!$F$5:$F$52=$B9)*ISNUMBER('02_산출입력'!$P$5:$P$52))=0,"",SUMIFS('02_산출입력'!$P$5:$P$52,'02_산출입력'!$B$5:$B$52,$B$4,'02_산출입력'!$F$5:$F$52,$B9)))</f>
        <v/>
      </c>
      <c r="D9" s="24" t="str">
        <f>IF($B9="","",IF(SUMPRODUCT(('02_산출입력'!$B$5:$B$52=$B$4)*('02_산출입력'!$F$5:$F$52=$B9)*ISNUMBER('02_산출입력'!$Q$5:$Q$52))=0,"",SUMIFS('02_산출입력'!$Q$5:$Q$52,'02_산출입력'!$B$5:$B$52,$B$4,'02_산출입력'!$F$5:$F$52,$B9)))</f>
        <v/>
      </c>
      <c r="E9" s="24" t="str">
        <f>IF($B9="","",IF(SUMPRODUCT(('02_산출입력'!$B$5:$B$52=$B$4)*('02_산출입력'!$F$5:$F$52=$B9)*ISNUMBER('02_산출입력'!$R$5:$R$52))=0,"",SUMIFS('02_산출입력'!$R$5:$R$52,'02_산출입력'!$B$5:$B$52,$B$4,'02_산출입력'!$F$5:$F$52,$B9)))</f>
        <v/>
      </c>
      <c r="F9" s="25" t="str">
        <f>IF(OR(D9="",E9=""),"",E9-D9)</f>
        <v/>
      </c>
      <c r="G9" s="26" t="str">
        <f>IF(OR(F9="",D9=0),"",F9/D9)</f>
        <v/>
      </c>
      <c r="H9" s="11" t="str">
        <f>IF(G9="","",IF(ABS(G9)&lt;='01_현장조건'!$B$31,"적합",IF(ABS(G9)&lt;='01_현장조건'!$B$32,"검토","부적합")))</f>
        <v/>
      </c>
      <c r="I9" s="25" t="str">
        <f>IF(OR(C9="",E9=""),"",E9-C9)</f>
        <v/>
      </c>
      <c r="J9" s="26" t="str">
        <f>IF(OR(I9="",C9=0),"",I9/C9)</f>
        <v/>
      </c>
      <c r="K9" s="24" t="str">
        <f>IF($B9="","",IF(SUMPRODUCT(('02_산출입력'!$B$5:$B$52=$B$4)*('02_산출입력'!$F$5:$F$52=$B9)*ISNUMBER('02_산출입력'!$S$5:$S$52))=0,"",SUMIFS('02_산출입력'!$S$5:$S$52,'02_산출입력'!$B$5:$B$52,$B$4,'02_산출입력'!$F$5:$F$52,$B9)))</f>
        <v/>
      </c>
      <c r="L9" s="27" t="str">
        <f>IF(OR(C9="",K9="",K9=0),"",C9/K9-1)</f>
        <v/>
      </c>
      <c r="M9" s="27" t="str">
        <f>IF(OR(D9="",K9="",K9=0),"",D9/K9-1)</f>
        <v/>
      </c>
      <c r="N9" s="27" t="str">
        <f>IF(OR(E9="",K9="",K9=0),"",E9/K9-1)</f>
        <v/>
      </c>
      <c r="O9" s="28" t="str">
        <f>IF(C9="","",ROUND(C9/'01_현장조건'!$B$12,0))</f>
        <v/>
      </c>
      <c r="P9" s="28" t="str">
        <f>IF(D9="","",ROUND(D9/'01_현장조건'!$B$12,0))</f>
        <v/>
      </c>
      <c r="Q9" s="28" t="str">
        <f>IF(E9="","",ROUND(E9/'01_현장조건'!$B$12,0))</f>
        <v/>
      </c>
      <c r="R9" s="29" t="str">
        <f t="shared" si="0"/>
        <v/>
      </c>
      <c r="S9" s="29" t="str">
        <f t="shared" si="0"/>
        <v/>
      </c>
      <c r="T9" s="29" t="str">
        <f t="shared" si="0"/>
        <v/>
      </c>
    </row>
    <row r="10" spans="1:20" x14ac:dyDescent="0.3">
      <c r="B10" s="30" t="s">
        <v>183</v>
      </c>
      <c r="C10" s="31">
        <f>IF(COUNT(C7:C9)=0,"",SUM(C7:C9))</f>
        <v>73637</v>
      </c>
      <c r="D10" s="31">
        <f>IF(COUNT(D7:D9)=0,"",SUM(D7:D9))</f>
        <v>72865</v>
      </c>
      <c r="E10" s="31">
        <f>IF(COUNT(E7:E9)=0,"",SUM(E7:E9))</f>
        <v>73313.8</v>
      </c>
      <c r="F10" s="32">
        <f>IF(OR(D10="",E10=""),"",E10-D10)</f>
        <v>448.80000000000291</v>
      </c>
      <c r="G10" s="33">
        <f>IF(OR(F10="",D10=0),"",F10/D10)</f>
        <v>6.1593357579085009E-3</v>
      </c>
      <c r="H10" s="30" t="str">
        <f>IF(G10="","",IF(ABS(G10)&lt;='01_현장조건'!$B$31,"적합",IF(ABS(G10)&lt;='01_현장조건'!$B$32,"검토","부적합")))</f>
        <v>적합</v>
      </c>
      <c r="I10" s="32">
        <f>IF(OR(C10="",E10=""),"",E10-C10)</f>
        <v>-323.19999999999709</v>
      </c>
      <c r="J10" s="33">
        <f>IF(OR(I10="",C10=0),"",I10/C10)</f>
        <v>-4.3890978719936594E-3</v>
      </c>
      <c r="K10" s="31">
        <f>IF(COUNT(K7:K9)=0,"",SUM(K7:K9))</f>
        <v>67426.69</v>
      </c>
      <c r="L10" s="34">
        <f>IF(OR(C10="",K10="",K10=0),"",C10/K10-1)</f>
        <v>9.2104625037948695E-2</v>
      </c>
      <c r="M10" s="34">
        <f>IF(OR(D10="",K10="",K10=0),"",D10/K10-1)</f>
        <v>8.0655153026197857E-2</v>
      </c>
      <c r="N10" s="34">
        <f>IF(OR(E10="",K10="",K10=0),"",E10/K10-1)</f>
        <v>8.7311270952200148E-2</v>
      </c>
      <c r="O10" s="35">
        <f t="shared" ref="O10:T10" si="1">IF(COUNT(O7:O9)=0,"",SUM(O7:O9))</f>
        <v>30992</v>
      </c>
      <c r="P10" s="35">
        <f t="shared" si="1"/>
        <v>30667</v>
      </c>
      <c r="Q10" s="35">
        <f t="shared" si="1"/>
        <v>30856</v>
      </c>
      <c r="R10" s="36">
        <f t="shared" si="1"/>
        <v>5067.1149999999998</v>
      </c>
      <c r="S10" s="36">
        <f t="shared" si="1"/>
        <v>5192.415</v>
      </c>
      <c r="T10" s="36">
        <f t="shared" si="1"/>
        <v>5107.6350000000002</v>
      </c>
    </row>
    <row r="11" spans="1:20" x14ac:dyDescent="0.3">
      <c r="B11" s="2" t="s">
        <v>184</v>
      </c>
    </row>
    <row r="13" spans="1:20" x14ac:dyDescent="0.3">
      <c r="B13" s="100" t="str">
        <f>'01_현장조건'!C$3</f>
        <v>남원주1차</v>
      </c>
      <c r="C13" s="95"/>
      <c r="D13" s="95"/>
      <c r="E13" s="96"/>
      <c r="F13" s="99" t="str">
        <f>"지역 "&amp;'01_현장조건'!C$4&amp;"  |  "&amp;IF(AND('01_현장조건'!C$13="",'01_현장조건'!C$16=""),"두께 미입력","직접 "&amp;'01_현장조건'!C$13&amp;"+"&amp;'01_현장조건'!C$14&amp;"T / 간접 "&amp;'01_현장조건'!C$16&amp;"+"&amp;'01_현장조건'!C$17&amp;"T")&amp;"  |  "&amp;'01_현장조건'!C$5&amp;" "&amp;'01_현장조건'!C$6&amp;"  |  판 "&amp;'01_현장조건'!C$10&amp;"×"&amp;'01_현장조건'!C$11&amp;"  |  "&amp;'01_현장조건'!C$19</f>
        <v>지역 중부1  |  직접 90+50T / 간접 50+50T  |  401~405동 전 타입 전체 900세대  |  판 1000×2600  |  물량 최소</v>
      </c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6"/>
    </row>
    <row r="14" spans="1:20" x14ac:dyDescent="0.3">
      <c r="B14" s="22" t="s">
        <v>170</v>
      </c>
      <c r="C14" s="98" t="s">
        <v>400</v>
      </c>
      <c r="D14" s="95"/>
      <c r="E14" s="96"/>
      <c r="F14" s="98" t="s">
        <v>398</v>
      </c>
      <c r="G14" s="95"/>
      <c r="H14" s="96"/>
      <c r="I14" s="98" t="s">
        <v>399</v>
      </c>
      <c r="J14" s="96"/>
      <c r="K14" s="22" t="s">
        <v>172</v>
      </c>
      <c r="L14" s="98" t="s">
        <v>173</v>
      </c>
      <c r="M14" s="95"/>
      <c r="N14" s="96"/>
      <c r="O14" s="98" t="s">
        <v>174</v>
      </c>
      <c r="P14" s="95"/>
      <c r="Q14" s="96"/>
      <c r="R14" s="98" t="s">
        <v>175</v>
      </c>
      <c r="S14" s="95"/>
      <c r="T14" s="96"/>
    </row>
    <row r="15" spans="1:20" x14ac:dyDescent="0.3">
      <c r="B15" s="9" t="s">
        <v>176</v>
      </c>
      <c r="C15" s="9" t="s">
        <v>8</v>
      </c>
      <c r="D15" s="9" t="s">
        <v>10</v>
      </c>
      <c r="E15" s="9" t="s">
        <v>177</v>
      </c>
      <c r="F15" s="9" t="s">
        <v>178</v>
      </c>
      <c r="G15" s="9" t="s">
        <v>179</v>
      </c>
      <c r="H15" s="9" t="s">
        <v>180</v>
      </c>
      <c r="I15" s="9" t="s">
        <v>178</v>
      </c>
      <c r="J15" s="9" t="s">
        <v>181</v>
      </c>
      <c r="K15" s="9" t="s">
        <v>182</v>
      </c>
      <c r="L15" s="9" t="s">
        <v>8</v>
      </c>
      <c r="M15" s="9" t="s">
        <v>10</v>
      </c>
      <c r="N15" s="9" t="s">
        <v>177</v>
      </c>
      <c r="O15" s="9" t="s">
        <v>8</v>
      </c>
      <c r="P15" s="9" t="s">
        <v>10</v>
      </c>
      <c r="Q15" s="9" t="s">
        <v>177</v>
      </c>
      <c r="R15" s="9" t="s">
        <v>8</v>
      </c>
      <c r="S15" s="9" t="s">
        <v>10</v>
      </c>
      <c r="T15" s="9" t="s">
        <v>177</v>
      </c>
    </row>
    <row r="16" spans="1:20" x14ac:dyDescent="0.3">
      <c r="B16" s="23">
        <f>IF('01_현장조건'!C$23="","",'01_현장조건'!C$23)</f>
        <v>90</v>
      </c>
      <c r="C16" s="24">
        <f>IF($B16="","",IF(SUMPRODUCT(('02_산출입력'!$B$5:$B$52=$B$13)*('02_산출입력'!$F$5:$F$52=$B16)*ISNUMBER('02_산출입력'!$P$5:$P$52))=0,"",SUMIFS('02_산출입력'!$P$5:$P$52,'02_산출입력'!$B$5:$B$52,$B$13,'02_산출입력'!$F$5:$F$52,$B16)))</f>
        <v>54657</v>
      </c>
      <c r="D16" s="24">
        <f>IF($B16="","",IF(SUMPRODUCT(('02_산출입력'!$B$5:$B$52=$B$13)*('02_산출입력'!$F$5:$F$52=$B16)*ISNUMBER('02_산출입력'!$Q$5:$Q$52))=0,"",SUMIFS('02_산출입력'!$Q$5:$Q$52,'02_산출입력'!$B$5:$B$52,$B$13,'02_산출입력'!$F$5:$F$52,$B16)))</f>
        <v>56829</v>
      </c>
      <c r="E16" s="24">
        <f>IF($B16="","",IF(SUMPRODUCT(('02_산출입력'!$B$5:$B$52=$B$13)*('02_산출입력'!$F$5:$F$52=$B16)*ISNUMBER('02_산출입력'!$R$5:$R$52))=0,"",SUMIFS('02_산출입력'!$R$5:$R$52,'02_산출입력'!$B$5:$B$52,$B$13,'02_산출입력'!$F$5:$F$52,$B16)))</f>
        <v>54272.4</v>
      </c>
      <c r="F16" s="25">
        <f>IF(OR(D16="",E16=""),"",E16-D16)</f>
        <v>-2556.5999999999985</v>
      </c>
      <c r="G16" s="26">
        <f>IF(OR(F16="",D16=0),"",F16/D16)</f>
        <v>-4.4987594362033444E-2</v>
      </c>
      <c r="H16" s="11" t="str">
        <f>IF(G16="","",IF(ABS(G16)&lt;='01_현장조건'!$B$31,"적합",IF(ABS(G16)&lt;='01_현장조건'!$B$32,"검토","부적합")))</f>
        <v>검토</v>
      </c>
      <c r="I16" s="25">
        <f>IF(OR(C16="",E16=""),"",E16-C16)</f>
        <v>-384.59999999999854</v>
      </c>
      <c r="J16" s="26">
        <f>IF(OR(I16="",C16=0),"",I16/C16)</f>
        <v>-7.0366101322794621E-3</v>
      </c>
      <c r="K16" s="24">
        <f>IF($B16="","",IF(SUMPRODUCT(('02_산출입력'!$B$5:$B$52=$B$13)*('02_산출입력'!$F$5:$F$52=$B16)*ISNUMBER('02_산출입력'!$S$5:$S$52))=0,"",SUMIFS('02_산출입력'!$S$5:$S$52,'02_산출입력'!$B$5:$B$52,$B$13,'02_산출입력'!$F$5:$F$52,$B16)))</f>
        <v>50761.72</v>
      </c>
      <c r="L16" s="27">
        <f>IF(OR(C16="",K16="",K16=0),"",C16/K16-1)</f>
        <v>7.673656448205457E-2</v>
      </c>
      <c r="M16" s="27">
        <f>IF(OR(D16="",K16="",K16=0),"",D16/K16-1)</f>
        <v>0.11952471271659038</v>
      </c>
      <c r="N16" s="27">
        <f>IF(OR(E16="",K16="",K16=0),"",E16/K16-1)</f>
        <v>6.9159989062624438E-2</v>
      </c>
      <c r="O16" s="28">
        <f>IF(C16="","",ROUND(C16/'01_현장조건'!$C$12,0))</f>
        <v>21022</v>
      </c>
      <c r="P16" s="28">
        <f>IF(D16="","",ROUND(D16/'01_현장조건'!$C$12,0))</f>
        <v>21857</v>
      </c>
      <c r="Q16" s="28">
        <f>IF(E16="","",ROUND(E16/'01_현장조건'!$C$12,0))</f>
        <v>20874</v>
      </c>
      <c r="R16" s="29">
        <f t="shared" ref="R16:T18" si="2">IF(C16="","",C16*$B16/1000)</f>
        <v>4919.13</v>
      </c>
      <c r="S16" s="29">
        <f t="shared" si="2"/>
        <v>5114.6099999999997</v>
      </c>
      <c r="T16" s="29">
        <f t="shared" si="2"/>
        <v>4884.5159999999996</v>
      </c>
    </row>
    <row r="17" spans="2:20" x14ac:dyDescent="0.3">
      <c r="B17" s="23">
        <f>IF('01_현장조건'!C$24="","",'01_현장조건'!C$24)</f>
        <v>50</v>
      </c>
      <c r="C17" s="24">
        <f>IF($B17="","",IF(SUMPRODUCT(('02_산출입력'!$B$5:$B$52=$B$13)*('02_산출입력'!$F$5:$F$52=$B17)*ISNUMBER('02_산출입력'!$P$5:$P$52))=0,"",SUMIFS('02_산출입력'!$P$5:$P$52,'02_산출입력'!$B$5:$B$52,$B$13,'02_산출입력'!$F$5:$F$52,$B17)))</f>
        <v>119761</v>
      </c>
      <c r="D17" s="24">
        <f>IF($B17="","",IF(SUMPRODUCT(('02_산출입력'!$B$5:$B$52=$B$13)*('02_산출입력'!$F$5:$F$52=$B17)*ISNUMBER('02_산출입력'!$Q$5:$Q$52))=0,"",SUMIFS('02_산출입력'!$Q$5:$Q$52,'02_산출입력'!$B$5:$B$52,$B$13,'02_산출입력'!$F$5:$F$52,$B17)))</f>
        <v>114109</v>
      </c>
      <c r="E17" s="24">
        <f>IF($B17="","",IF(SUMPRODUCT(('02_산출입력'!$B$5:$B$52=$B$13)*('02_산출입력'!$F$5:$F$52=$B17)*ISNUMBER('02_산출입력'!$R$5:$R$52))=0,"",SUMIFS('02_산출입력'!$R$5:$R$52,'02_산출입력'!$B$5:$B$52,$B$13,'02_산출입력'!$F$5:$F$52,$B17)))</f>
        <v>117065</v>
      </c>
      <c r="F17" s="25">
        <f>IF(OR(D17="",E17=""),"",E17-D17)</f>
        <v>2956</v>
      </c>
      <c r="G17" s="26">
        <f>IF(OR(F17="",D17=0),"",F17/D17)</f>
        <v>2.5905055692364318E-2</v>
      </c>
      <c r="H17" s="11" t="str">
        <f>IF(G17="","",IF(ABS(G17)&lt;='01_현장조건'!$B$31,"적합",IF(ABS(G17)&lt;='01_현장조건'!$B$32,"검토","부적합")))</f>
        <v>적합</v>
      </c>
      <c r="I17" s="25">
        <f>IF(OR(C17="",E17=""),"",E17-C17)</f>
        <v>-2696</v>
      </c>
      <c r="J17" s="26">
        <f>IF(OR(I17="",C17=0),"",I17/C17)</f>
        <v>-2.2511502074965974E-2</v>
      </c>
      <c r="K17" s="24">
        <f>IF($B17="","",IF(SUMPRODUCT(('02_산출입력'!$B$5:$B$52=$B$13)*('02_산출입력'!$F$5:$F$52=$B17)*ISNUMBER('02_산출입력'!$S$5:$S$52))=0,"",SUMIFS('02_산출입력'!$S$5:$S$52,'02_산출입력'!$B$5:$B$52,$B$13,'02_산출입력'!$F$5:$F$52,$B17)))</f>
        <v>106128.21</v>
      </c>
      <c r="L17" s="27">
        <f>IF(OR(C17="",K17="",K17=0),"",C17/K17-1)</f>
        <v>0.12845585542241778</v>
      </c>
      <c r="M17" s="27">
        <f>IF(OR(D17="",K17="",K17=0),"",D17/K17-1)</f>
        <v>7.5199515755518753E-2</v>
      </c>
      <c r="N17" s="27">
        <f>IF(OR(E17="",K17="",K17=0),"",E17/K17-1)</f>
        <v>0.1030526190915686</v>
      </c>
      <c r="O17" s="28">
        <f>IF(C17="","",ROUND(C17/'01_현장조건'!$C$12,0))</f>
        <v>46062</v>
      </c>
      <c r="P17" s="28">
        <f>IF(D17="","",ROUND(D17/'01_현장조건'!$C$12,0))</f>
        <v>43888</v>
      </c>
      <c r="Q17" s="28">
        <f>IF(E17="","",ROUND(E17/'01_현장조건'!$C$12,0))</f>
        <v>45025</v>
      </c>
      <c r="R17" s="29">
        <f t="shared" si="2"/>
        <v>5988.05</v>
      </c>
      <c r="S17" s="29">
        <f t="shared" si="2"/>
        <v>5705.45</v>
      </c>
      <c r="T17" s="29">
        <f t="shared" si="2"/>
        <v>5853.25</v>
      </c>
    </row>
    <row r="18" spans="2:20" x14ac:dyDescent="0.3">
      <c r="B18" s="23" t="str">
        <f>IF('01_현장조건'!C$25="","",'01_현장조건'!C$25)</f>
        <v/>
      </c>
      <c r="C18" s="24" t="str">
        <f>IF($B18="","",IF(SUMPRODUCT(('02_산출입력'!$B$5:$B$52=$B$13)*('02_산출입력'!$F$5:$F$52=$B18)*ISNUMBER('02_산출입력'!$P$5:$P$52))=0,"",SUMIFS('02_산출입력'!$P$5:$P$52,'02_산출입력'!$B$5:$B$52,$B$13,'02_산출입력'!$F$5:$F$52,$B18)))</f>
        <v/>
      </c>
      <c r="D18" s="24" t="str">
        <f>IF($B18="","",IF(SUMPRODUCT(('02_산출입력'!$B$5:$B$52=$B$13)*('02_산출입력'!$F$5:$F$52=$B18)*ISNUMBER('02_산출입력'!$Q$5:$Q$52))=0,"",SUMIFS('02_산출입력'!$Q$5:$Q$52,'02_산출입력'!$B$5:$B$52,$B$13,'02_산출입력'!$F$5:$F$52,$B18)))</f>
        <v/>
      </c>
      <c r="E18" s="24" t="str">
        <f>IF($B18="","",IF(SUMPRODUCT(('02_산출입력'!$B$5:$B$52=$B$13)*('02_산출입력'!$F$5:$F$52=$B18)*ISNUMBER('02_산출입력'!$R$5:$R$52))=0,"",SUMIFS('02_산출입력'!$R$5:$R$52,'02_산출입력'!$B$5:$B$52,$B$13,'02_산출입력'!$F$5:$F$52,$B18)))</f>
        <v/>
      </c>
      <c r="F18" s="25" t="str">
        <f>IF(OR(D18="",E18=""),"",E18-D18)</f>
        <v/>
      </c>
      <c r="G18" s="26" t="str">
        <f>IF(OR(F18="",D18=0),"",F18/D18)</f>
        <v/>
      </c>
      <c r="H18" s="11" t="str">
        <f>IF(G18="","",IF(ABS(G18)&lt;='01_현장조건'!$B$31,"적합",IF(ABS(G18)&lt;='01_현장조건'!$B$32,"검토","부적합")))</f>
        <v/>
      </c>
      <c r="I18" s="25" t="str">
        <f>IF(OR(C18="",E18=""),"",E18-C18)</f>
        <v/>
      </c>
      <c r="J18" s="26" t="str">
        <f>IF(OR(I18="",C18=0),"",I18/C18)</f>
        <v/>
      </c>
      <c r="K18" s="24" t="str">
        <f>IF($B18="","",IF(SUMPRODUCT(('02_산출입력'!$B$5:$B$52=$B$13)*('02_산출입력'!$F$5:$F$52=$B18)*ISNUMBER('02_산출입력'!$S$5:$S$52))=0,"",SUMIFS('02_산출입력'!$S$5:$S$52,'02_산출입력'!$B$5:$B$52,$B$13,'02_산출입력'!$F$5:$F$52,$B18)))</f>
        <v/>
      </c>
      <c r="L18" s="27" t="str">
        <f>IF(OR(C18="",K18="",K18=0),"",C18/K18-1)</f>
        <v/>
      </c>
      <c r="M18" s="27" t="str">
        <f>IF(OR(D18="",K18="",K18=0),"",D18/K18-1)</f>
        <v/>
      </c>
      <c r="N18" s="27" t="str">
        <f>IF(OR(E18="",K18="",K18=0),"",E18/K18-1)</f>
        <v/>
      </c>
      <c r="O18" s="28" t="str">
        <f>IF(C18="","",ROUND(C18/'01_현장조건'!$C$12,0))</f>
        <v/>
      </c>
      <c r="P18" s="28" t="str">
        <f>IF(D18="","",ROUND(D18/'01_현장조건'!$C$12,0))</f>
        <v/>
      </c>
      <c r="Q18" s="28" t="str">
        <f>IF(E18="","",ROUND(E18/'01_현장조건'!$C$12,0))</f>
        <v/>
      </c>
      <c r="R18" s="29" t="str">
        <f t="shared" si="2"/>
        <v/>
      </c>
      <c r="S18" s="29" t="str">
        <f t="shared" si="2"/>
        <v/>
      </c>
      <c r="T18" s="29" t="str">
        <f t="shared" si="2"/>
        <v/>
      </c>
    </row>
    <row r="19" spans="2:20" x14ac:dyDescent="0.3">
      <c r="B19" s="30" t="s">
        <v>183</v>
      </c>
      <c r="C19" s="31">
        <f>IF(COUNT(C16:C18)=0,"",SUM(C16:C18))</f>
        <v>174418</v>
      </c>
      <c r="D19" s="31">
        <f>IF(COUNT(D16:D18)=0,"",SUM(D16:D18))</f>
        <v>170938</v>
      </c>
      <c r="E19" s="31">
        <f>IF(COUNT(E16:E18)=0,"",SUM(E16:E18))</f>
        <v>171337.4</v>
      </c>
      <c r="F19" s="32">
        <f>IF(OR(D19="",E19=""),"",E19-D19)</f>
        <v>399.39999999999418</v>
      </c>
      <c r="G19" s="33">
        <f>IF(OR(F19="",D19=0),"",F19/D19)</f>
        <v>2.3365196737998232E-3</v>
      </c>
      <c r="H19" s="30" t="str">
        <f>IF(G19="","",IF(ABS(G19)&lt;='01_현장조건'!$B$31,"적합",IF(ABS(G19)&lt;='01_현장조건'!$B$32,"검토","부적합")))</f>
        <v>적합</v>
      </c>
      <c r="I19" s="32">
        <f>IF(OR(C19="",E19=""),"",E19-C19)</f>
        <v>-3080.6000000000058</v>
      </c>
      <c r="J19" s="33">
        <f>IF(OR(I19="",C19=0),"",I19/C19)</f>
        <v>-1.7662167895515404E-2</v>
      </c>
      <c r="K19" s="31">
        <f>IF(COUNT(K16:K18)=0,"",SUM(K16:K18))</f>
        <v>156889.93</v>
      </c>
      <c r="L19" s="34">
        <f>IF(OR(C19="",K19="",K19=0),"",C19/K19-1)</f>
        <v>0.1117220843938167</v>
      </c>
      <c r="M19" s="34">
        <f>IF(OR(D19="",K19="",K19=0),"",D19/K19-1)</f>
        <v>8.954092847131756E-2</v>
      </c>
      <c r="N19" s="34">
        <f>IF(OR(E19="",K19="",K19=0),"",E19/K19-1)</f>
        <v>9.208666228610074E-2</v>
      </c>
      <c r="O19" s="35">
        <f t="shared" ref="O19:T19" si="3">IF(COUNT(O16:O18)=0,"",SUM(O16:O18))</f>
        <v>67084</v>
      </c>
      <c r="P19" s="35">
        <f t="shared" si="3"/>
        <v>65745</v>
      </c>
      <c r="Q19" s="35">
        <f t="shared" si="3"/>
        <v>65899</v>
      </c>
      <c r="R19" s="36">
        <f t="shared" si="3"/>
        <v>10907.18</v>
      </c>
      <c r="S19" s="36">
        <f t="shared" si="3"/>
        <v>10820.06</v>
      </c>
      <c r="T19" s="36">
        <f t="shared" si="3"/>
        <v>10737.766</v>
      </c>
    </row>
    <row r="20" spans="2:20" x14ac:dyDescent="0.3">
      <c r="B20" s="2" t="s">
        <v>184</v>
      </c>
    </row>
    <row r="22" spans="2:20" x14ac:dyDescent="0.3">
      <c r="B22" s="100" t="str">
        <f>'01_현장조건'!D$3</f>
        <v>세종2차</v>
      </c>
      <c r="C22" s="95"/>
      <c r="D22" s="95"/>
      <c r="E22" s="96"/>
      <c r="F22" s="99" t="str">
        <f>"지역 "&amp;'01_현장조건'!D$4&amp;"  |  "&amp;IF(AND('01_현장조건'!D$13="",'01_현장조건'!D$16=""),"두께 미입력","직접 "&amp;'01_현장조건'!D$13&amp;"+"&amp;'01_현장조건'!D$14&amp;"T / 간접 "&amp;'01_현장조건'!D$16&amp;"+"&amp;'01_현장조건'!D$17&amp;"T")&amp;"  |  "&amp;'01_현장조건'!D$5&amp;" "&amp;'01_현장조건'!D$6&amp;"  |  판 "&amp;'01_현장조건'!D$10&amp;"×"&amp;'01_현장조건'!D$11&amp;"  |  "&amp;'01_현장조건'!D$19</f>
        <v>지역 중부2  |  직접 70+70T / 간접 70+40T  |  59타입 105~112동 + 84타입 1~22동 전체 1,110세대 (59 320 + 84 790)  |  판 1000×2690  |  물량 최소</v>
      </c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6"/>
    </row>
    <row r="23" spans="2:20" x14ac:dyDescent="0.3">
      <c r="B23" s="22" t="s">
        <v>170</v>
      </c>
      <c r="C23" s="98" t="s">
        <v>171</v>
      </c>
      <c r="D23" s="95"/>
      <c r="E23" s="96"/>
      <c r="F23" s="98" t="s">
        <v>398</v>
      </c>
      <c r="G23" s="95"/>
      <c r="H23" s="96"/>
      <c r="I23" s="98" t="s">
        <v>399</v>
      </c>
      <c r="J23" s="96"/>
      <c r="K23" s="22" t="s">
        <v>172</v>
      </c>
      <c r="L23" s="98" t="s">
        <v>173</v>
      </c>
      <c r="M23" s="95"/>
      <c r="N23" s="96"/>
      <c r="O23" s="98" t="s">
        <v>174</v>
      </c>
      <c r="P23" s="95"/>
      <c r="Q23" s="96"/>
      <c r="R23" s="98" t="s">
        <v>175</v>
      </c>
      <c r="S23" s="95"/>
      <c r="T23" s="96"/>
    </row>
    <row r="24" spans="2:20" x14ac:dyDescent="0.3">
      <c r="B24" s="9" t="s">
        <v>176</v>
      </c>
      <c r="C24" s="9" t="s">
        <v>8</v>
      </c>
      <c r="D24" s="9" t="s">
        <v>10</v>
      </c>
      <c r="E24" s="9" t="s">
        <v>177</v>
      </c>
      <c r="F24" s="9" t="s">
        <v>178</v>
      </c>
      <c r="G24" s="9" t="s">
        <v>179</v>
      </c>
      <c r="H24" s="9" t="s">
        <v>180</v>
      </c>
      <c r="I24" s="9" t="s">
        <v>178</v>
      </c>
      <c r="J24" s="9" t="s">
        <v>181</v>
      </c>
      <c r="K24" s="9" t="s">
        <v>182</v>
      </c>
      <c r="L24" s="9" t="s">
        <v>8</v>
      </c>
      <c r="M24" s="9" t="s">
        <v>10</v>
      </c>
      <c r="N24" s="9" t="s">
        <v>177</v>
      </c>
      <c r="O24" s="9" t="s">
        <v>8</v>
      </c>
      <c r="P24" s="9" t="s">
        <v>10</v>
      </c>
      <c r="Q24" s="9" t="s">
        <v>177</v>
      </c>
      <c r="R24" s="9" t="s">
        <v>8</v>
      </c>
      <c r="S24" s="9" t="s">
        <v>10</v>
      </c>
      <c r="T24" s="9" t="s">
        <v>177</v>
      </c>
    </row>
    <row r="25" spans="2:20" x14ac:dyDescent="0.3">
      <c r="B25" s="23">
        <f>IF('01_현장조건'!D$23="","",'01_현장조건'!D$23)</f>
        <v>70</v>
      </c>
      <c r="C25" s="24">
        <f>IF($B25="","",IF(SUMPRODUCT(('02_산출입력'!$B$5:$B$52=$B$22)*('02_산출입력'!$F$5:$F$52=$B25)*ISNUMBER('02_산출입력'!$P$5:$P$52))=0,"",SUMIFS('02_산출입력'!$P$5:$P$52,'02_산출입력'!$B$5:$B$52,$B$22,'02_산출입력'!$F$5:$F$52,$B25)))</f>
        <v>170936</v>
      </c>
      <c r="D25" s="24">
        <f>IF($B25="","",IF(SUMPRODUCT(('02_산출입력'!$B$5:$B$52=$B$22)*('02_산출입력'!$F$5:$F$52=$B25)*ISNUMBER('02_산출입력'!$Q$5:$Q$52))=0,"",SUMIFS('02_산출입력'!$Q$5:$Q$52,'02_산출입력'!$B$5:$B$52,$B$22,'02_산출입력'!$F$5:$F$52,$B25)))</f>
        <v>170936</v>
      </c>
      <c r="E25" s="24">
        <f>IF($B25="","",IF(SUMPRODUCT(('02_산출입력'!$B$5:$B$52=$B$22)*('02_산출입력'!$F$5:$F$52=$B25)*ISNUMBER('02_산출입력'!$R$5:$R$52))=0,"",SUMIFS('02_산출입력'!$R$5:$R$52,'02_산출입력'!$B$5:$B$52,$B$22,'02_산출입력'!$F$5:$F$52,$B25)))</f>
        <v>174034.93</v>
      </c>
      <c r="F25" s="25">
        <f>IF(OR(D25="",E25=""),"",E25-D25)</f>
        <v>3098.929999999993</v>
      </c>
      <c r="G25" s="26">
        <f>IF(OR(F25="",D25=0),"",F25/D25)</f>
        <v>1.812918285206155E-2</v>
      </c>
      <c r="H25" s="11" t="str">
        <f>IF(G25="","",IF(ABS(G25)&lt;='01_현장조건'!$B$31,"적합",IF(ABS(G25)&lt;='01_현장조건'!$B$32,"검토","부적합")))</f>
        <v>적합</v>
      </c>
      <c r="I25" s="25">
        <f>IF(OR(C25="",E25=""),"",E25-C25)</f>
        <v>3098.929999999993</v>
      </c>
      <c r="J25" s="26">
        <f>IF(OR(I25="",C25=0),"",I25/C25)</f>
        <v>1.812918285206155E-2</v>
      </c>
      <c r="K25" s="24">
        <f>IF($B25="","",IF(SUMPRODUCT(('02_산출입력'!$B$5:$B$52=$B$22)*('02_산출입력'!$F$5:$F$52=$B25)*ISNUMBER('02_산출입력'!$S$5:$S$52))=0,"",SUMIFS('02_산출입력'!$S$5:$S$52,'02_산출입력'!$B$5:$B$52,$B$22,'02_산출입력'!$F$5:$F$52,$B25)))</f>
        <v>163636.09</v>
      </c>
      <c r="L25" s="27">
        <f>IF(OR(C25="",K25="",K25=0),"",C25/K25-1)</f>
        <v>4.4610635710007562E-2</v>
      </c>
      <c r="M25" s="27">
        <f>IF(OR(D25="",K25="",K25=0),"",D25/K25-1)</f>
        <v>4.4610635710007562E-2</v>
      </c>
      <c r="N25" s="27">
        <f>IF(OR(E25="",K25="",K25=0),"",E25/K25-1)</f>
        <v>6.3548572934002401E-2</v>
      </c>
      <c r="O25" s="28">
        <f>IF(C25="","",ROUND(C25/'01_현장조건'!$D$12,0))</f>
        <v>63545</v>
      </c>
      <c r="P25" s="28">
        <f>IF(D25="","",ROUND(D25/'01_현장조건'!$D$12,0))</f>
        <v>63545</v>
      </c>
      <c r="Q25" s="28">
        <f>IF(E25="","",ROUND(E25/'01_현장조건'!$D$12,0))</f>
        <v>64697</v>
      </c>
      <c r="R25" s="29">
        <f t="shared" ref="R25:T27" si="4">IF(C25="","",C25*$B25/1000)</f>
        <v>11965.52</v>
      </c>
      <c r="S25" s="29">
        <f t="shared" si="4"/>
        <v>11965.52</v>
      </c>
      <c r="T25" s="29">
        <f t="shared" si="4"/>
        <v>12182.445099999999</v>
      </c>
    </row>
    <row r="26" spans="2:20" x14ac:dyDescent="0.3">
      <c r="B26" s="23">
        <f>IF('01_현장조건'!D$24="","",'01_현장조건'!D$24)</f>
        <v>40</v>
      </c>
      <c r="C26" s="24">
        <f>IF($B26="","",IF(SUMPRODUCT(('02_산출입력'!$B$5:$B$52=$B$22)*('02_산출입력'!$F$5:$F$52=$B26)*ISNUMBER('02_산출입력'!$P$5:$P$52))=0,"",SUMIFS('02_산출입력'!$P$5:$P$52,'02_산출입력'!$B$5:$B$52,$B$22,'02_산출입력'!$F$5:$F$52,$B26)))</f>
        <v>42716</v>
      </c>
      <c r="D26" s="24">
        <f>IF($B26="","",IF(SUMPRODUCT(('02_산출입력'!$B$5:$B$52=$B$22)*('02_산출입력'!$F$5:$F$52=$B26)*ISNUMBER('02_산출입력'!$Q$5:$Q$52))=0,"",SUMIFS('02_산출입력'!$Q$5:$Q$52,'02_산출입력'!$B$5:$B$52,$B$22,'02_산출입력'!$F$5:$F$52,$B26)))</f>
        <v>42716</v>
      </c>
      <c r="E26" s="24">
        <f>IF($B26="","",IF(SUMPRODUCT(('02_산출입력'!$B$5:$B$52=$B$22)*('02_산출입력'!$F$5:$F$52=$B26)*ISNUMBER('02_산출입력'!$R$5:$R$52))=0,"",SUMIFS('02_산출입력'!$R$5:$R$52,'02_산출입력'!$B$5:$B$52,$B$22,'02_산출입력'!$F$5:$F$52,$B26)))</f>
        <v>41229.629999999997</v>
      </c>
      <c r="F26" s="25">
        <f>IF(OR(D26="",E26=""),"",E26-D26)</f>
        <v>-1486.3700000000026</v>
      </c>
      <c r="G26" s="26">
        <f>IF(OR(F26="",D26=0),"",F26/D26)</f>
        <v>-3.4796563348628212E-2</v>
      </c>
      <c r="H26" s="11" t="str">
        <f>IF(G26="","",IF(ABS(G26)&lt;='01_현장조건'!$B$31,"적합",IF(ABS(G26)&lt;='01_현장조건'!$B$32,"검토","부적합")))</f>
        <v>검토</v>
      </c>
      <c r="I26" s="25">
        <f>IF(OR(C26="",E26=""),"",E26-C26)</f>
        <v>-1486.3700000000026</v>
      </c>
      <c r="J26" s="26">
        <f>IF(OR(I26="",C26=0),"",I26/C26)</f>
        <v>-3.4796563348628212E-2</v>
      </c>
      <c r="K26" s="24">
        <f>IF($B26="","",IF(SUMPRODUCT(('02_산출입력'!$B$5:$B$52=$B$22)*('02_산출입력'!$F$5:$F$52=$B26)*ISNUMBER('02_산출입력'!$S$5:$S$52))=0,"",SUMIFS('02_산출입력'!$S$5:$S$52,'02_산출입력'!$B$5:$B$52,$B$22,'02_산출입력'!$F$5:$F$52,$B26)))</f>
        <v>34724.6</v>
      </c>
      <c r="L26" s="27">
        <f>IF(OR(C26="",K26="",K26=0),"",C26/K26-1)</f>
        <v>0.23013656024835427</v>
      </c>
      <c r="M26" s="27">
        <f>IF(OR(D26="",K26="",K26=0),"",D26/K26-1)</f>
        <v>0.23013656024835427</v>
      </c>
      <c r="N26" s="27">
        <f>IF(OR(E26="",K26="",K26=0),"",E26/K26-1)</f>
        <v>0.18733203550220878</v>
      </c>
      <c r="O26" s="28">
        <f>IF(C26="","",ROUND(C26/'01_현장조건'!$D$12,0))</f>
        <v>15880</v>
      </c>
      <c r="P26" s="28">
        <f>IF(D26="","",ROUND(D26/'01_현장조건'!$D$12,0))</f>
        <v>15880</v>
      </c>
      <c r="Q26" s="28">
        <f>IF(E26="","",ROUND(E26/'01_현장조건'!$D$12,0))</f>
        <v>15327</v>
      </c>
      <c r="R26" s="29">
        <f t="shared" si="4"/>
        <v>1708.64</v>
      </c>
      <c r="S26" s="29">
        <f t="shared" si="4"/>
        <v>1708.64</v>
      </c>
      <c r="T26" s="29">
        <f t="shared" si="4"/>
        <v>1649.1851999999999</v>
      </c>
    </row>
    <row r="27" spans="2:20" x14ac:dyDescent="0.3">
      <c r="B27" s="23" t="str">
        <f>IF('01_현장조건'!D$25="","",'01_현장조건'!D$25)</f>
        <v/>
      </c>
      <c r="C27" s="24" t="str">
        <f>IF($B27="","",IF(SUMPRODUCT(('02_산출입력'!$B$5:$B$52=$B$22)*('02_산출입력'!$F$5:$F$52=$B27)*ISNUMBER('02_산출입력'!$P$5:$P$52))=0,"",SUMIFS('02_산출입력'!$P$5:$P$52,'02_산출입력'!$B$5:$B$52,$B$22,'02_산출입력'!$F$5:$F$52,$B27)))</f>
        <v/>
      </c>
      <c r="D27" s="24" t="str">
        <f>IF($B27="","",IF(SUMPRODUCT(('02_산출입력'!$B$5:$B$52=$B$22)*('02_산출입력'!$F$5:$F$52=$B27)*ISNUMBER('02_산출입력'!$Q$5:$Q$52))=0,"",SUMIFS('02_산출입력'!$Q$5:$Q$52,'02_산출입력'!$B$5:$B$52,$B$22,'02_산출입력'!$F$5:$F$52,$B27)))</f>
        <v/>
      </c>
      <c r="E27" s="24" t="str">
        <f>IF($B27="","",IF(SUMPRODUCT(('02_산출입력'!$B$5:$B$52=$B$22)*('02_산출입력'!$F$5:$F$52=$B27)*ISNUMBER('02_산출입력'!$R$5:$R$52))=0,"",SUMIFS('02_산출입력'!$R$5:$R$52,'02_산출입력'!$B$5:$B$52,$B$22,'02_산출입력'!$F$5:$F$52,$B27)))</f>
        <v/>
      </c>
      <c r="F27" s="25" t="str">
        <f>IF(OR(D27="",E27=""),"",E27-D27)</f>
        <v/>
      </c>
      <c r="G27" s="26" t="str">
        <f>IF(OR(F27="",D27=0),"",F27/D27)</f>
        <v/>
      </c>
      <c r="H27" s="11" t="str">
        <f>IF(G27="","",IF(ABS(G27)&lt;='01_현장조건'!$B$31,"적합",IF(ABS(G27)&lt;='01_현장조건'!$B$32,"검토","부적합")))</f>
        <v/>
      </c>
      <c r="I27" s="25" t="str">
        <f>IF(OR(C27="",E27=""),"",E27-C27)</f>
        <v/>
      </c>
      <c r="J27" s="26" t="str">
        <f>IF(OR(I27="",C27=0),"",I27/C27)</f>
        <v/>
      </c>
      <c r="K27" s="24" t="str">
        <f>IF($B27="","",IF(SUMPRODUCT(('02_산출입력'!$B$5:$B$52=$B$22)*('02_산출입력'!$F$5:$F$52=$B27)*ISNUMBER('02_산출입력'!$S$5:$S$52))=0,"",SUMIFS('02_산출입력'!$S$5:$S$52,'02_산출입력'!$B$5:$B$52,$B$22,'02_산출입력'!$F$5:$F$52,$B27)))</f>
        <v/>
      </c>
      <c r="L27" s="27" t="str">
        <f>IF(OR(C27="",K27="",K27=0),"",C27/K27-1)</f>
        <v/>
      </c>
      <c r="M27" s="27" t="str">
        <f>IF(OR(D27="",K27="",K27=0),"",D27/K27-1)</f>
        <v/>
      </c>
      <c r="N27" s="27" t="str">
        <f>IF(OR(E27="",K27="",K27=0),"",E27/K27-1)</f>
        <v/>
      </c>
      <c r="O27" s="28" t="str">
        <f>IF(C27="","",ROUND(C27/'01_현장조건'!$D$12,0))</f>
        <v/>
      </c>
      <c r="P27" s="28" t="str">
        <f>IF(D27="","",ROUND(D27/'01_현장조건'!$D$12,0))</f>
        <v/>
      </c>
      <c r="Q27" s="28" t="str">
        <f>IF(E27="","",ROUND(E27/'01_현장조건'!$D$12,0))</f>
        <v/>
      </c>
      <c r="R27" s="29" t="str">
        <f t="shared" si="4"/>
        <v/>
      </c>
      <c r="S27" s="29" t="str">
        <f t="shared" si="4"/>
        <v/>
      </c>
      <c r="T27" s="29" t="str">
        <f t="shared" si="4"/>
        <v/>
      </c>
    </row>
    <row r="28" spans="2:20" x14ac:dyDescent="0.3">
      <c r="B28" s="30" t="s">
        <v>183</v>
      </c>
      <c r="C28" s="31">
        <f>IF(COUNT(C25:C27)=0,"",SUM(C25:C27))</f>
        <v>213652</v>
      </c>
      <c r="D28" s="31">
        <f>IF(COUNT(D25:D27)=0,"",SUM(D25:D27))</f>
        <v>213652</v>
      </c>
      <c r="E28" s="31">
        <f>IF(COUNT(E25:E27)=0,"",SUM(E25:E27))</f>
        <v>215264.56</v>
      </c>
      <c r="F28" s="32">
        <f>IF(OR(D28="",E28=""),"",E28-D28)</f>
        <v>1612.5599999999977</v>
      </c>
      <c r="G28" s="33">
        <f>IF(OR(F28="",D28=0),"",F28/D28)</f>
        <v>7.5476007713477884E-3</v>
      </c>
      <c r="H28" s="30" t="str">
        <f>IF(G28="","",IF(ABS(G28)&lt;='01_현장조건'!$B$31,"적합",IF(ABS(G28)&lt;='01_현장조건'!$B$32,"검토","부적합")))</f>
        <v>적합</v>
      </c>
      <c r="I28" s="32">
        <f>IF(OR(C28="",E28=""),"",E28-C28)</f>
        <v>1612.5599999999977</v>
      </c>
      <c r="J28" s="33">
        <f>IF(OR(I28="",C28=0),"",I28/C28)</f>
        <v>7.5476007713477884E-3</v>
      </c>
      <c r="K28" s="31">
        <f>IF(COUNT(K25:K27)=0,"",SUM(K25:K27))</f>
        <v>198360.69</v>
      </c>
      <c r="L28" s="34">
        <f>IF(OR(C28="",K28="",K28=0),"",C28/K28-1)</f>
        <v>7.708840899877889E-2</v>
      </c>
      <c r="M28" s="34">
        <f>IF(OR(D28="",K28="",K28=0),"",D28/K28-1)</f>
        <v>7.708840899877889E-2</v>
      </c>
      <c r="N28" s="34">
        <f>IF(OR(E28="",K28="",K28=0),"",E28/K28-1)</f>
        <v>8.5217842305347791E-2</v>
      </c>
      <c r="O28" s="35">
        <f t="shared" ref="O28:T28" si="5">IF(COUNT(O25:O27)=0,"",SUM(O25:O27))</f>
        <v>79425</v>
      </c>
      <c r="P28" s="35">
        <f t="shared" si="5"/>
        <v>79425</v>
      </c>
      <c r="Q28" s="35">
        <f t="shared" si="5"/>
        <v>80024</v>
      </c>
      <c r="R28" s="36">
        <f t="shared" si="5"/>
        <v>13674.16</v>
      </c>
      <c r="S28" s="36">
        <f t="shared" si="5"/>
        <v>13674.16</v>
      </c>
      <c r="T28" s="36">
        <f t="shared" si="5"/>
        <v>13831.630299999999</v>
      </c>
    </row>
    <row r="29" spans="2:20" x14ac:dyDescent="0.3">
      <c r="B29" s="2" t="s">
        <v>184</v>
      </c>
    </row>
  </sheetData>
  <mergeCells count="24">
    <mergeCell ref="F4:T4"/>
    <mergeCell ref="C14:E14"/>
    <mergeCell ref="O5:Q5"/>
    <mergeCell ref="F5:H5"/>
    <mergeCell ref="L14:N14"/>
    <mergeCell ref="L5:N5"/>
    <mergeCell ref="C5:E5"/>
    <mergeCell ref="B13:E13"/>
    <mergeCell ref="B4:E4"/>
    <mergeCell ref="F14:H14"/>
    <mergeCell ref="R5:T5"/>
    <mergeCell ref="R14:T14"/>
    <mergeCell ref="I5:J5"/>
    <mergeCell ref="I14:J14"/>
    <mergeCell ref="C23:E23"/>
    <mergeCell ref="F22:T22"/>
    <mergeCell ref="F13:T13"/>
    <mergeCell ref="B22:E22"/>
    <mergeCell ref="O14:Q14"/>
    <mergeCell ref="O23:Q23"/>
    <mergeCell ref="I23:J23"/>
    <mergeCell ref="R23:T23"/>
    <mergeCell ref="L23:N23"/>
    <mergeCell ref="F23:H23"/>
  </mergeCells>
  <phoneticPr fontId="13" type="noConversion"/>
  <printOptions horizontalCentered="1"/>
  <pageMargins left="0.4" right="0.4" top="1" bottom="1" header="0.5" footer="0.5"/>
  <pageSetup paperSize="8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AAC47-E7F2-4FC2-B08A-62319F9FCEAB}">
  <sheetPr>
    <tabColor rgb="FFFFFF00"/>
    <pageSetUpPr fitToPage="1"/>
  </sheetPr>
  <dimension ref="A2:Q46"/>
  <sheetViews>
    <sheetView showGridLines="0" tabSelected="1" workbookViewId="0">
      <selection activeCell="S12" sqref="S12"/>
    </sheetView>
  </sheetViews>
  <sheetFormatPr defaultRowHeight="13.5" x14ac:dyDescent="0.25"/>
  <cols>
    <col min="1" max="1" width="2.625" style="57" customWidth="1"/>
    <col min="2" max="2" width="12.625" style="57" customWidth="1"/>
    <col min="3" max="3" width="7.625" style="57" customWidth="1"/>
    <col min="4" max="4" width="10.125" style="57" hidden="1" customWidth="1"/>
    <col min="5" max="9" width="10.625" style="57" customWidth="1"/>
    <col min="10" max="16" width="12.125" style="57" customWidth="1"/>
    <col min="17" max="17" width="19.375" style="57" customWidth="1"/>
    <col min="18" max="16384" width="9" style="57"/>
  </cols>
  <sheetData>
    <row r="2" spans="1:17" ht="38.25" x14ac:dyDescent="0.25">
      <c r="A2" s="118" t="s">
        <v>394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</row>
    <row r="3" spans="1:17" ht="33.75" x14ac:dyDescent="0.25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</row>
    <row r="4" spans="1:17" ht="17.25" x14ac:dyDescent="0.3">
      <c r="B4" s="81" t="s">
        <v>395</v>
      </c>
    </row>
    <row r="5" spans="1:17" ht="20.100000000000001" customHeight="1" x14ac:dyDescent="0.25">
      <c r="B5" s="84" t="s">
        <v>371</v>
      </c>
      <c r="C5" s="84" t="s">
        <v>379</v>
      </c>
      <c r="D5" s="60" t="s">
        <v>409</v>
      </c>
      <c r="E5" s="87" t="s">
        <v>383</v>
      </c>
      <c r="F5" s="87"/>
      <c r="G5" s="87"/>
      <c r="H5" s="87"/>
      <c r="I5" s="88"/>
      <c r="J5" s="89" t="s">
        <v>407</v>
      </c>
      <c r="K5" s="87"/>
      <c r="L5" s="87"/>
      <c r="M5" s="87"/>
      <c r="N5" s="124"/>
      <c r="O5" s="119" t="s">
        <v>401</v>
      </c>
      <c r="P5" s="92"/>
      <c r="Q5" s="84" t="s">
        <v>410</v>
      </c>
    </row>
    <row r="6" spans="1:17" ht="20.100000000000001" customHeight="1" x14ac:dyDescent="0.25">
      <c r="B6" s="84"/>
      <c r="C6" s="84"/>
      <c r="D6" s="109" t="s">
        <v>408</v>
      </c>
      <c r="E6" s="84" t="s">
        <v>385</v>
      </c>
      <c r="F6" s="84" t="s">
        <v>397</v>
      </c>
      <c r="G6" s="84"/>
      <c r="H6" s="84" t="s">
        <v>372</v>
      </c>
      <c r="I6" s="90"/>
      <c r="J6" s="91" t="s">
        <v>385</v>
      </c>
      <c r="K6" s="84" t="s">
        <v>397</v>
      </c>
      <c r="L6" s="84"/>
      <c r="M6" s="84" t="s">
        <v>372</v>
      </c>
      <c r="N6" s="125"/>
      <c r="O6" s="120" t="s">
        <v>404</v>
      </c>
      <c r="P6" s="93"/>
      <c r="Q6" s="84"/>
    </row>
    <row r="7" spans="1:17" ht="27.95" customHeight="1" x14ac:dyDescent="0.25">
      <c r="B7" s="84"/>
      <c r="C7" s="84"/>
      <c r="D7" s="110"/>
      <c r="E7" s="84"/>
      <c r="F7" s="60" t="s">
        <v>380</v>
      </c>
      <c r="G7" s="60" t="s">
        <v>374</v>
      </c>
      <c r="H7" s="60" t="s">
        <v>381</v>
      </c>
      <c r="I7" s="73" t="s">
        <v>375</v>
      </c>
      <c r="J7" s="91"/>
      <c r="K7" s="60" t="s">
        <v>380</v>
      </c>
      <c r="L7" s="60" t="s">
        <v>374</v>
      </c>
      <c r="M7" s="60" t="s">
        <v>381</v>
      </c>
      <c r="N7" s="126" t="s">
        <v>375</v>
      </c>
      <c r="O7" s="82" t="s">
        <v>402</v>
      </c>
      <c r="P7" s="60" t="s">
        <v>403</v>
      </c>
      <c r="Q7" s="84"/>
    </row>
    <row r="8" spans="1:17" ht="20.100000000000001" customHeight="1" x14ac:dyDescent="0.25">
      <c r="B8" s="85" t="s">
        <v>56</v>
      </c>
      <c r="C8" s="61" t="str">
        <f>IF('03_현장별비교'!B17="","",'03_현장별비교'!B17&amp;"T")</f>
        <v>50T</v>
      </c>
      <c r="D8" s="111">
        <f>4300/2</f>
        <v>2150</v>
      </c>
      <c r="E8" s="62">
        <f>N('03_현장별비교'!O17)</f>
        <v>46062</v>
      </c>
      <c r="F8" s="62">
        <f>N('03_현장별비교'!Q17)</f>
        <v>45025</v>
      </c>
      <c r="G8" s="63">
        <f t="shared" ref="G8:G17" si="0">IF(E8=0,"-",F8/E8)</f>
        <v>0.97748686552906949</v>
      </c>
      <c r="H8" s="64">
        <f t="shared" ref="H8:H17" si="1">F8-E8</f>
        <v>-1037</v>
      </c>
      <c r="I8" s="76">
        <f t="shared" ref="I8:I17" si="2">IF(E8=0,"-",H8/E8)</f>
        <v>-2.2513134470930486E-2</v>
      </c>
      <c r="J8" s="74">
        <f>N('03_현장별비교'!C17)</f>
        <v>119761</v>
      </c>
      <c r="K8" s="62">
        <f>N('03_현장별비교'!E17)</f>
        <v>117065</v>
      </c>
      <c r="L8" s="63">
        <f t="shared" ref="L8:L17" si="3">IF(J8=0,"-",K8/J8)</f>
        <v>0.97748849792503401</v>
      </c>
      <c r="M8" s="64">
        <f t="shared" ref="M8:M17" si="4">K8-J8</f>
        <v>-2696</v>
      </c>
      <c r="N8" s="127">
        <f t="shared" ref="N8:N17" si="5">IF(J8=0,"-",M8/J8)</f>
        <v>-2.2511502074965974E-2</v>
      </c>
      <c r="O8" s="121">
        <f>N('03_현장별비교'!K17)*1.1</f>
        <v>116741.03100000002</v>
      </c>
      <c r="P8" s="108" t="s">
        <v>406</v>
      </c>
      <c r="Q8" s="112">
        <f>M8*D8</f>
        <v>-5796400</v>
      </c>
    </row>
    <row r="9" spans="1:17" ht="20.100000000000001" customHeight="1" x14ac:dyDescent="0.25">
      <c r="B9" s="85"/>
      <c r="C9" s="61" t="str">
        <f>IF('03_현장별비교'!B16="","",'03_현장별비교'!B16&amp;"T")</f>
        <v>90T</v>
      </c>
      <c r="D9" s="111">
        <v>4300</v>
      </c>
      <c r="E9" s="62">
        <f>N('03_현장별비교'!O16)</f>
        <v>21022</v>
      </c>
      <c r="F9" s="62">
        <f>N('03_현장별비교'!Q16)</f>
        <v>20874</v>
      </c>
      <c r="G9" s="63">
        <f t="shared" si="0"/>
        <v>0.99295975644562839</v>
      </c>
      <c r="H9" s="64">
        <f t="shared" si="1"/>
        <v>-148</v>
      </c>
      <c r="I9" s="76">
        <f t="shared" si="2"/>
        <v>-7.040243554371611E-3</v>
      </c>
      <c r="J9" s="74">
        <f>N('03_현장별비교'!C16)</f>
        <v>54657</v>
      </c>
      <c r="K9" s="62">
        <f>N('03_현장별비교'!E16)</f>
        <v>54272.4</v>
      </c>
      <c r="L9" s="63">
        <f t="shared" si="3"/>
        <v>0.99296338986772059</v>
      </c>
      <c r="M9" s="64">
        <f t="shared" si="4"/>
        <v>-384.59999999999854</v>
      </c>
      <c r="N9" s="127">
        <f t="shared" si="5"/>
        <v>-7.0366101322794621E-3</v>
      </c>
      <c r="O9" s="121">
        <f>N('03_현장별비교'!K16)*1.1</f>
        <v>55837.892000000007</v>
      </c>
      <c r="P9" s="106"/>
      <c r="Q9" s="112">
        <f>M9*D9</f>
        <v>-1653779.9999999937</v>
      </c>
    </row>
    <row r="10" spans="1:17" ht="20.100000000000001" customHeight="1" x14ac:dyDescent="0.25">
      <c r="B10" s="85"/>
      <c r="C10" s="69" t="s">
        <v>376</v>
      </c>
      <c r="D10" s="116" t="s">
        <v>406</v>
      </c>
      <c r="E10" s="70">
        <f>SUM(E8:E9)</f>
        <v>67084</v>
      </c>
      <c r="F10" s="70">
        <f>SUM(F8:F9)</f>
        <v>65899</v>
      </c>
      <c r="G10" s="71">
        <f t="shared" si="0"/>
        <v>0.98233557927374637</v>
      </c>
      <c r="H10" s="72">
        <f t="shared" si="1"/>
        <v>-1185</v>
      </c>
      <c r="I10" s="77">
        <f t="shared" si="2"/>
        <v>-1.7664420726253651E-2</v>
      </c>
      <c r="J10" s="75">
        <f>SUM(J8:J9)</f>
        <v>174418</v>
      </c>
      <c r="K10" s="70">
        <f>SUM(K8:K9)</f>
        <v>171337.4</v>
      </c>
      <c r="L10" s="71">
        <f t="shared" si="3"/>
        <v>0.98233783210448455</v>
      </c>
      <c r="M10" s="72">
        <f t="shared" si="4"/>
        <v>-3080.6000000000058</v>
      </c>
      <c r="N10" s="128">
        <f t="shared" si="5"/>
        <v>-1.7662167895515404E-2</v>
      </c>
      <c r="O10" s="122">
        <f>SUM(O8:O9)</f>
        <v>172578.92300000001</v>
      </c>
      <c r="P10" s="107">
        <f t="shared" ref="P10:P17" si="6">IF(OR(J10=0,O10=0),"-",O10/J10)</f>
        <v>0.98945592198052956</v>
      </c>
      <c r="Q10" s="113">
        <f>Q8+Q9</f>
        <v>-7450179.9999999935</v>
      </c>
    </row>
    <row r="11" spans="1:17" ht="20.100000000000001" customHeight="1" x14ac:dyDescent="0.25">
      <c r="B11" s="85" t="s">
        <v>55</v>
      </c>
      <c r="C11" s="61" t="str">
        <f>IF('03_현장별비교'!B8="","",'03_현장별비교'!B8&amp;"T")</f>
        <v>55T</v>
      </c>
      <c r="D11" s="111">
        <v>3080</v>
      </c>
      <c r="E11" s="62">
        <f>N('03_현장별비교'!O8)</f>
        <v>20290</v>
      </c>
      <c r="F11" s="62">
        <f>N('03_현장별비교'!Q8)</f>
        <v>19541</v>
      </c>
      <c r="G11" s="63">
        <f t="shared" si="0"/>
        <v>0.96308526367668801</v>
      </c>
      <c r="H11" s="64">
        <f t="shared" si="1"/>
        <v>-749</v>
      </c>
      <c r="I11" s="76">
        <f t="shared" si="2"/>
        <v>-3.6914736323311978E-2</v>
      </c>
      <c r="J11" s="74">
        <f>N('03_현장별비교'!C8)</f>
        <v>48210</v>
      </c>
      <c r="K11" s="62">
        <f>N('03_현장별비교'!E8)</f>
        <v>46429.4</v>
      </c>
      <c r="L11" s="63">
        <f t="shared" si="3"/>
        <v>0.96306575399294758</v>
      </c>
      <c r="M11" s="64">
        <f t="shared" si="4"/>
        <v>-1780.5999999999985</v>
      </c>
      <c r="N11" s="127">
        <f t="shared" si="5"/>
        <v>-3.6934246007052446E-2</v>
      </c>
      <c r="O11" s="121">
        <f>N('03_현장별비교'!K8)*1.1</f>
        <v>46366.463000000003</v>
      </c>
      <c r="P11" s="108" t="s">
        <v>406</v>
      </c>
      <c r="Q11" s="112">
        <f>M11*D11</f>
        <v>-5484247.9999999953</v>
      </c>
    </row>
    <row r="12" spans="1:17" ht="20.100000000000001" customHeight="1" x14ac:dyDescent="0.25">
      <c r="B12" s="85"/>
      <c r="C12" s="61" t="str">
        <f>IF('03_현장별비교'!B7="","",'03_현장별비교'!B7&amp;"T")</f>
        <v>95T</v>
      </c>
      <c r="D12" s="111">
        <v>5320</v>
      </c>
      <c r="E12" s="62">
        <f>N('03_현장별비교'!O7)</f>
        <v>10702</v>
      </c>
      <c r="F12" s="62">
        <f>N('03_현장별비교'!Q7)</f>
        <v>11315</v>
      </c>
      <c r="G12" s="63">
        <f t="shared" si="0"/>
        <v>1.0572790132685479</v>
      </c>
      <c r="H12" s="64">
        <f t="shared" si="1"/>
        <v>613</v>
      </c>
      <c r="I12" s="76">
        <f t="shared" si="2"/>
        <v>5.7279013268547938E-2</v>
      </c>
      <c r="J12" s="74">
        <f>N('03_현장별비교'!C7)</f>
        <v>25427</v>
      </c>
      <c r="K12" s="62">
        <f>N('03_현장별비교'!E7)</f>
        <v>26884.400000000001</v>
      </c>
      <c r="L12" s="63">
        <f t="shared" si="3"/>
        <v>1.0573170252094231</v>
      </c>
      <c r="M12" s="64">
        <f t="shared" si="4"/>
        <v>1457.4000000000015</v>
      </c>
      <c r="N12" s="127">
        <f t="shared" si="5"/>
        <v>5.7317025209423111E-2</v>
      </c>
      <c r="O12" s="121">
        <f>N('03_현장별비교'!K7)*1.1</f>
        <v>27802.896000000004</v>
      </c>
      <c r="P12" s="106"/>
      <c r="Q12" s="112">
        <f>M12*D12</f>
        <v>7753368.0000000075</v>
      </c>
    </row>
    <row r="13" spans="1:17" ht="20.100000000000001" customHeight="1" x14ac:dyDescent="0.25">
      <c r="B13" s="85"/>
      <c r="C13" s="69" t="s">
        <v>376</v>
      </c>
      <c r="D13" s="116" t="s">
        <v>406</v>
      </c>
      <c r="E13" s="70">
        <f>SUM(E11:E12)</f>
        <v>30992</v>
      </c>
      <c r="F13" s="70">
        <f>SUM(F11:F12)</f>
        <v>30856</v>
      </c>
      <c r="G13" s="71">
        <f t="shared" si="0"/>
        <v>0.99561177077955598</v>
      </c>
      <c r="H13" s="72">
        <f t="shared" si="1"/>
        <v>-136</v>
      </c>
      <c r="I13" s="77">
        <f t="shared" si="2"/>
        <v>-4.3882292204439855E-3</v>
      </c>
      <c r="J13" s="75">
        <f>SUM(J11:J12)</f>
        <v>73637</v>
      </c>
      <c r="K13" s="70">
        <f>SUM(K11:K12)</f>
        <v>73313.8</v>
      </c>
      <c r="L13" s="71">
        <f t="shared" si="3"/>
        <v>0.99561090212800629</v>
      </c>
      <c r="M13" s="72">
        <f t="shared" si="4"/>
        <v>-323.19999999999709</v>
      </c>
      <c r="N13" s="128">
        <f t="shared" si="5"/>
        <v>-4.3890978719936594E-3</v>
      </c>
      <c r="O13" s="122">
        <f>SUM(O11:O12)</f>
        <v>74169.359000000011</v>
      </c>
      <c r="P13" s="107">
        <f t="shared" si="6"/>
        <v>1.0072295041894701</v>
      </c>
      <c r="Q13" s="113">
        <f>Q11+Q12</f>
        <v>2269120.0000000121</v>
      </c>
    </row>
    <row r="14" spans="1:17" ht="20.100000000000001" customHeight="1" x14ac:dyDescent="0.25">
      <c r="B14" s="85" t="s">
        <v>57</v>
      </c>
      <c r="C14" s="61" t="str">
        <f>IF('03_현장별비교'!B26="","",'03_현장별비교'!B26&amp;"T")</f>
        <v>40T</v>
      </c>
      <c r="D14" s="111">
        <v>2000</v>
      </c>
      <c r="E14" s="62">
        <f>N('03_현장별비교'!O26)</f>
        <v>15880</v>
      </c>
      <c r="F14" s="62">
        <f>N('03_현장별비교'!Q26)</f>
        <v>15327</v>
      </c>
      <c r="G14" s="63">
        <f t="shared" si="0"/>
        <v>0.965176322418136</v>
      </c>
      <c r="H14" s="64">
        <f t="shared" si="1"/>
        <v>-553</v>
      </c>
      <c r="I14" s="76">
        <f t="shared" si="2"/>
        <v>-3.4823677581863978E-2</v>
      </c>
      <c r="J14" s="74">
        <f>N('03_현장별비교'!C26)</f>
        <v>42716</v>
      </c>
      <c r="K14" s="62">
        <f>N('03_현장별비교'!E26)</f>
        <v>41229.629999999997</v>
      </c>
      <c r="L14" s="63">
        <f t="shared" si="3"/>
        <v>0.96520343665137176</v>
      </c>
      <c r="M14" s="64">
        <f t="shared" si="4"/>
        <v>-1486.3700000000026</v>
      </c>
      <c r="N14" s="127">
        <f t="shared" si="5"/>
        <v>-3.4796563348628212E-2</v>
      </c>
      <c r="O14" s="121">
        <f>N('03_현장별비교'!K26)*1.1</f>
        <v>38197.060000000005</v>
      </c>
      <c r="P14" s="108" t="s">
        <v>406</v>
      </c>
      <c r="Q14" s="112">
        <f>M14*D14</f>
        <v>-2972740.0000000051</v>
      </c>
    </row>
    <row r="15" spans="1:17" ht="20.100000000000001" customHeight="1" x14ac:dyDescent="0.25">
      <c r="B15" s="85"/>
      <c r="C15" s="61" t="str">
        <f>IF('03_현장별비교'!B25="","",'03_현장별비교'!B25&amp;"T")</f>
        <v>70T</v>
      </c>
      <c r="D15" s="111">
        <v>3600</v>
      </c>
      <c r="E15" s="62">
        <f>N('03_현장별비교'!O25)</f>
        <v>63545</v>
      </c>
      <c r="F15" s="62">
        <f>N('03_현장별비교'!Q25)</f>
        <v>64697</v>
      </c>
      <c r="G15" s="63">
        <f t="shared" si="0"/>
        <v>1.0181288850420962</v>
      </c>
      <c r="H15" s="64">
        <f t="shared" si="1"/>
        <v>1152</v>
      </c>
      <c r="I15" s="76">
        <f t="shared" si="2"/>
        <v>1.8128885042096154E-2</v>
      </c>
      <c r="J15" s="74">
        <f>N('03_현장별비교'!C25)</f>
        <v>170936</v>
      </c>
      <c r="K15" s="62">
        <f>N('03_현장별비교'!E25)</f>
        <v>174034.93</v>
      </c>
      <c r="L15" s="63">
        <f t="shared" si="3"/>
        <v>1.0181291828520616</v>
      </c>
      <c r="M15" s="64">
        <f t="shared" si="4"/>
        <v>3098.929999999993</v>
      </c>
      <c r="N15" s="127">
        <f t="shared" si="5"/>
        <v>1.812918285206155E-2</v>
      </c>
      <c r="O15" s="121">
        <f>N('03_현장별비교'!K25)*1.1</f>
        <v>179999.69900000002</v>
      </c>
      <c r="P15" s="106"/>
      <c r="Q15" s="112">
        <f>M15*D15</f>
        <v>11156147.999999974</v>
      </c>
    </row>
    <row r="16" spans="1:17" ht="20.100000000000001" customHeight="1" x14ac:dyDescent="0.25">
      <c r="B16" s="85"/>
      <c r="C16" s="69" t="s">
        <v>376</v>
      </c>
      <c r="D16" s="116" t="s">
        <v>406</v>
      </c>
      <c r="E16" s="70">
        <f>SUM(E14:E15)</f>
        <v>79425</v>
      </c>
      <c r="F16" s="70">
        <f>SUM(F14:F15)</f>
        <v>80024</v>
      </c>
      <c r="G16" s="71">
        <f t="shared" si="0"/>
        <v>1.0075417060119609</v>
      </c>
      <c r="H16" s="72">
        <f t="shared" si="1"/>
        <v>599</v>
      </c>
      <c r="I16" s="77">
        <f t="shared" si="2"/>
        <v>7.5417060119609691E-3</v>
      </c>
      <c r="J16" s="75">
        <f>SUM(J14:J15)</f>
        <v>213652</v>
      </c>
      <c r="K16" s="70">
        <f>SUM(K14:K15)</f>
        <v>215264.56</v>
      </c>
      <c r="L16" s="71">
        <f t="shared" si="3"/>
        <v>1.0075476007713478</v>
      </c>
      <c r="M16" s="72">
        <f t="shared" si="4"/>
        <v>1612.5599999999977</v>
      </c>
      <c r="N16" s="128">
        <f t="shared" si="5"/>
        <v>7.5476007713477884E-3</v>
      </c>
      <c r="O16" s="122">
        <f>SUM(O14:O15)</f>
        <v>218196.75900000002</v>
      </c>
      <c r="P16" s="107">
        <f t="shared" si="6"/>
        <v>1.0212717830865146</v>
      </c>
      <c r="Q16" s="113">
        <f>Q14+Q15</f>
        <v>8183407.9999999683</v>
      </c>
    </row>
    <row r="17" spans="2:17" ht="21.95" customHeight="1" x14ac:dyDescent="0.25">
      <c r="B17" s="86" t="s">
        <v>377</v>
      </c>
      <c r="C17" s="86"/>
      <c r="D17" s="117" t="s">
        <v>406</v>
      </c>
      <c r="E17" s="67">
        <f>E10+E13+E16</f>
        <v>177501</v>
      </c>
      <c r="F17" s="67">
        <f>F10+F13+F16</f>
        <v>176779</v>
      </c>
      <c r="G17" s="66">
        <f t="shared" si="0"/>
        <v>0.9959324172821562</v>
      </c>
      <c r="H17" s="68">
        <f t="shared" si="1"/>
        <v>-722</v>
      </c>
      <c r="I17" s="78">
        <f t="shared" si="2"/>
        <v>-4.0675827178438435E-3</v>
      </c>
      <c r="J17" s="79">
        <f>J10+J13+J16</f>
        <v>461707</v>
      </c>
      <c r="K17" s="67">
        <f>K10+K13+K16</f>
        <v>459915.76</v>
      </c>
      <c r="L17" s="66">
        <f t="shared" si="3"/>
        <v>0.99612039670180441</v>
      </c>
      <c r="M17" s="68">
        <f t="shared" si="4"/>
        <v>-1791.2399999999907</v>
      </c>
      <c r="N17" s="129">
        <f t="shared" si="5"/>
        <v>-3.8796032981955886E-3</v>
      </c>
      <c r="O17" s="123">
        <f>O10+O13+O16</f>
        <v>464945.04100000003</v>
      </c>
      <c r="P17" s="66">
        <f t="shared" si="6"/>
        <v>1.0070131945151364</v>
      </c>
      <c r="Q17" s="115">
        <f>Q16+Q13+Q10</f>
        <v>3002347.9999999879</v>
      </c>
    </row>
    <row r="20" spans="2:17" ht="17.25" x14ac:dyDescent="0.3">
      <c r="B20" s="81" t="s">
        <v>396</v>
      </c>
    </row>
    <row r="21" spans="2:17" ht="20.100000000000001" customHeight="1" x14ac:dyDescent="0.25">
      <c r="B21" s="84" t="s">
        <v>371</v>
      </c>
      <c r="C21" s="84" t="s">
        <v>379</v>
      </c>
      <c r="D21" s="109"/>
      <c r="E21" s="87" t="s">
        <v>383</v>
      </c>
      <c r="F21" s="87"/>
      <c r="G21" s="87"/>
      <c r="H21" s="87"/>
      <c r="I21" s="88"/>
      <c r="J21" s="89" t="s">
        <v>384</v>
      </c>
      <c r="K21" s="87"/>
      <c r="L21" s="87"/>
      <c r="M21" s="87"/>
      <c r="N21" s="124"/>
      <c r="O21" s="119" t="s">
        <v>401</v>
      </c>
      <c r="P21" s="92"/>
      <c r="Q21" s="84" t="s">
        <v>373</v>
      </c>
    </row>
    <row r="22" spans="2:17" ht="20.100000000000001" customHeight="1" x14ac:dyDescent="0.25">
      <c r="B22" s="84"/>
      <c r="C22" s="84"/>
      <c r="D22" s="114"/>
      <c r="E22" s="84" t="s">
        <v>386</v>
      </c>
      <c r="F22" s="84" t="s">
        <v>397</v>
      </c>
      <c r="G22" s="84"/>
      <c r="H22" s="84" t="s">
        <v>372</v>
      </c>
      <c r="I22" s="90"/>
      <c r="J22" s="91" t="s">
        <v>386</v>
      </c>
      <c r="K22" s="84" t="s">
        <v>397</v>
      </c>
      <c r="L22" s="84"/>
      <c r="M22" s="84" t="s">
        <v>372</v>
      </c>
      <c r="N22" s="125"/>
      <c r="O22" s="120" t="s">
        <v>404</v>
      </c>
      <c r="P22" s="93"/>
      <c r="Q22" s="84"/>
    </row>
    <row r="23" spans="2:17" ht="27.95" customHeight="1" x14ac:dyDescent="0.25">
      <c r="B23" s="84"/>
      <c r="C23" s="84"/>
      <c r="D23" s="110"/>
      <c r="E23" s="84"/>
      <c r="F23" s="60" t="s">
        <v>380</v>
      </c>
      <c r="G23" s="60" t="s">
        <v>374</v>
      </c>
      <c r="H23" s="60" t="s">
        <v>381</v>
      </c>
      <c r="I23" s="73" t="s">
        <v>375</v>
      </c>
      <c r="J23" s="91"/>
      <c r="K23" s="60" t="s">
        <v>380</v>
      </c>
      <c r="L23" s="60" t="s">
        <v>374</v>
      </c>
      <c r="M23" s="60" t="s">
        <v>381</v>
      </c>
      <c r="N23" s="126" t="s">
        <v>375</v>
      </c>
      <c r="O23" s="82" t="s">
        <v>402</v>
      </c>
      <c r="P23" s="60" t="s">
        <v>403</v>
      </c>
      <c r="Q23" s="84"/>
    </row>
    <row r="24" spans="2:17" ht="20.100000000000001" customHeight="1" x14ac:dyDescent="0.25">
      <c r="B24" s="85" t="s">
        <v>56</v>
      </c>
      <c r="C24" s="61" t="str">
        <f>IF('03_현장별비교'!B17="","",'03_현장별비교'!B17&amp;"T")</f>
        <v>50T</v>
      </c>
      <c r="D24" s="61"/>
      <c r="E24" s="62">
        <f>N('03_현장별비교'!P17)</f>
        <v>43888</v>
      </c>
      <c r="F24" s="62">
        <f>N('03_현장별비교'!Q17)</f>
        <v>45025</v>
      </c>
      <c r="G24" s="63">
        <f t="shared" ref="G24:G33" si="7">IF(E24=0,"-",F24/E24)</f>
        <v>1.0259068538096974</v>
      </c>
      <c r="H24" s="64">
        <f t="shared" ref="H24:H33" si="8">F24-E24</f>
        <v>1137</v>
      </c>
      <c r="I24" s="76">
        <f t="shared" ref="I24:I33" si="9">IF(E24=0,"-",H24/E24)</f>
        <v>2.590685380969741E-2</v>
      </c>
      <c r="J24" s="74">
        <f>N('03_현장별비교'!D17)</f>
        <v>114109</v>
      </c>
      <c r="K24" s="62">
        <f>N('03_현장별비교'!E17)</f>
        <v>117065</v>
      </c>
      <c r="L24" s="63">
        <f t="shared" ref="L24:L33" si="10">IF(J24=0,"-",K24/J24)</f>
        <v>1.0259050556923643</v>
      </c>
      <c r="M24" s="64">
        <f t="shared" ref="M24:M33" si="11">K24-J24</f>
        <v>2956</v>
      </c>
      <c r="N24" s="127">
        <f t="shared" ref="N24:N33" si="12">IF(J24=0,"-",M24/J24)</f>
        <v>2.5905055692364318E-2</v>
      </c>
      <c r="O24" s="121">
        <f>N('03_현장별비교'!K17)*1.1</f>
        <v>116741.03100000002</v>
      </c>
      <c r="P24" s="63">
        <f t="shared" ref="P24:P33" si="13">IF(OR(J24=0,O24=0),"-",O24/J24)</f>
        <v>1.0230659369550168</v>
      </c>
      <c r="Q24" s="61"/>
    </row>
    <row r="25" spans="2:17" ht="20.100000000000001" customHeight="1" x14ac:dyDescent="0.25">
      <c r="B25" s="85"/>
      <c r="C25" s="61" t="str">
        <f>IF('03_현장별비교'!B16="","",'03_현장별비교'!B16&amp;"T")</f>
        <v>90T</v>
      </c>
      <c r="D25" s="61"/>
      <c r="E25" s="62">
        <f>N('03_현장별비교'!P16)</f>
        <v>21857</v>
      </c>
      <c r="F25" s="62">
        <f>N('03_현장별비교'!Q16)</f>
        <v>20874</v>
      </c>
      <c r="G25" s="63">
        <f t="shared" si="7"/>
        <v>0.95502584984215588</v>
      </c>
      <c r="H25" s="64">
        <f t="shared" si="8"/>
        <v>-983</v>
      </c>
      <c r="I25" s="76">
        <f t="shared" si="9"/>
        <v>-4.4974150157844166E-2</v>
      </c>
      <c r="J25" s="74">
        <f>N('03_현장별비교'!D16)</f>
        <v>56829</v>
      </c>
      <c r="K25" s="62">
        <f>N('03_현장별비교'!E16)</f>
        <v>54272.4</v>
      </c>
      <c r="L25" s="63">
        <f t="shared" si="10"/>
        <v>0.95501240563796652</v>
      </c>
      <c r="M25" s="64">
        <f t="shared" si="11"/>
        <v>-2556.5999999999985</v>
      </c>
      <c r="N25" s="127">
        <f t="shared" si="12"/>
        <v>-4.4987594362033444E-2</v>
      </c>
      <c r="O25" s="121">
        <f>N('03_현장별비교'!K16)*1.1</f>
        <v>55837.892000000007</v>
      </c>
      <c r="P25" s="63">
        <f t="shared" si="13"/>
        <v>0.98255981981030827</v>
      </c>
      <c r="Q25" s="61"/>
    </row>
    <row r="26" spans="2:17" ht="20.100000000000001" customHeight="1" x14ac:dyDescent="0.25">
      <c r="B26" s="85"/>
      <c r="C26" s="69" t="s">
        <v>376</v>
      </c>
      <c r="D26" s="69"/>
      <c r="E26" s="70">
        <f>SUM(E24:E25)</f>
        <v>65745</v>
      </c>
      <c r="F26" s="70">
        <f>SUM(F24:F25)</f>
        <v>65899</v>
      </c>
      <c r="G26" s="71">
        <f t="shared" si="7"/>
        <v>1.0023423834512131</v>
      </c>
      <c r="H26" s="72">
        <f t="shared" si="8"/>
        <v>154</v>
      </c>
      <c r="I26" s="77">
        <f t="shared" si="9"/>
        <v>2.34238345121302E-3</v>
      </c>
      <c r="J26" s="75">
        <f>SUM(J24:J25)</f>
        <v>170938</v>
      </c>
      <c r="K26" s="70">
        <f>SUM(K24:K25)</f>
        <v>171337.4</v>
      </c>
      <c r="L26" s="71">
        <f t="shared" si="10"/>
        <v>1.0023365196737999</v>
      </c>
      <c r="M26" s="72">
        <f t="shared" si="11"/>
        <v>399.39999999999418</v>
      </c>
      <c r="N26" s="128">
        <f t="shared" si="12"/>
        <v>2.3365196737998232E-3</v>
      </c>
      <c r="O26" s="122">
        <f>SUM(O24:O25)</f>
        <v>172578.92300000001</v>
      </c>
      <c r="P26" s="71">
        <f t="shared" si="13"/>
        <v>1.0095995214639226</v>
      </c>
      <c r="Q26" s="69"/>
    </row>
    <row r="27" spans="2:17" ht="20.100000000000001" customHeight="1" x14ac:dyDescent="0.25">
      <c r="B27" s="85" t="s">
        <v>55</v>
      </c>
      <c r="C27" s="61" t="str">
        <f>IF('03_현장별비교'!B8="","",'03_현장별비교'!B8&amp;"T")</f>
        <v>55T</v>
      </c>
      <c r="D27" s="61"/>
      <c r="E27" s="62">
        <f>N('03_현장별비교'!P8)</f>
        <v>18200</v>
      </c>
      <c r="F27" s="62">
        <f>N('03_현장별비교'!Q8)</f>
        <v>19541</v>
      </c>
      <c r="G27" s="63">
        <f t="shared" si="7"/>
        <v>1.0736813186813188</v>
      </c>
      <c r="H27" s="64">
        <f t="shared" si="8"/>
        <v>1341</v>
      </c>
      <c r="I27" s="76">
        <f t="shared" si="9"/>
        <v>7.3681318681318678E-2</v>
      </c>
      <c r="J27" s="74">
        <f>N('03_현장별비교'!D8)</f>
        <v>43244</v>
      </c>
      <c r="K27" s="62">
        <f>N('03_현장별비교'!E8)</f>
        <v>46429.4</v>
      </c>
      <c r="L27" s="63">
        <f t="shared" si="10"/>
        <v>1.0736610859309963</v>
      </c>
      <c r="M27" s="64">
        <f t="shared" si="11"/>
        <v>3185.4000000000015</v>
      </c>
      <c r="N27" s="127">
        <f t="shared" si="12"/>
        <v>7.366108593099624E-2</v>
      </c>
      <c r="O27" s="121">
        <f>N('03_현장별비교'!K8)*1.1</f>
        <v>46366.463000000003</v>
      </c>
      <c r="P27" s="63">
        <f t="shared" si="13"/>
        <v>1.0722056932753679</v>
      </c>
      <c r="Q27" s="61"/>
    </row>
    <row r="28" spans="2:17" ht="20.100000000000001" customHeight="1" x14ac:dyDescent="0.25">
      <c r="B28" s="85"/>
      <c r="C28" s="61" t="str">
        <f>IF('03_현장별비교'!B7="","",'03_현장별비교'!B7&amp;"T")</f>
        <v>95T</v>
      </c>
      <c r="D28" s="61"/>
      <c r="E28" s="62">
        <f>N('03_현장별비교'!P7)</f>
        <v>12467</v>
      </c>
      <c r="F28" s="62">
        <f>N('03_현장별비교'!Q7)</f>
        <v>11315</v>
      </c>
      <c r="G28" s="63">
        <f t="shared" si="7"/>
        <v>0.90759605358145501</v>
      </c>
      <c r="H28" s="64">
        <f t="shared" si="8"/>
        <v>-1152</v>
      </c>
      <c r="I28" s="76">
        <f t="shared" si="9"/>
        <v>-9.2403946418544963E-2</v>
      </c>
      <c r="J28" s="74">
        <f>N('03_현장별비교'!D7)</f>
        <v>29621</v>
      </c>
      <c r="K28" s="62">
        <f>N('03_현장별비교'!E7)</f>
        <v>26884.400000000001</v>
      </c>
      <c r="L28" s="63">
        <f t="shared" si="10"/>
        <v>0.90761284224030259</v>
      </c>
      <c r="M28" s="64">
        <f t="shared" si="11"/>
        <v>-2736.5999999999985</v>
      </c>
      <c r="N28" s="127">
        <f t="shared" si="12"/>
        <v>-9.2387157759697469E-2</v>
      </c>
      <c r="O28" s="121">
        <f>N('03_현장별비교'!K7)*1.1</f>
        <v>27802.896000000004</v>
      </c>
      <c r="P28" s="63">
        <f t="shared" si="13"/>
        <v>0.93862111339927767</v>
      </c>
      <c r="Q28" s="61"/>
    </row>
    <row r="29" spans="2:17" ht="20.100000000000001" customHeight="1" x14ac:dyDescent="0.25">
      <c r="B29" s="85"/>
      <c r="C29" s="69" t="s">
        <v>376</v>
      </c>
      <c r="D29" s="69"/>
      <c r="E29" s="70">
        <f>SUM(E27:E28)</f>
        <v>30667</v>
      </c>
      <c r="F29" s="70">
        <f>SUM(F27:F28)</f>
        <v>30856</v>
      </c>
      <c r="G29" s="71">
        <f t="shared" si="7"/>
        <v>1.006162976489386</v>
      </c>
      <c r="H29" s="72">
        <f t="shared" si="8"/>
        <v>189</v>
      </c>
      <c r="I29" s="77">
        <f t="shared" si="9"/>
        <v>6.1629764893859846E-3</v>
      </c>
      <c r="J29" s="75">
        <f>SUM(J27:J28)</f>
        <v>72865</v>
      </c>
      <c r="K29" s="70">
        <f>SUM(K27:K28)</f>
        <v>73313.8</v>
      </c>
      <c r="L29" s="71">
        <f t="shared" si="10"/>
        <v>1.0061593357579084</v>
      </c>
      <c r="M29" s="72">
        <f t="shared" si="11"/>
        <v>448.80000000000291</v>
      </c>
      <c r="N29" s="128">
        <f t="shared" si="12"/>
        <v>6.1593357579085009E-3</v>
      </c>
      <c r="O29" s="122">
        <f>SUM(O27:O28)</f>
        <v>74169.359000000011</v>
      </c>
      <c r="P29" s="71">
        <f t="shared" si="13"/>
        <v>1.0179010361627669</v>
      </c>
      <c r="Q29" s="69"/>
    </row>
    <row r="30" spans="2:17" ht="20.100000000000001" customHeight="1" x14ac:dyDescent="0.25">
      <c r="B30" s="85" t="s">
        <v>57</v>
      </c>
      <c r="C30" s="61" t="str">
        <f>IF('03_현장별비교'!B26="","",'03_현장별비교'!B26&amp;"T")</f>
        <v>40T</v>
      </c>
      <c r="D30" s="61"/>
      <c r="E30" s="62">
        <f>N('03_현장별비교'!P26)</f>
        <v>15880</v>
      </c>
      <c r="F30" s="62">
        <f>N('03_현장별비교'!Q26)</f>
        <v>15327</v>
      </c>
      <c r="G30" s="63">
        <f t="shared" si="7"/>
        <v>0.965176322418136</v>
      </c>
      <c r="H30" s="64">
        <f t="shared" si="8"/>
        <v>-553</v>
      </c>
      <c r="I30" s="76">
        <f t="shared" si="9"/>
        <v>-3.4823677581863978E-2</v>
      </c>
      <c r="J30" s="74">
        <f>N('03_현장별비교'!D26)</f>
        <v>42716</v>
      </c>
      <c r="K30" s="62">
        <f>N('03_현장별비교'!E26)</f>
        <v>41229.629999999997</v>
      </c>
      <c r="L30" s="63">
        <f t="shared" si="10"/>
        <v>0.96520343665137176</v>
      </c>
      <c r="M30" s="64">
        <f t="shared" si="11"/>
        <v>-1486.3700000000026</v>
      </c>
      <c r="N30" s="127">
        <f t="shared" si="12"/>
        <v>-3.4796563348628212E-2</v>
      </c>
      <c r="O30" s="121">
        <f>N('03_현장별비교'!K26)*1.1</f>
        <v>38197.060000000005</v>
      </c>
      <c r="P30" s="63">
        <f t="shared" si="13"/>
        <v>0.89420966382620104</v>
      </c>
      <c r="Q30" s="61"/>
    </row>
    <row r="31" spans="2:17" ht="20.100000000000001" customHeight="1" x14ac:dyDescent="0.25">
      <c r="B31" s="85"/>
      <c r="C31" s="61" t="str">
        <f>IF('03_현장별비교'!B25="","",'03_현장별비교'!B25&amp;"T")</f>
        <v>70T</v>
      </c>
      <c r="D31" s="61"/>
      <c r="E31" s="62">
        <f>N('03_현장별비교'!P25)</f>
        <v>63545</v>
      </c>
      <c r="F31" s="62">
        <f>N('03_현장별비교'!Q25)</f>
        <v>64697</v>
      </c>
      <c r="G31" s="63">
        <f t="shared" si="7"/>
        <v>1.0181288850420962</v>
      </c>
      <c r="H31" s="64">
        <f t="shared" si="8"/>
        <v>1152</v>
      </c>
      <c r="I31" s="76">
        <f t="shared" si="9"/>
        <v>1.8128885042096154E-2</v>
      </c>
      <c r="J31" s="74">
        <f>N('03_현장별비교'!D25)</f>
        <v>170936</v>
      </c>
      <c r="K31" s="62">
        <f>N('03_현장별비교'!E25)</f>
        <v>174034.93</v>
      </c>
      <c r="L31" s="63">
        <f t="shared" si="10"/>
        <v>1.0181291828520616</v>
      </c>
      <c r="M31" s="64">
        <f t="shared" si="11"/>
        <v>3098.929999999993</v>
      </c>
      <c r="N31" s="127">
        <f t="shared" si="12"/>
        <v>1.812918285206155E-2</v>
      </c>
      <c r="O31" s="121">
        <f>N('03_현장별비교'!K25)*1.1</f>
        <v>179999.69900000002</v>
      </c>
      <c r="P31" s="63">
        <f t="shared" si="13"/>
        <v>1.0530239329339637</v>
      </c>
      <c r="Q31" s="61"/>
    </row>
    <row r="32" spans="2:17" ht="20.100000000000001" customHeight="1" x14ac:dyDescent="0.25">
      <c r="B32" s="85"/>
      <c r="C32" s="69" t="s">
        <v>376</v>
      </c>
      <c r="D32" s="69"/>
      <c r="E32" s="70">
        <f>SUM(E30:E31)</f>
        <v>79425</v>
      </c>
      <c r="F32" s="70">
        <f>SUM(F30:F31)</f>
        <v>80024</v>
      </c>
      <c r="G32" s="71">
        <f t="shared" si="7"/>
        <v>1.0075417060119609</v>
      </c>
      <c r="H32" s="72">
        <f t="shared" si="8"/>
        <v>599</v>
      </c>
      <c r="I32" s="77">
        <f t="shared" si="9"/>
        <v>7.5417060119609691E-3</v>
      </c>
      <c r="J32" s="75">
        <f>SUM(J30:J31)</f>
        <v>213652</v>
      </c>
      <c r="K32" s="70">
        <f>SUM(K30:K31)</f>
        <v>215264.56</v>
      </c>
      <c r="L32" s="71">
        <f t="shared" si="10"/>
        <v>1.0075476007713478</v>
      </c>
      <c r="M32" s="72">
        <f t="shared" si="11"/>
        <v>1612.5599999999977</v>
      </c>
      <c r="N32" s="128">
        <f t="shared" si="12"/>
        <v>7.5476007713477884E-3</v>
      </c>
      <c r="O32" s="122">
        <f>SUM(O30:O31)</f>
        <v>218196.75900000002</v>
      </c>
      <c r="P32" s="71">
        <f t="shared" si="13"/>
        <v>1.0212717830865146</v>
      </c>
      <c r="Q32" s="69"/>
    </row>
    <row r="33" spans="2:17" ht="21.95" customHeight="1" x14ac:dyDescent="0.25">
      <c r="B33" s="86" t="s">
        <v>377</v>
      </c>
      <c r="C33" s="86"/>
      <c r="D33" s="65"/>
      <c r="E33" s="67">
        <f>E26+E29+E32</f>
        <v>175837</v>
      </c>
      <c r="F33" s="67">
        <f>F26+F29+F32</f>
        <v>176779</v>
      </c>
      <c r="G33" s="66">
        <f t="shared" si="7"/>
        <v>1.0053572342567263</v>
      </c>
      <c r="H33" s="68">
        <f t="shared" si="8"/>
        <v>942</v>
      </c>
      <c r="I33" s="78">
        <f t="shared" si="9"/>
        <v>5.3572342567264003E-3</v>
      </c>
      <c r="J33" s="79">
        <f>J26+J29+J32</f>
        <v>457455</v>
      </c>
      <c r="K33" s="67">
        <f>K26+K29+K32</f>
        <v>459915.76</v>
      </c>
      <c r="L33" s="66">
        <f t="shared" si="10"/>
        <v>1.0053792394880372</v>
      </c>
      <c r="M33" s="68">
        <f t="shared" si="11"/>
        <v>2460.7600000000093</v>
      </c>
      <c r="N33" s="129">
        <f t="shared" si="12"/>
        <v>5.3792394880370952E-3</v>
      </c>
      <c r="O33" s="123">
        <f>O26+O29+O32</f>
        <v>464945.04100000003</v>
      </c>
      <c r="P33" s="66">
        <f t="shared" si="13"/>
        <v>1.0163732848039699</v>
      </c>
      <c r="Q33" s="65"/>
    </row>
    <row r="35" spans="2:17" ht="16.5" x14ac:dyDescent="0.3">
      <c r="B35" s="59" t="s">
        <v>387</v>
      </c>
    </row>
    <row r="37" spans="2:17" ht="21.95" customHeight="1" x14ac:dyDescent="0.25">
      <c r="B37" s="60" t="s">
        <v>371</v>
      </c>
      <c r="C37" s="60" t="s">
        <v>187</v>
      </c>
      <c r="D37" s="60"/>
      <c r="E37" s="84" t="s">
        <v>388</v>
      </c>
      <c r="F37" s="84"/>
      <c r="G37" s="84" t="s">
        <v>389</v>
      </c>
      <c r="H37" s="84"/>
      <c r="I37" s="84" t="s">
        <v>390</v>
      </c>
      <c r="J37" s="84"/>
      <c r="K37" s="84" t="s">
        <v>70</v>
      </c>
      <c r="L37" s="84"/>
      <c r="M37" s="84" t="s">
        <v>378</v>
      </c>
      <c r="N37" s="84"/>
      <c r="O37" s="84"/>
      <c r="P37" s="84"/>
      <c r="Q37" s="84"/>
    </row>
    <row r="38" spans="2:17" ht="24" customHeight="1" x14ac:dyDescent="0.25">
      <c r="B38" s="61" t="s">
        <v>56</v>
      </c>
      <c r="C38" s="61" t="str">
        <f>'01_현장조건'!C$4</f>
        <v>중부1</v>
      </c>
      <c r="D38" s="61"/>
      <c r="E38" s="83" t="str">
        <f>'01_현장조건'!C$13&amp;"T + "&amp;'01_현장조건'!C$14&amp;"T"</f>
        <v>90T + 50T</v>
      </c>
      <c r="F38" s="83"/>
      <c r="G38" s="83" t="str">
        <f>'01_현장조건'!C$16&amp;"T + "&amp;'01_현장조건'!C$17&amp;"T"</f>
        <v>50T + 50T</v>
      </c>
      <c r="H38" s="83"/>
      <c r="I38" s="83" t="str">
        <f>TEXT('01_현장조건'!C$10,"#,##0")&amp;" × "&amp;TEXT('01_현장조건'!C$11,"#,##0")&amp;" ("&amp;TEXT('01_현장조건'!C$12,"0.000")&amp;"㎡)"</f>
        <v>1,000 × 2,600 (2.600㎡)</v>
      </c>
      <c r="J38" s="83"/>
      <c r="K38" s="83" t="str">
        <f>'01_현장조건'!C$6</f>
        <v>전체 900세대</v>
      </c>
      <c r="L38" s="83"/>
      <c r="M38" s="83" t="str">
        <f>'01_현장조건'!C$7</f>
        <v>84A타입(401동~404동) · REV 35</v>
      </c>
      <c r="N38" s="83"/>
      <c r="O38" s="83"/>
      <c r="P38" s="83"/>
      <c r="Q38" s="83"/>
    </row>
    <row r="39" spans="2:17" ht="24" customHeight="1" x14ac:dyDescent="0.25">
      <c r="B39" s="61" t="s">
        <v>55</v>
      </c>
      <c r="C39" s="61" t="str">
        <f>'01_현장조건'!B$4</f>
        <v>남부</v>
      </c>
      <c r="D39" s="61"/>
      <c r="E39" s="83" t="str">
        <f>'01_현장조건'!B$13&amp;"T + "&amp;'01_현장조건'!B$14&amp;"T"</f>
        <v>95T + 55T</v>
      </c>
      <c r="F39" s="83"/>
      <c r="G39" s="83" t="str">
        <f>'01_현장조건'!B$16&amp;"T + "&amp;'01_현장조건'!B$17&amp;"T"</f>
        <v>55T + 55T</v>
      </c>
      <c r="H39" s="83"/>
      <c r="I39" s="83" t="str">
        <f>TEXT('01_현장조건'!B$10,"#,##0")&amp;" × "&amp;TEXT('01_현장조건'!B$11,"#,##0")&amp;" ("&amp;TEXT('01_현장조건'!B$12,"0.000")&amp;"㎡)"</f>
        <v>900 × 2,640 (2.376㎡)</v>
      </c>
      <c r="J39" s="83"/>
      <c r="K39" s="83" t="str">
        <f>'01_현장조건'!B$6</f>
        <v>전체 419세대</v>
      </c>
      <c r="L39" s="83"/>
      <c r="M39" s="83" t="str">
        <f>'01_현장조건'!B$7</f>
        <v>부산장안 단열재 산출_rev2 · REV 7</v>
      </c>
      <c r="N39" s="83"/>
      <c r="O39" s="83"/>
      <c r="P39" s="83"/>
      <c r="Q39" s="83"/>
    </row>
    <row r="40" spans="2:17" ht="24" customHeight="1" x14ac:dyDescent="0.25">
      <c r="B40" s="61" t="s">
        <v>57</v>
      </c>
      <c r="C40" s="61" t="str">
        <f>'01_현장조건'!D$4</f>
        <v>중부2</v>
      </c>
      <c r="D40" s="61"/>
      <c r="E40" s="83" t="str">
        <f>'01_현장조건'!D$13&amp;"T + "&amp;'01_현장조건'!D$14&amp;"T"</f>
        <v>70T + 70T</v>
      </c>
      <c r="F40" s="83"/>
      <c r="G40" s="83" t="str">
        <f>'01_현장조건'!D$16&amp;"T + "&amp;'01_현장조건'!D$17&amp;"T"</f>
        <v>70T + 40T</v>
      </c>
      <c r="H40" s="83"/>
      <c r="I40" s="83" t="str">
        <f>TEXT('01_현장조건'!D$10,"#,##0")&amp;" × "&amp;TEXT('01_현장조건'!D$11,"#,##0")&amp;" ("&amp;TEXT('01_현장조건'!D$12,"0.000")&amp;"㎡)"</f>
        <v>1,000 × 2,690 (2.690㎡)</v>
      </c>
      <c r="J40" s="83"/>
      <c r="K40" s="83" t="str">
        <f>'01_현장조건'!D$6</f>
        <v>전체 1,110세대 (59 320 + 84 790)</v>
      </c>
      <c r="L40" s="83"/>
      <c r="M40" s="83" t="str">
        <f>'01_현장조건'!D$7</f>
        <v>세종2차임대 · REV 19(59) + REV 18(84)</v>
      </c>
      <c r="N40" s="83"/>
      <c r="O40" s="83"/>
      <c r="P40" s="83"/>
      <c r="Q40" s="83"/>
    </row>
    <row r="42" spans="2:17" x14ac:dyDescent="0.25">
      <c r="B42" s="58" t="s">
        <v>391</v>
      </c>
    </row>
    <row r="43" spans="2:17" x14ac:dyDescent="0.25">
      <c r="B43" s="58" t="s">
        <v>392</v>
      </c>
    </row>
    <row r="44" spans="2:17" x14ac:dyDescent="0.25">
      <c r="B44" s="58" t="s">
        <v>393</v>
      </c>
    </row>
    <row r="45" spans="2:17" x14ac:dyDescent="0.25">
      <c r="B45" s="58" t="s">
        <v>382</v>
      </c>
    </row>
    <row r="46" spans="2:17" x14ac:dyDescent="0.25">
      <c r="B46" s="58" t="s">
        <v>405</v>
      </c>
    </row>
  </sheetData>
  <mergeCells count="60">
    <mergeCell ref="P11:P12"/>
    <mergeCell ref="P14:P15"/>
    <mergeCell ref="D6:D7"/>
    <mergeCell ref="D21:D23"/>
    <mergeCell ref="A2:Q2"/>
    <mergeCell ref="O5:P5"/>
    <mergeCell ref="O6:P6"/>
    <mergeCell ref="B21:B23"/>
    <mergeCell ref="C21:C23"/>
    <mergeCell ref="B5:B7"/>
    <mergeCell ref="C5:C7"/>
    <mergeCell ref="Q5:Q7"/>
    <mergeCell ref="E5:I5"/>
    <mergeCell ref="J5:N5"/>
    <mergeCell ref="E6:E7"/>
    <mergeCell ref="F6:G6"/>
    <mergeCell ref="H6:I6"/>
    <mergeCell ref="J6:J7"/>
    <mergeCell ref="K6:L6"/>
    <mergeCell ref="M6:N6"/>
    <mergeCell ref="B8:B10"/>
    <mergeCell ref="B11:B13"/>
    <mergeCell ref="B14:B16"/>
    <mergeCell ref="B17:C17"/>
    <mergeCell ref="Q21:Q23"/>
    <mergeCell ref="E21:I21"/>
    <mergeCell ref="J21:N21"/>
    <mergeCell ref="E22:E23"/>
    <mergeCell ref="F22:G22"/>
    <mergeCell ref="H22:I22"/>
    <mergeCell ref="J22:J23"/>
    <mergeCell ref="K22:L22"/>
    <mergeCell ref="M22:N22"/>
    <mergeCell ref="O21:P21"/>
    <mergeCell ref="O22:P22"/>
    <mergeCell ref="P8:P9"/>
    <mergeCell ref="B24:B26"/>
    <mergeCell ref="B27:B29"/>
    <mergeCell ref="B30:B32"/>
    <mergeCell ref="B33:C33"/>
    <mergeCell ref="E37:F37"/>
    <mergeCell ref="I37:J37"/>
    <mergeCell ref="K37:L37"/>
    <mergeCell ref="M37:Q37"/>
    <mergeCell ref="E38:F38"/>
    <mergeCell ref="G38:H38"/>
    <mergeCell ref="I38:J38"/>
    <mergeCell ref="K38:L38"/>
    <mergeCell ref="M38:Q38"/>
    <mergeCell ref="G37:H37"/>
    <mergeCell ref="E40:F40"/>
    <mergeCell ref="G40:H40"/>
    <mergeCell ref="I40:J40"/>
    <mergeCell ref="K40:L40"/>
    <mergeCell ref="M40:Q40"/>
    <mergeCell ref="E39:F39"/>
    <mergeCell ref="G39:H39"/>
    <mergeCell ref="I39:J39"/>
    <mergeCell ref="K39:L39"/>
    <mergeCell ref="M39:Q39"/>
  </mergeCells>
  <phoneticPr fontId="13" type="noConversion"/>
  <printOptions horizontalCentered="1"/>
  <pageMargins left="0.7" right="0.7" top="0.75" bottom="0.75" header="0.3" footer="0.3"/>
  <pageSetup paperSize="9" scale="5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16"/>
  <sheetViews>
    <sheetView showGridLines="0" zoomScale="90" workbookViewId="0"/>
  </sheetViews>
  <sheetFormatPr defaultRowHeight="16.5" x14ac:dyDescent="0.3"/>
  <cols>
    <col min="1" max="1" width="2" customWidth="1"/>
    <col min="2" max="2" width="12" customWidth="1"/>
    <col min="3" max="3" width="7" customWidth="1"/>
    <col min="4" max="4" width="25" customWidth="1"/>
    <col min="5" max="8" width="12" customWidth="1"/>
    <col min="9" max="11" width="8" customWidth="1"/>
    <col min="12" max="12" width="9" customWidth="1"/>
    <col min="13" max="13" width="8" customWidth="1"/>
    <col min="14" max="15" width="9" customWidth="1"/>
  </cols>
  <sheetData>
    <row r="1" spans="1:15" ht="26.25" x14ac:dyDescent="0.5">
      <c r="A1" s="1" t="s">
        <v>185</v>
      </c>
    </row>
    <row r="2" spans="1:15" x14ac:dyDescent="0.3">
      <c r="A2" s="2" t="s">
        <v>186</v>
      </c>
    </row>
    <row r="4" spans="1:15" x14ac:dyDescent="0.3">
      <c r="B4" s="103" t="s">
        <v>138</v>
      </c>
      <c r="C4" s="103" t="s">
        <v>187</v>
      </c>
      <c r="D4" s="103" t="s">
        <v>188</v>
      </c>
      <c r="E4" s="103" t="s">
        <v>189</v>
      </c>
      <c r="F4" s="103" t="s">
        <v>190</v>
      </c>
      <c r="G4" s="95"/>
      <c r="H4" s="96"/>
      <c r="I4" s="103" t="s">
        <v>191</v>
      </c>
      <c r="J4" s="95"/>
      <c r="K4" s="96"/>
      <c r="L4" s="103" t="s">
        <v>192</v>
      </c>
      <c r="M4" s="96"/>
      <c r="N4" s="103" t="s">
        <v>193</v>
      </c>
      <c r="O4" s="96"/>
    </row>
    <row r="5" spans="1:15" ht="30" customHeight="1" x14ac:dyDescent="0.3">
      <c r="B5" s="102"/>
      <c r="C5" s="102"/>
      <c r="D5" s="102"/>
      <c r="E5" s="102"/>
      <c r="F5" s="9" t="s">
        <v>8</v>
      </c>
      <c r="G5" s="9" t="s">
        <v>10</v>
      </c>
      <c r="H5" s="9" t="s">
        <v>177</v>
      </c>
      <c r="I5" s="9" t="s">
        <v>8</v>
      </c>
      <c r="J5" s="9" t="s">
        <v>10</v>
      </c>
      <c r="K5" s="9" t="s">
        <v>177</v>
      </c>
      <c r="L5" s="9" t="s">
        <v>194</v>
      </c>
      <c r="M5" s="9" t="s">
        <v>180</v>
      </c>
      <c r="N5" s="9" t="s">
        <v>10</v>
      </c>
      <c r="O5" s="9" t="s">
        <v>177</v>
      </c>
    </row>
    <row r="6" spans="1:15" x14ac:dyDescent="0.3">
      <c r="B6" s="37" t="str">
        <f>'01_현장조건'!B$3</f>
        <v>부산장안</v>
      </c>
      <c r="C6" s="37" t="str">
        <f>IF('01_현장조건'!B$4="","",'01_현장조건'!B$4)</f>
        <v>남부</v>
      </c>
      <c r="D6" s="37" t="str">
        <f>IF(AND('01_현장조건'!B$13="",'01_현장조건'!B$16=""),"두께 미입력","직접 "&amp;'01_현장조건'!B$13&amp;"+"&amp;'01_현장조건'!B$14&amp;"T / 간접 "&amp;'01_현장조건'!B$16&amp;"+"&amp;'01_현장조건'!B$17&amp;"T")</f>
        <v>직접 95+55T / 간접 55+55T</v>
      </c>
      <c r="E6" s="38">
        <f>'03_현장별비교'!K10</f>
        <v>67426.69</v>
      </c>
      <c r="F6" s="38">
        <f>'03_현장별비교'!C10</f>
        <v>73637</v>
      </c>
      <c r="G6" s="38">
        <f>'03_현장별비교'!D10</f>
        <v>72865</v>
      </c>
      <c r="H6" s="38">
        <f>'03_현장별비교'!E10</f>
        <v>73313.8</v>
      </c>
      <c r="I6" s="39">
        <f>'03_현장별비교'!L10</f>
        <v>9.2104625037948695E-2</v>
      </c>
      <c r="J6" s="39">
        <f>'03_현장별비교'!M10</f>
        <v>8.0655153026197857E-2</v>
      </c>
      <c r="K6" s="39">
        <f>'03_현장별비교'!N10</f>
        <v>8.7311270952200148E-2</v>
      </c>
      <c r="L6" s="40">
        <f>'03_현장별비교'!G10</f>
        <v>6.1593357579085009E-3</v>
      </c>
      <c r="M6" s="41" t="str">
        <f>'03_현장별비교'!H10</f>
        <v>적합</v>
      </c>
      <c r="N6" s="26">
        <f>IF(OR(F6="",G6="",F6=0),"",G6/F6-1)</f>
        <v>-1.0483860016024527E-2</v>
      </c>
      <c r="O6" s="26">
        <f>IF(OR(F6="",H6="",F6=0),"",H6/F6-1)</f>
        <v>-4.3890978719937079E-3</v>
      </c>
    </row>
    <row r="7" spans="1:15" x14ac:dyDescent="0.3">
      <c r="B7" s="37" t="str">
        <f>'01_현장조건'!C$3</f>
        <v>남원주1차</v>
      </c>
      <c r="C7" s="37" t="str">
        <f>IF('01_현장조건'!C$4="","",'01_현장조건'!C$4)</f>
        <v>중부1</v>
      </c>
      <c r="D7" s="37" t="str">
        <f>IF(AND('01_현장조건'!C$13="",'01_현장조건'!C$16=""),"두께 미입력","직접 "&amp;'01_현장조건'!C$13&amp;"+"&amp;'01_현장조건'!C$14&amp;"T / 간접 "&amp;'01_현장조건'!C$16&amp;"+"&amp;'01_현장조건'!C$17&amp;"T")</f>
        <v>직접 90+50T / 간접 50+50T</v>
      </c>
      <c r="E7" s="38">
        <f>'03_현장별비교'!K19</f>
        <v>156889.93</v>
      </c>
      <c r="F7" s="38">
        <f>'03_현장별비교'!C19</f>
        <v>174418</v>
      </c>
      <c r="G7" s="38">
        <f>'03_현장별비교'!D19</f>
        <v>170938</v>
      </c>
      <c r="H7" s="38">
        <f>'03_현장별비교'!E19</f>
        <v>171337.4</v>
      </c>
      <c r="I7" s="39">
        <f>'03_현장별비교'!L19</f>
        <v>0.1117220843938167</v>
      </c>
      <c r="J7" s="39">
        <f>'03_현장별비교'!M19</f>
        <v>8.954092847131756E-2</v>
      </c>
      <c r="K7" s="39">
        <f>'03_현장별비교'!N19</f>
        <v>9.208666228610074E-2</v>
      </c>
      <c r="L7" s="40">
        <f>'03_현장별비교'!G19</f>
        <v>2.3365196737998232E-3</v>
      </c>
      <c r="M7" s="41" t="str">
        <f>'03_현장별비교'!H19</f>
        <v>적합</v>
      </c>
      <c r="N7" s="26">
        <f>IF(OR(F7="",G7="",F7=0),"",G7/F7-1)</f>
        <v>-1.995206916717307E-2</v>
      </c>
      <c r="O7" s="26">
        <f>IF(OR(F7="",H7="",F7=0),"",H7/F7-1)</f>
        <v>-1.7662167895515446E-2</v>
      </c>
    </row>
    <row r="8" spans="1:15" x14ac:dyDescent="0.3">
      <c r="B8" s="37" t="str">
        <f>'01_현장조건'!D$3</f>
        <v>세종2차</v>
      </c>
      <c r="C8" s="37" t="str">
        <f>IF('01_현장조건'!D$4="","",'01_현장조건'!D$4)</f>
        <v>중부2</v>
      </c>
      <c r="D8" s="37" t="str">
        <f>IF(AND('01_현장조건'!D$13="",'01_현장조건'!D$16=""),"두께 미입력","직접 "&amp;'01_현장조건'!D$13&amp;"+"&amp;'01_현장조건'!D$14&amp;"T / 간접 "&amp;'01_현장조건'!D$16&amp;"+"&amp;'01_현장조건'!D$17&amp;"T")</f>
        <v>직접 70+70T / 간접 70+40T</v>
      </c>
      <c r="E8" s="38">
        <f>'03_현장별비교'!K28</f>
        <v>198360.69</v>
      </c>
      <c r="F8" s="38">
        <f>'03_현장별비교'!C28</f>
        <v>213652</v>
      </c>
      <c r="G8" s="38">
        <f>'03_현장별비교'!D28</f>
        <v>213652</v>
      </c>
      <c r="H8" s="38">
        <f>'03_현장별비교'!E28</f>
        <v>215264.56</v>
      </c>
      <c r="I8" s="39">
        <f>'03_현장별비교'!L28</f>
        <v>7.708840899877889E-2</v>
      </c>
      <c r="J8" s="39">
        <f>'03_현장별비교'!M28</f>
        <v>7.708840899877889E-2</v>
      </c>
      <c r="K8" s="39">
        <f>'03_현장별비교'!N28</f>
        <v>8.5217842305347791E-2</v>
      </c>
      <c r="L8" s="40">
        <f>'03_현장별비교'!G28</f>
        <v>7.5476007713477884E-3</v>
      </c>
      <c r="M8" s="41" t="str">
        <f>'03_현장별비교'!H28</f>
        <v>적합</v>
      </c>
      <c r="N8" s="26">
        <f>IF(OR(F8="",G8="",F8=0),"",G8/F8-1)</f>
        <v>0</v>
      </c>
      <c r="O8" s="26">
        <f>IF(OR(F8="",H8="",F8=0),"",H8/F8-1)</f>
        <v>7.5476007713477511E-3</v>
      </c>
    </row>
    <row r="9" spans="1:15" x14ac:dyDescent="0.3">
      <c r="B9" s="104" t="s">
        <v>195</v>
      </c>
      <c r="C9" s="105"/>
      <c r="D9" s="105"/>
      <c r="E9" s="31">
        <f>IF(COUNT(E6:E8)=0,"",SUM(E6:E8))</f>
        <v>422677.31</v>
      </c>
      <c r="F9" s="31">
        <f>IF(COUNT(F6:F8)=0,"",SUM(F6:F8))</f>
        <v>461707</v>
      </c>
      <c r="G9" s="31">
        <f>IF(COUNT(G6:G8)=0,"",SUM(G6:G8))</f>
        <v>457455</v>
      </c>
      <c r="H9" s="31">
        <f>IF(COUNT(H6:H8)=0,"",SUM(H6:H8))</f>
        <v>459915.76</v>
      </c>
      <c r="I9" s="34">
        <f>IF(OR(F9="",E9="",E9=0),"",F9/E9-1)</f>
        <v>9.2339212625347722E-2</v>
      </c>
      <c r="J9" s="34">
        <f>IF(OR(G9="",E9="",E9=0),"",G9/E9-1)</f>
        <v>8.2279529033626231E-2</v>
      </c>
      <c r="K9" s="34">
        <f>IF(OR(H9="",E9="",E9=0),"",H9/E9-1)</f>
        <v>8.8101369813297969E-2</v>
      </c>
      <c r="L9" s="33">
        <f>IF(OR(G9="",H9="",G9=0),"",H9/G9-1)</f>
        <v>5.3792394880372019E-3</v>
      </c>
      <c r="M9" s="30" t="str">
        <f>IF(L9="","",IF(ABS(L9)&lt;='01_현장조건'!$B$31,"적합",IF(ABS(L9)&lt;='01_현장조건'!$B$32,"검토","부적합")))</f>
        <v>적합</v>
      </c>
      <c r="N9" s="33">
        <f>IF(OR(F9="",G9="",F9=0),"",G9/F9-1)</f>
        <v>-9.2093037359191054E-3</v>
      </c>
      <c r="O9" s="33">
        <f>IF(OR(F9="",H9="",F9=0),"",H9/F9-1)</f>
        <v>-3.8796032981955886E-3</v>
      </c>
    </row>
    <row r="10" spans="1:15" x14ac:dyDescent="0.3">
      <c r="B10" s="2" t="s">
        <v>196</v>
      </c>
    </row>
    <row r="12" spans="1:15" x14ac:dyDescent="0.3">
      <c r="B12" s="3" t="s">
        <v>197</v>
      </c>
    </row>
    <row r="13" spans="1:15" ht="30" customHeight="1" x14ac:dyDescent="0.3">
      <c r="B13" s="22" t="s">
        <v>198</v>
      </c>
      <c r="C13" s="101" t="s">
        <v>199</v>
      </c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</row>
    <row r="14" spans="1:15" ht="30" customHeight="1" x14ac:dyDescent="0.3">
      <c r="B14" s="22" t="s">
        <v>200</v>
      </c>
      <c r="C14" s="101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</row>
    <row r="15" spans="1:15" ht="30" customHeight="1" x14ac:dyDescent="0.3">
      <c r="B15" s="22" t="s">
        <v>201</v>
      </c>
      <c r="C15" s="101" t="s">
        <v>202</v>
      </c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</row>
    <row r="16" spans="1:15" ht="30" customHeight="1" x14ac:dyDescent="0.3">
      <c r="B16" s="22" t="s">
        <v>203</v>
      </c>
      <c r="C16" s="101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</row>
  </sheetData>
  <mergeCells count="13">
    <mergeCell ref="C16:O16"/>
    <mergeCell ref="E4:E5"/>
    <mergeCell ref="D4:D5"/>
    <mergeCell ref="B9:D9"/>
    <mergeCell ref="F4:H4"/>
    <mergeCell ref="I4:K4"/>
    <mergeCell ref="C15:O15"/>
    <mergeCell ref="N4:O4"/>
    <mergeCell ref="C14:O14"/>
    <mergeCell ref="C13:O13"/>
    <mergeCell ref="B4:B5"/>
    <mergeCell ref="L4:M4"/>
    <mergeCell ref="C4:C5"/>
  </mergeCells>
  <phoneticPr fontId="13" type="noConversion"/>
  <printOptions horizontalCentered="1"/>
  <pageMargins left="0.4" right="0.4" top="1" bottom="1" header="0.5" footer="0.5"/>
  <pageSetup paperSize="9"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31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5" customWidth="1"/>
    <col min="2" max="2" width="12" customWidth="1"/>
    <col min="3" max="3" width="8" customWidth="1"/>
    <col min="4" max="4" width="9" customWidth="1"/>
    <col min="5" max="5" width="10" customWidth="1"/>
    <col min="6" max="6" width="20" customWidth="1"/>
    <col min="7" max="7" width="55" customWidth="1"/>
    <col min="8" max="8" width="16" customWidth="1"/>
    <col min="9" max="9" width="35" customWidth="1"/>
    <col min="10" max="10" width="10" customWidth="1"/>
  </cols>
  <sheetData>
    <row r="1" spans="1:10" ht="26.25" x14ac:dyDescent="0.5">
      <c r="A1" s="1" t="s">
        <v>204</v>
      </c>
    </row>
    <row r="2" spans="1:10" x14ac:dyDescent="0.3">
      <c r="A2" s="2" t="s">
        <v>205</v>
      </c>
    </row>
    <row r="4" spans="1:10" ht="30" customHeight="1" x14ac:dyDescent="0.3">
      <c r="A4" s="9" t="s">
        <v>137</v>
      </c>
      <c r="B4" s="9" t="s">
        <v>138</v>
      </c>
      <c r="C4" s="9" t="s">
        <v>176</v>
      </c>
      <c r="D4" s="9" t="s">
        <v>206</v>
      </c>
      <c r="E4" s="9" t="s">
        <v>207</v>
      </c>
      <c r="F4" s="9" t="s">
        <v>208</v>
      </c>
      <c r="G4" s="9" t="s">
        <v>209</v>
      </c>
      <c r="H4" s="9" t="s">
        <v>210</v>
      </c>
      <c r="I4" s="9" t="s">
        <v>211</v>
      </c>
      <c r="J4" s="9" t="s">
        <v>212</v>
      </c>
    </row>
    <row r="5" spans="1:10" ht="45" customHeight="1" x14ac:dyDescent="0.3">
      <c r="A5" s="11">
        <v>1</v>
      </c>
      <c r="B5" s="10" t="s">
        <v>56</v>
      </c>
      <c r="C5" s="13">
        <v>50</v>
      </c>
      <c r="D5" s="10" t="s">
        <v>213</v>
      </c>
      <c r="E5" s="42"/>
      <c r="F5" s="10" t="s">
        <v>214</v>
      </c>
      <c r="G5" s="19" t="s">
        <v>215</v>
      </c>
      <c r="H5" s="10" t="s">
        <v>216</v>
      </c>
      <c r="I5" s="19" t="s">
        <v>217</v>
      </c>
      <c r="J5" s="10" t="s">
        <v>218</v>
      </c>
    </row>
    <row r="6" spans="1:10" x14ac:dyDescent="0.3">
      <c r="A6" s="11">
        <v>2</v>
      </c>
      <c r="B6" s="10"/>
      <c r="C6" s="13"/>
      <c r="D6" s="10"/>
      <c r="E6" s="42"/>
      <c r="F6" s="10"/>
      <c r="G6" s="19"/>
      <c r="H6" s="10"/>
      <c r="I6" s="19"/>
      <c r="J6" s="10"/>
    </row>
    <row r="7" spans="1:10" x14ac:dyDescent="0.3">
      <c r="A7" s="11">
        <v>3</v>
      </c>
      <c r="B7" s="10"/>
      <c r="C7" s="13"/>
      <c r="D7" s="10"/>
      <c r="E7" s="42"/>
      <c r="F7" s="10"/>
      <c r="G7" s="19"/>
      <c r="H7" s="10"/>
      <c r="I7" s="19"/>
      <c r="J7" s="10"/>
    </row>
    <row r="8" spans="1:10" x14ac:dyDescent="0.3">
      <c r="A8" s="11">
        <v>4</v>
      </c>
      <c r="B8" s="10"/>
      <c r="C8" s="13"/>
      <c r="D8" s="10"/>
      <c r="E8" s="42"/>
      <c r="F8" s="10"/>
      <c r="G8" s="19"/>
      <c r="H8" s="10"/>
      <c r="I8" s="19"/>
      <c r="J8" s="10"/>
    </row>
    <row r="9" spans="1:10" x14ac:dyDescent="0.3">
      <c r="A9" s="11">
        <v>5</v>
      </c>
      <c r="B9" s="10"/>
      <c r="C9" s="13"/>
      <c r="D9" s="10"/>
      <c r="E9" s="42"/>
      <c r="F9" s="10"/>
      <c r="G9" s="19"/>
      <c r="H9" s="10"/>
      <c r="I9" s="19"/>
      <c r="J9" s="10"/>
    </row>
    <row r="10" spans="1:10" x14ac:dyDescent="0.3">
      <c r="A10" s="11">
        <v>6</v>
      </c>
      <c r="B10" s="10"/>
      <c r="C10" s="13"/>
      <c r="D10" s="10"/>
      <c r="E10" s="42"/>
      <c r="F10" s="10"/>
      <c r="G10" s="19"/>
      <c r="H10" s="10"/>
      <c r="I10" s="19"/>
      <c r="J10" s="10"/>
    </row>
    <row r="11" spans="1:10" x14ac:dyDescent="0.3">
      <c r="A11" s="11">
        <v>7</v>
      </c>
      <c r="B11" s="10"/>
      <c r="C11" s="13"/>
      <c r="D11" s="10"/>
      <c r="E11" s="42"/>
      <c r="F11" s="10"/>
      <c r="G11" s="19"/>
      <c r="H11" s="10"/>
      <c r="I11" s="19"/>
      <c r="J11" s="10"/>
    </row>
    <row r="12" spans="1:10" x14ac:dyDescent="0.3">
      <c r="A12" s="11">
        <v>8</v>
      </c>
      <c r="B12" s="10"/>
      <c r="C12" s="13"/>
      <c r="D12" s="10"/>
      <c r="E12" s="42"/>
      <c r="F12" s="10"/>
      <c r="G12" s="19"/>
      <c r="H12" s="10"/>
      <c r="I12" s="19"/>
      <c r="J12" s="10"/>
    </row>
    <row r="13" spans="1:10" x14ac:dyDescent="0.3">
      <c r="A13" s="11">
        <v>9</v>
      </c>
      <c r="B13" s="10"/>
      <c r="C13" s="13"/>
      <c r="D13" s="10"/>
      <c r="E13" s="42"/>
      <c r="F13" s="10"/>
      <c r="G13" s="19"/>
      <c r="H13" s="10"/>
      <c r="I13" s="19"/>
      <c r="J13" s="10"/>
    </row>
    <row r="14" spans="1:10" x14ac:dyDescent="0.3">
      <c r="A14" s="11">
        <v>10</v>
      </c>
      <c r="B14" s="10"/>
      <c r="C14" s="13"/>
      <c r="D14" s="10"/>
      <c r="E14" s="42"/>
      <c r="F14" s="10"/>
      <c r="G14" s="19"/>
      <c r="H14" s="10"/>
      <c r="I14" s="19"/>
      <c r="J14" s="10"/>
    </row>
    <row r="15" spans="1:10" x14ac:dyDescent="0.3">
      <c r="A15" s="11">
        <v>11</v>
      </c>
      <c r="B15" s="10"/>
      <c r="C15" s="13"/>
      <c r="D15" s="10"/>
      <c r="E15" s="42"/>
      <c r="F15" s="10"/>
      <c r="G15" s="19"/>
      <c r="H15" s="10"/>
      <c r="I15" s="19"/>
      <c r="J15" s="10"/>
    </row>
    <row r="16" spans="1:10" x14ac:dyDescent="0.3">
      <c r="A16" s="11">
        <v>12</v>
      </c>
      <c r="B16" s="10"/>
      <c r="C16" s="13"/>
      <c r="D16" s="10"/>
      <c r="E16" s="42"/>
      <c r="F16" s="10"/>
      <c r="G16" s="19"/>
      <c r="H16" s="10"/>
      <c r="I16" s="19"/>
      <c r="J16" s="10"/>
    </row>
    <row r="17" spans="1:10" x14ac:dyDescent="0.3">
      <c r="A17" s="11">
        <v>13</v>
      </c>
      <c r="B17" s="10"/>
      <c r="C17" s="13"/>
      <c r="D17" s="10"/>
      <c r="E17" s="42"/>
      <c r="F17" s="10"/>
      <c r="G17" s="19"/>
      <c r="H17" s="10"/>
      <c r="I17" s="19"/>
      <c r="J17" s="10"/>
    </row>
    <row r="18" spans="1:10" x14ac:dyDescent="0.3">
      <c r="A18" s="11">
        <v>14</v>
      </c>
      <c r="B18" s="10"/>
      <c r="C18" s="13"/>
      <c r="D18" s="10"/>
      <c r="E18" s="42"/>
      <c r="F18" s="10"/>
      <c r="G18" s="19"/>
      <c r="H18" s="10"/>
      <c r="I18" s="19"/>
      <c r="J18" s="10"/>
    </row>
    <row r="19" spans="1:10" x14ac:dyDescent="0.3">
      <c r="A19" s="11">
        <v>15</v>
      </c>
      <c r="B19" s="10"/>
      <c r="C19" s="13"/>
      <c r="D19" s="10"/>
      <c r="E19" s="42"/>
      <c r="F19" s="10"/>
      <c r="G19" s="19"/>
      <c r="H19" s="10"/>
      <c r="I19" s="19"/>
      <c r="J19" s="10"/>
    </row>
    <row r="20" spans="1:10" x14ac:dyDescent="0.3">
      <c r="A20" s="11">
        <v>16</v>
      </c>
      <c r="B20" s="10"/>
      <c r="C20" s="13"/>
      <c r="D20" s="10"/>
      <c r="E20" s="42"/>
      <c r="F20" s="10"/>
      <c r="G20" s="19"/>
      <c r="H20" s="10"/>
      <c r="I20" s="19"/>
      <c r="J20" s="10"/>
    </row>
    <row r="21" spans="1:10" x14ac:dyDescent="0.3">
      <c r="A21" s="11">
        <v>17</v>
      </c>
      <c r="B21" s="10"/>
      <c r="C21" s="13"/>
      <c r="D21" s="10"/>
      <c r="E21" s="42"/>
      <c r="F21" s="10"/>
      <c r="G21" s="19"/>
      <c r="H21" s="10"/>
      <c r="I21" s="19"/>
      <c r="J21" s="10"/>
    </row>
    <row r="22" spans="1:10" x14ac:dyDescent="0.3">
      <c r="A22" s="11">
        <v>18</v>
      </c>
      <c r="B22" s="10"/>
      <c r="C22" s="13"/>
      <c r="D22" s="10"/>
      <c r="E22" s="42"/>
      <c r="F22" s="10"/>
      <c r="G22" s="19"/>
      <c r="H22" s="10"/>
      <c r="I22" s="19"/>
      <c r="J22" s="10"/>
    </row>
    <row r="23" spans="1:10" x14ac:dyDescent="0.3">
      <c r="A23" s="11">
        <v>19</v>
      </c>
      <c r="B23" s="10"/>
      <c r="C23" s="13"/>
      <c r="D23" s="10"/>
      <c r="E23" s="42"/>
      <c r="F23" s="10"/>
      <c r="G23" s="19"/>
      <c r="H23" s="10"/>
      <c r="I23" s="19"/>
      <c r="J23" s="10"/>
    </row>
    <row r="24" spans="1:10" x14ac:dyDescent="0.3">
      <c r="A24" s="11">
        <v>20</v>
      </c>
      <c r="B24" s="10"/>
      <c r="C24" s="13"/>
      <c r="D24" s="10"/>
      <c r="E24" s="42"/>
      <c r="F24" s="10"/>
      <c r="G24" s="19"/>
      <c r="H24" s="10"/>
      <c r="I24" s="19"/>
      <c r="J24" s="10"/>
    </row>
    <row r="25" spans="1:10" x14ac:dyDescent="0.3">
      <c r="A25" s="11">
        <v>21</v>
      </c>
      <c r="B25" s="10"/>
      <c r="C25" s="13"/>
      <c r="D25" s="10"/>
      <c r="E25" s="42"/>
      <c r="F25" s="10"/>
      <c r="G25" s="19"/>
      <c r="H25" s="10"/>
      <c r="I25" s="19"/>
      <c r="J25" s="10"/>
    </row>
    <row r="26" spans="1:10" x14ac:dyDescent="0.3">
      <c r="A26" s="11">
        <v>22</v>
      </c>
      <c r="B26" s="10"/>
      <c r="C26" s="13"/>
      <c r="D26" s="10"/>
      <c r="E26" s="42"/>
      <c r="F26" s="10"/>
      <c r="G26" s="19"/>
      <c r="H26" s="10"/>
      <c r="I26" s="19"/>
      <c r="J26" s="10"/>
    </row>
    <row r="27" spans="1:10" x14ac:dyDescent="0.3">
      <c r="A27" s="11">
        <v>23</v>
      </c>
      <c r="B27" s="10"/>
      <c r="C27" s="13"/>
      <c r="D27" s="10"/>
      <c r="E27" s="42"/>
      <c r="F27" s="10"/>
      <c r="G27" s="19"/>
      <c r="H27" s="10"/>
      <c r="I27" s="19"/>
      <c r="J27" s="10"/>
    </row>
    <row r="28" spans="1:10" x14ac:dyDescent="0.3">
      <c r="A28" s="11">
        <v>24</v>
      </c>
      <c r="B28" s="10"/>
      <c r="C28" s="13"/>
      <c r="D28" s="10"/>
      <c r="E28" s="42"/>
      <c r="F28" s="10"/>
      <c r="G28" s="19"/>
      <c r="H28" s="10"/>
      <c r="I28" s="19"/>
      <c r="J28" s="10"/>
    </row>
    <row r="29" spans="1:10" x14ac:dyDescent="0.3">
      <c r="A29" s="11">
        <v>25</v>
      </c>
      <c r="B29" s="10"/>
      <c r="C29" s="13"/>
      <c r="D29" s="10"/>
      <c r="E29" s="42"/>
      <c r="F29" s="10"/>
      <c r="G29" s="19"/>
      <c r="H29" s="10"/>
      <c r="I29" s="19"/>
      <c r="J29" s="10"/>
    </row>
    <row r="31" spans="1:10" x14ac:dyDescent="0.3">
      <c r="B31" s="2" t="s">
        <v>219</v>
      </c>
    </row>
  </sheetData>
  <phoneticPr fontId="13" type="noConversion"/>
  <dataValidations count="3">
    <dataValidation type="list" allowBlank="1" sqref="F5:F29" xr:uid="{00000000-0002-0000-0500-000000000000}">
      <formula1>"2P 시작 위치,창 주변 절단,코너 랩,자투리 버림·재사용,보드 규격 차이,두께 구성 차이,산출 범위 차이,현장 산출 누락·중복,원인 미확인,기타"</formula1>
    </dataValidation>
    <dataValidation type="list" allowBlank="1" sqref="H5:H29" xr:uid="{00000000-0002-0000-0500-000001000000}">
      <formula1>"플랫폼 개선,현장 산출 확인,정상 편차,조건 재정렬"</formula1>
    </dataValidation>
    <dataValidation type="list" allowBlank="1" sqref="J5:J29" xr:uid="{00000000-0002-0000-0500-000002000000}">
      <formula1>"미착수,확인 필요,진행중,완료"</formula1>
    </dataValidation>
  </dataValidations>
  <printOptions horizontalCentered="1"/>
  <pageMargins left="0.4" right="0.4" top="1" bottom="1" header="0.5" footer="0.5"/>
  <pageSetup paperSize="8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3000000}">
          <x14:formula1>
            <xm:f>'01_현장조건'!$B$3:$D$3</xm:f>
          </x14:formula1>
          <xm:sqref>B5:B29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18"/>
  <sheetViews>
    <sheetView showGridLines="0" zoomScale="9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5" customWidth="1"/>
    <col min="2" max="2" width="34" customWidth="1"/>
    <col min="3" max="3" width="50" customWidth="1"/>
    <col min="4" max="6" width="12" customWidth="1"/>
  </cols>
  <sheetData>
    <row r="1" spans="1:6" ht="26.25" x14ac:dyDescent="0.5">
      <c r="A1" s="1" t="s">
        <v>220</v>
      </c>
    </row>
    <row r="2" spans="1:6" x14ac:dyDescent="0.3">
      <c r="A2" s="2" t="s">
        <v>221</v>
      </c>
    </row>
    <row r="4" spans="1:6" x14ac:dyDescent="0.3">
      <c r="A4" s="9" t="s">
        <v>137</v>
      </c>
      <c r="B4" s="9" t="s">
        <v>222</v>
      </c>
      <c r="C4" s="9" t="s">
        <v>223</v>
      </c>
      <c r="D4" s="9" t="str">
        <f>'01_현장조건'!B3</f>
        <v>부산장안</v>
      </c>
      <c r="E4" s="9" t="str">
        <f>'01_현장조건'!C3</f>
        <v>남원주1차</v>
      </c>
      <c r="F4" s="9" t="str">
        <f>'01_현장조건'!D3</f>
        <v>세종2차</v>
      </c>
    </row>
    <row r="5" spans="1:6" x14ac:dyDescent="0.3">
      <c r="A5" s="11">
        <v>1</v>
      </c>
      <c r="B5" s="43" t="s">
        <v>224</v>
      </c>
      <c r="C5" s="12" t="s">
        <v>225</v>
      </c>
      <c r="D5" s="10" t="s">
        <v>226</v>
      </c>
      <c r="E5" s="10" t="s">
        <v>226</v>
      </c>
      <c r="F5" s="10" t="s">
        <v>226</v>
      </c>
    </row>
    <row r="6" spans="1:6" x14ac:dyDescent="0.3">
      <c r="A6" s="11">
        <v>2</v>
      </c>
      <c r="B6" s="43" t="s">
        <v>227</v>
      </c>
      <c r="C6" s="12" t="s">
        <v>228</v>
      </c>
      <c r="D6" s="10" t="s">
        <v>226</v>
      </c>
      <c r="E6" s="10" t="s">
        <v>226</v>
      </c>
      <c r="F6" s="10" t="s">
        <v>226</v>
      </c>
    </row>
    <row r="7" spans="1:6" x14ac:dyDescent="0.3">
      <c r="A7" s="11">
        <v>3</v>
      </c>
      <c r="B7" s="43" t="s">
        <v>229</v>
      </c>
      <c r="C7" s="12" t="s">
        <v>230</v>
      </c>
      <c r="D7" s="10" t="s">
        <v>226</v>
      </c>
      <c r="E7" s="10" t="s">
        <v>226</v>
      </c>
      <c r="F7" s="10" t="s">
        <v>226</v>
      </c>
    </row>
    <row r="8" spans="1:6" x14ac:dyDescent="0.3">
      <c r="A8" s="11">
        <v>4</v>
      </c>
      <c r="B8" s="43" t="s">
        <v>231</v>
      </c>
      <c r="C8" s="12" t="s">
        <v>232</v>
      </c>
      <c r="D8" s="10" t="s">
        <v>226</v>
      </c>
      <c r="E8" s="10" t="s">
        <v>226</v>
      </c>
      <c r="F8" s="10" t="s">
        <v>226</v>
      </c>
    </row>
    <row r="9" spans="1:6" x14ac:dyDescent="0.3">
      <c r="A9" s="11">
        <v>5</v>
      </c>
      <c r="B9" s="43" t="s">
        <v>233</v>
      </c>
      <c r="C9" s="12" t="s">
        <v>234</v>
      </c>
      <c r="D9" s="10" t="s">
        <v>226</v>
      </c>
      <c r="E9" s="10" t="s">
        <v>226</v>
      </c>
      <c r="F9" s="10" t="s">
        <v>226</v>
      </c>
    </row>
    <row r="10" spans="1:6" x14ac:dyDescent="0.3">
      <c r="A10" s="11">
        <v>6</v>
      </c>
      <c r="B10" s="43" t="s">
        <v>235</v>
      </c>
      <c r="C10" s="12" t="s">
        <v>236</v>
      </c>
      <c r="D10" s="10" t="s">
        <v>226</v>
      </c>
      <c r="E10" s="10" t="s">
        <v>226</v>
      </c>
      <c r="F10" s="10" t="s">
        <v>226</v>
      </c>
    </row>
    <row r="11" spans="1:6" x14ac:dyDescent="0.3">
      <c r="A11" s="11">
        <v>7</v>
      </c>
      <c r="B11" s="43" t="s">
        <v>237</v>
      </c>
      <c r="C11" s="12" t="s">
        <v>238</v>
      </c>
      <c r="D11" s="10" t="s">
        <v>226</v>
      </c>
      <c r="E11" s="10" t="s">
        <v>226</v>
      </c>
      <c r="F11" s="10" t="s">
        <v>226</v>
      </c>
    </row>
    <row r="12" spans="1:6" x14ac:dyDescent="0.3">
      <c r="A12" s="11">
        <v>8</v>
      </c>
      <c r="B12" s="43" t="s">
        <v>239</v>
      </c>
      <c r="C12" s="12" t="s">
        <v>240</v>
      </c>
      <c r="D12" s="10" t="s">
        <v>226</v>
      </c>
      <c r="E12" s="10" t="s">
        <v>226</v>
      </c>
      <c r="F12" s="10" t="s">
        <v>226</v>
      </c>
    </row>
    <row r="13" spans="1:6" x14ac:dyDescent="0.3">
      <c r="A13" s="11">
        <v>9</v>
      </c>
      <c r="B13" s="43" t="s">
        <v>241</v>
      </c>
      <c r="C13" s="12" t="s">
        <v>242</v>
      </c>
      <c r="D13" s="10" t="s">
        <v>226</v>
      </c>
      <c r="E13" s="10" t="s">
        <v>226</v>
      </c>
      <c r="F13" s="10" t="s">
        <v>226</v>
      </c>
    </row>
    <row r="14" spans="1:6" x14ac:dyDescent="0.3">
      <c r="A14" s="11">
        <v>10</v>
      </c>
      <c r="B14" s="43" t="s">
        <v>243</v>
      </c>
      <c r="C14" s="12" t="s">
        <v>244</v>
      </c>
      <c r="D14" s="10" t="s">
        <v>226</v>
      </c>
      <c r="E14" s="10" t="s">
        <v>226</v>
      </c>
      <c r="F14" s="10" t="s">
        <v>226</v>
      </c>
    </row>
    <row r="15" spans="1:6" x14ac:dyDescent="0.3">
      <c r="A15" s="11">
        <v>11</v>
      </c>
      <c r="B15" s="43" t="s">
        <v>245</v>
      </c>
      <c r="C15" s="12" t="s">
        <v>246</v>
      </c>
      <c r="D15" s="10" t="s">
        <v>226</v>
      </c>
      <c r="E15" s="10" t="s">
        <v>226</v>
      </c>
      <c r="F15" s="10" t="s">
        <v>226</v>
      </c>
    </row>
    <row r="16" spans="1:6" ht="24" x14ac:dyDescent="0.3">
      <c r="A16" s="11">
        <v>12</v>
      </c>
      <c r="B16" s="43" t="s">
        <v>247</v>
      </c>
      <c r="C16" s="12" t="s">
        <v>248</v>
      </c>
      <c r="D16" s="10" t="s">
        <v>226</v>
      </c>
      <c r="E16" s="10" t="s">
        <v>226</v>
      </c>
      <c r="F16" s="10" t="s">
        <v>226</v>
      </c>
    </row>
    <row r="17" spans="2:6" x14ac:dyDescent="0.3">
      <c r="B17" s="104" t="s">
        <v>249</v>
      </c>
      <c r="C17" s="102"/>
      <c r="D17" s="44">
        <f>IFERROR((COUNTIF(D5:D16,"확인")+COUNTIF(D5:D16,"해당없음"))/ROWS(D5:D16),"")</f>
        <v>0</v>
      </c>
      <c r="E17" s="44">
        <f>IFERROR((COUNTIF(E5:E16,"확인")+COUNTIF(E5:E16,"해당없음"))/ROWS(E5:E16),"")</f>
        <v>0</v>
      </c>
      <c r="F17" s="44">
        <f>IFERROR((COUNTIF(F5:F16,"확인")+COUNTIF(F5:F16,"해당없음"))/ROWS(F5:F16),"")</f>
        <v>0</v>
      </c>
    </row>
    <row r="18" spans="2:6" x14ac:dyDescent="0.3">
      <c r="B18" s="104" t="s">
        <v>250</v>
      </c>
      <c r="C18" s="102"/>
      <c r="D18" s="30" t="str">
        <f>IF(COUNTIF(D5:D16,"불일치")&gt;0,"조건 불일치",IF(D17=1,"판정 가능","보류"))</f>
        <v>보류</v>
      </c>
      <c r="E18" s="30" t="str">
        <f>IF(COUNTIF(E5:E16,"불일치")&gt;0,"조건 불일치",IF(E17=1,"판정 가능","보류"))</f>
        <v>보류</v>
      </c>
      <c r="F18" s="30" t="str">
        <f>IF(COUNTIF(F5:F16,"불일치")&gt;0,"조건 불일치",IF(F17=1,"판정 가능","보류"))</f>
        <v>보류</v>
      </c>
    </row>
  </sheetData>
  <mergeCells count="2">
    <mergeCell ref="B18:C18"/>
    <mergeCell ref="B17:C17"/>
  </mergeCells>
  <phoneticPr fontId="13" type="noConversion"/>
  <dataValidations count="1">
    <dataValidation type="list" allowBlank="1" sqref="D5:F16" xr:uid="{00000000-0002-0000-0600-000000000000}">
      <formula1>"확인,미확인,불일치,해당없음"</formula1>
    </dataValidation>
  </dataValidations>
  <printOptions horizontalCentered="1"/>
  <pageMargins left="0.4" right="0.4" top="1" bottom="1" header="0.5" footer="0.5"/>
  <pageSetup paperSize="9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Q156"/>
  <sheetViews>
    <sheetView showGridLines="0" zoomScale="90" workbookViewId="0">
      <pane ySplit="3" topLeftCell="A46" activePane="bottomLeft" state="frozen"/>
      <selection pane="bottomLeft"/>
    </sheetView>
  </sheetViews>
  <sheetFormatPr defaultRowHeight="16.5" x14ac:dyDescent="0.3"/>
  <cols>
    <col min="1" max="1" width="9" customWidth="1"/>
    <col min="2" max="2" width="16" customWidth="1"/>
    <col min="3" max="19" width="11" customWidth="1"/>
  </cols>
  <sheetData>
    <row r="1" spans="1:17" ht="26.25" x14ac:dyDescent="0.5">
      <c r="A1" s="1" t="s">
        <v>251</v>
      </c>
    </row>
    <row r="2" spans="1:17" x14ac:dyDescent="0.3">
      <c r="A2" s="2" t="s">
        <v>252</v>
      </c>
    </row>
    <row r="4" spans="1:17" x14ac:dyDescent="0.3">
      <c r="A4" s="3" t="s">
        <v>253</v>
      </c>
    </row>
    <row r="5" spans="1:17" x14ac:dyDescent="0.3">
      <c r="A5" s="2" t="s">
        <v>254</v>
      </c>
    </row>
    <row r="6" spans="1:17" ht="30" customHeight="1" x14ac:dyDescent="0.3">
      <c r="A6" s="9" t="s">
        <v>255</v>
      </c>
      <c r="B6" s="9" t="s">
        <v>256</v>
      </c>
      <c r="C6" s="9" t="s">
        <v>257</v>
      </c>
      <c r="D6" s="9" t="s">
        <v>258</v>
      </c>
      <c r="E6" s="9" t="s">
        <v>259</v>
      </c>
      <c r="F6" s="9" t="s">
        <v>260</v>
      </c>
      <c r="G6" s="9" t="s">
        <v>261</v>
      </c>
      <c r="H6" s="9" t="s">
        <v>262</v>
      </c>
      <c r="I6" s="9" t="s">
        <v>263</v>
      </c>
      <c r="J6" s="9" t="s">
        <v>264</v>
      </c>
      <c r="K6" s="9" t="s">
        <v>265</v>
      </c>
      <c r="L6" s="9" t="s">
        <v>266</v>
      </c>
      <c r="M6" s="9" t="s">
        <v>267</v>
      </c>
      <c r="N6" s="9" t="s">
        <v>268</v>
      </c>
      <c r="O6" s="9" t="s">
        <v>269</v>
      </c>
      <c r="P6" s="9" t="s">
        <v>270</v>
      </c>
      <c r="Q6" s="9" t="s">
        <v>271</v>
      </c>
    </row>
    <row r="7" spans="1:17" ht="27" x14ac:dyDescent="0.3">
      <c r="A7" s="11" t="s">
        <v>272</v>
      </c>
      <c r="B7" s="11" t="s">
        <v>273</v>
      </c>
      <c r="C7" s="45">
        <v>0</v>
      </c>
      <c r="D7" s="45">
        <v>1</v>
      </c>
      <c r="E7" s="45">
        <v>0</v>
      </c>
      <c r="F7" s="45">
        <v>1</v>
      </c>
      <c r="G7" s="11" t="s">
        <v>274</v>
      </c>
      <c r="H7" s="46">
        <v>114</v>
      </c>
      <c r="I7" s="46">
        <v>71.3</v>
      </c>
      <c r="J7" s="46">
        <v>107.62</v>
      </c>
      <c r="K7" s="46">
        <v>68.16</v>
      </c>
      <c r="L7" s="47">
        <v>6</v>
      </c>
      <c r="M7" s="47">
        <v>4.5999999999999996</v>
      </c>
      <c r="N7" s="46">
        <v>175.78</v>
      </c>
      <c r="O7" s="46">
        <v>185.33</v>
      </c>
      <c r="P7" s="45">
        <v>9.5500000000000007</v>
      </c>
      <c r="Q7" s="47">
        <v>5.4</v>
      </c>
    </row>
    <row r="8" spans="1:17" ht="27" x14ac:dyDescent="0.3">
      <c r="A8" s="11" t="s">
        <v>272</v>
      </c>
      <c r="B8" s="11" t="s">
        <v>275</v>
      </c>
      <c r="C8" s="45">
        <v>0</v>
      </c>
      <c r="D8" s="45">
        <v>0</v>
      </c>
      <c r="E8" s="45">
        <v>22</v>
      </c>
      <c r="F8" s="45">
        <v>22</v>
      </c>
      <c r="G8" s="11" t="s">
        <v>274</v>
      </c>
      <c r="H8" s="46">
        <v>2770.4</v>
      </c>
      <c r="I8" s="46">
        <v>1777.2</v>
      </c>
      <c r="J8" s="46">
        <v>2582.7399999999998</v>
      </c>
      <c r="K8" s="46">
        <v>1772.49</v>
      </c>
      <c r="L8" s="47">
        <v>7.3</v>
      </c>
      <c r="M8" s="47">
        <v>0.3</v>
      </c>
      <c r="N8" s="46">
        <v>4355.22</v>
      </c>
      <c r="O8" s="46">
        <v>4547.66</v>
      </c>
      <c r="P8" s="45">
        <v>192.44</v>
      </c>
      <c r="Q8" s="47">
        <v>4.4000000000000004</v>
      </c>
    </row>
    <row r="9" spans="1:17" ht="27" x14ac:dyDescent="0.3">
      <c r="A9" s="11" t="s">
        <v>272</v>
      </c>
      <c r="B9" s="11" t="s">
        <v>276</v>
      </c>
      <c r="C9" s="45">
        <v>0</v>
      </c>
      <c r="D9" s="45">
        <v>1</v>
      </c>
      <c r="E9" s="45">
        <v>23</v>
      </c>
      <c r="F9" s="45">
        <v>24</v>
      </c>
      <c r="G9" s="11" t="s">
        <v>274</v>
      </c>
      <c r="H9" s="46">
        <v>3031.8</v>
      </c>
      <c r="I9" s="46">
        <v>1316.3</v>
      </c>
      <c r="J9" s="46">
        <v>2834.94</v>
      </c>
      <c r="K9" s="46">
        <v>1264.57</v>
      </c>
      <c r="L9" s="47">
        <v>6.9</v>
      </c>
      <c r="M9" s="47">
        <v>4.0999999999999996</v>
      </c>
      <c r="N9" s="46">
        <v>4099.51</v>
      </c>
      <c r="O9" s="46">
        <v>4348.08</v>
      </c>
      <c r="P9" s="45">
        <v>248.57</v>
      </c>
      <c r="Q9" s="47">
        <v>6.1</v>
      </c>
    </row>
    <row r="10" spans="1:17" ht="27" x14ac:dyDescent="0.3">
      <c r="A10" s="11" t="s">
        <v>272</v>
      </c>
      <c r="B10" s="11" t="s">
        <v>277</v>
      </c>
      <c r="C10" s="45">
        <v>1</v>
      </c>
      <c r="D10" s="45">
        <v>1</v>
      </c>
      <c r="E10" s="45">
        <v>22</v>
      </c>
      <c r="F10" s="45">
        <v>24</v>
      </c>
      <c r="G10" s="11" t="s">
        <v>274</v>
      </c>
      <c r="H10" s="46">
        <v>2865.5</v>
      </c>
      <c r="I10" s="46">
        <v>1777.2</v>
      </c>
      <c r="J10" s="46">
        <v>2610.84</v>
      </c>
      <c r="K10" s="46">
        <v>1728.34</v>
      </c>
      <c r="L10" s="47">
        <v>9.8000000000000007</v>
      </c>
      <c r="M10" s="47">
        <v>2.8</v>
      </c>
      <c r="N10" s="46">
        <v>4339.18</v>
      </c>
      <c r="O10" s="46">
        <v>4642.7</v>
      </c>
      <c r="P10" s="45">
        <v>303.52999999999997</v>
      </c>
      <c r="Q10" s="47">
        <v>7</v>
      </c>
    </row>
    <row r="11" spans="1:17" ht="27" x14ac:dyDescent="0.3">
      <c r="A11" s="11" t="s">
        <v>272</v>
      </c>
      <c r="B11" s="11" t="s">
        <v>278</v>
      </c>
      <c r="C11" s="45">
        <v>2</v>
      </c>
      <c r="D11" s="45">
        <v>2</v>
      </c>
      <c r="E11" s="45">
        <v>44</v>
      </c>
      <c r="F11" s="45">
        <v>48</v>
      </c>
      <c r="G11" s="11" t="s">
        <v>274</v>
      </c>
      <c r="H11" s="46">
        <v>4704.5</v>
      </c>
      <c r="I11" s="46">
        <v>2528.1</v>
      </c>
      <c r="J11" s="46">
        <v>4213.38</v>
      </c>
      <c r="K11" s="46">
        <v>2424.16</v>
      </c>
      <c r="L11" s="47">
        <v>11.7</v>
      </c>
      <c r="M11" s="47">
        <v>4.3</v>
      </c>
      <c r="N11" s="46">
        <v>6637.54</v>
      </c>
      <c r="O11" s="46">
        <v>7232.54</v>
      </c>
      <c r="P11" s="45">
        <v>595</v>
      </c>
      <c r="Q11" s="47">
        <v>9</v>
      </c>
    </row>
    <row r="12" spans="1:17" ht="27" x14ac:dyDescent="0.3">
      <c r="A12" s="11" t="s">
        <v>279</v>
      </c>
      <c r="B12" s="11" t="s">
        <v>280</v>
      </c>
      <c r="C12" s="45">
        <v>0</v>
      </c>
      <c r="D12" s="45">
        <v>1</v>
      </c>
      <c r="E12" s="45">
        <v>20</v>
      </c>
      <c r="F12" s="45">
        <v>21</v>
      </c>
      <c r="G12" s="11" t="s">
        <v>274</v>
      </c>
      <c r="H12" s="46">
        <v>1950.7</v>
      </c>
      <c r="I12" s="46">
        <v>1052.5999999999999</v>
      </c>
      <c r="J12" s="46">
        <v>1743.38</v>
      </c>
      <c r="K12" s="46">
        <v>965.38</v>
      </c>
      <c r="L12" s="47">
        <v>11.9</v>
      </c>
      <c r="M12" s="47">
        <v>9</v>
      </c>
      <c r="N12" s="46">
        <v>2708.76</v>
      </c>
      <c r="O12" s="46">
        <v>3003.26</v>
      </c>
      <c r="P12" s="45">
        <v>294.5</v>
      </c>
      <c r="Q12" s="47">
        <v>10.9</v>
      </c>
    </row>
    <row r="13" spans="1:17" ht="27" x14ac:dyDescent="0.3">
      <c r="A13" s="11" t="s">
        <v>279</v>
      </c>
      <c r="B13" s="11" t="s">
        <v>275</v>
      </c>
      <c r="C13" s="45">
        <v>1</v>
      </c>
      <c r="D13" s="45">
        <v>1</v>
      </c>
      <c r="E13" s="45">
        <v>22</v>
      </c>
      <c r="F13" s="45">
        <v>24</v>
      </c>
      <c r="G13" s="11" t="s">
        <v>274</v>
      </c>
      <c r="H13" s="46">
        <v>3036.5</v>
      </c>
      <c r="I13" s="46">
        <v>1953.1</v>
      </c>
      <c r="J13" s="46">
        <v>2837.51</v>
      </c>
      <c r="K13" s="46">
        <v>1947.39</v>
      </c>
      <c r="L13" s="47">
        <v>7</v>
      </c>
      <c r="M13" s="47">
        <v>0.3</v>
      </c>
      <c r="N13" s="46">
        <v>4784.8900000000003</v>
      </c>
      <c r="O13" s="46">
        <v>4989.6000000000004</v>
      </c>
      <c r="P13" s="45">
        <v>204.71</v>
      </c>
      <c r="Q13" s="47">
        <v>4.3</v>
      </c>
    </row>
    <row r="14" spans="1:17" ht="27" x14ac:dyDescent="0.3">
      <c r="A14" s="11" t="s">
        <v>279</v>
      </c>
      <c r="B14" s="11" t="s">
        <v>276</v>
      </c>
      <c r="C14" s="45">
        <v>1</v>
      </c>
      <c r="D14" s="45">
        <v>0</v>
      </c>
      <c r="E14" s="45">
        <v>21</v>
      </c>
      <c r="F14" s="45">
        <v>22</v>
      </c>
      <c r="G14" s="11" t="s">
        <v>274</v>
      </c>
      <c r="H14" s="46">
        <v>2779.9</v>
      </c>
      <c r="I14" s="46">
        <v>1207</v>
      </c>
      <c r="J14" s="46">
        <v>2599.52</v>
      </c>
      <c r="K14" s="46">
        <v>1159.57</v>
      </c>
      <c r="L14" s="47">
        <v>6.9</v>
      </c>
      <c r="M14" s="47">
        <v>4.0999999999999996</v>
      </c>
      <c r="N14" s="46">
        <v>3759.08</v>
      </c>
      <c r="O14" s="46">
        <v>3986.93</v>
      </c>
      <c r="P14" s="45">
        <v>227.84</v>
      </c>
      <c r="Q14" s="47">
        <v>6.1</v>
      </c>
    </row>
    <row r="15" spans="1:17" ht="27" x14ac:dyDescent="0.3">
      <c r="A15" s="11" t="s">
        <v>279</v>
      </c>
      <c r="B15" s="11" t="s">
        <v>281</v>
      </c>
      <c r="C15" s="45">
        <v>0</v>
      </c>
      <c r="D15" s="45">
        <v>2</v>
      </c>
      <c r="E15" s="45">
        <v>0</v>
      </c>
      <c r="F15" s="45">
        <v>2</v>
      </c>
      <c r="G15" s="11" t="s">
        <v>274</v>
      </c>
      <c r="H15" s="46">
        <v>308.89999999999998</v>
      </c>
      <c r="I15" s="46">
        <v>156.80000000000001</v>
      </c>
      <c r="J15" s="46">
        <v>294.52</v>
      </c>
      <c r="K15" s="46">
        <v>151.53</v>
      </c>
      <c r="L15" s="47">
        <v>4.9000000000000004</v>
      </c>
      <c r="M15" s="47">
        <v>3.5</v>
      </c>
      <c r="N15" s="46">
        <v>446.05</v>
      </c>
      <c r="O15" s="46">
        <v>465.7</v>
      </c>
      <c r="P15" s="45">
        <v>19.649999999999999</v>
      </c>
      <c r="Q15" s="47">
        <v>4.4000000000000004</v>
      </c>
    </row>
    <row r="16" spans="1:17" ht="27" x14ac:dyDescent="0.3">
      <c r="A16" s="11" t="s">
        <v>279</v>
      </c>
      <c r="B16" s="11" t="s">
        <v>277</v>
      </c>
      <c r="C16" s="45">
        <v>1</v>
      </c>
      <c r="D16" s="45">
        <v>1</v>
      </c>
      <c r="E16" s="45">
        <v>20</v>
      </c>
      <c r="F16" s="45">
        <v>22</v>
      </c>
      <c r="G16" s="11" t="s">
        <v>274</v>
      </c>
      <c r="H16" s="46">
        <v>2627.9</v>
      </c>
      <c r="I16" s="46">
        <v>1629.9</v>
      </c>
      <c r="J16" s="46">
        <v>2394.84</v>
      </c>
      <c r="K16" s="46">
        <v>1585.36</v>
      </c>
      <c r="L16" s="47">
        <v>9.6999999999999993</v>
      </c>
      <c r="M16" s="47">
        <v>2.8</v>
      </c>
      <c r="N16" s="46">
        <v>3980.21</v>
      </c>
      <c r="O16" s="46">
        <v>4257.79</v>
      </c>
      <c r="P16" s="45">
        <v>277.58999999999997</v>
      </c>
      <c r="Q16" s="47">
        <v>7</v>
      </c>
    </row>
    <row r="17" spans="1:17" ht="27" x14ac:dyDescent="0.3">
      <c r="A17" s="11" t="s">
        <v>279</v>
      </c>
      <c r="B17" s="11" t="s">
        <v>278</v>
      </c>
      <c r="C17" s="45">
        <v>1</v>
      </c>
      <c r="D17" s="45">
        <v>1</v>
      </c>
      <c r="E17" s="45">
        <v>20</v>
      </c>
      <c r="F17" s="45">
        <v>22</v>
      </c>
      <c r="G17" s="11" t="s">
        <v>274</v>
      </c>
      <c r="H17" s="46">
        <v>2157.4</v>
      </c>
      <c r="I17" s="46">
        <v>1159.5</v>
      </c>
      <c r="J17" s="46">
        <v>1932.44</v>
      </c>
      <c r="K17" s="46">
        <v>1111.8599999999999</v>
      </c>
      <c r="L17" s="47">
        <v>11.6</v>
      </c>
      <c r="M17" s="47">
        <v>4.3</v>
      </c>
      <c r="N17" s="46">
        <v>3044.3</v>
      </c>
      <c r="O17" s="46">
        <v>3316.9</v>
      </c>
      <c r="P17" s="45">
        <v>272.60000000000002</v>
      </c>
      <c r="Q17" s="47">
        <v>9</v>
      </c>
    </row>
    <row r="18" spans="1:17" ht="27" x14ac:dyDescent="0.3">
      <c r="A18" s="11" t="s">
        <v>282</v>
      </c>
      <c r="B18" s="11" t="s">
        <v>273</v>
      </c>
      <c r="C18" s="45">
        <v>1</v>
      </c>
      <c r="D18" s="45">
        <v>1</v>
      </c>
      <c r="E18" s="45">
        <v>23</v>
      </c>
      <c r="F18" s="45">
        <v>25</v>
      </c>
      <c r="G18" s="11" t="s">
        <v>274</v>
      </c>
      <c r="H18" s="46">
        <v>2687.3</v>
      </c>
      <c r="I18" s="46">
        <v>1618.1</v>
      </c>
      <c r="J18" s="46">
        <v>2480.0100000000002</v>
      </c>
      <c r="K18" s="46">
        <v>1563.87</v>
      </c>
      <c r="L18" s="47">
        <v>8.4</v>
      </c>
      <c r="M18" s="47">
        <v>3.5</v>
      </c>
      <c r="N18" s="46">
        <v>4043.88</v>
      </c>
      <c r="O18" s="46">
        <v>4305.3100000000004</v>
      </c>
      <c r="P18" s="45">
        <v>261.43</v>
      </c>
      <c r="Q18" s="47">
        <v>6.5</v>
      </c>
    </row>
    <row r="19" spans="1:17" ht="27" x14ac:dyDescent="0.3">
      <c r="A19" s="11" t="s">
        <v>282</v>
      </c>
      <c r="B19" s="11" t="s">
        <v>280</v>
      </c>
      <c r="C19" s="45">
        <v>1</v>
      </c>
      <c r="D19" s="45">
        <v>1</v>
      </c>
      <c r="E19" s="45">
        <v>23</v>
      </c>
      <c r="F19" s="45">
        <v>25</v>
      </c>
      <c r="G19" s="11" t="s">
        <v>274</v>
      </c>
      <c r="H19" s="46">
        <v>2326.1</v>
      </c>
      <c r="I19" s="46">
        <v>1256.9000000000001</v>
      </c>
      <c r="J19" s="46">
        <v>2081.89</v>
      </c>
      <c r="K19" s="46">
        <v>1153.19</v>
      </c>
      <c r="L19" s="47">
        <v>11.7</v>
      </c>
      <c r="M19" s="47">
        <v>9</v>
      </c>
      <c r="N19" s="46">
        <v>3235.08</v>
      </c>
      <c r="O19" s="46">
        <v>3583.01</v>
      </c>
      <c r="P19" s="45">
        <v>347.93</v>
      </c>
      <c r="Q19" s="47">
        <v>10.8</v>
      </c>
    </row>
    <row r="20" spans="1:17" ht="27" x14ac:dyDescent="0.3">
      <c r="A20" s="11" t="s">
        <v>282</v>
      </c>
      <c r="B20" s="11" t="s">
        <v>277</v>
      </c>
      <c r="C20" s="45">
        <v>1</v>
      </c>
      <c r="D20" s="45">
        <v>1</v>
      </c>
      <c r="E20" s="45">
        <v>23</v>
      </c>
      <c r="F20" s="45">
        <v>25</v>
      </c>
      <c r="G20" s="11" t="s">
        <v>274</v>
      </c>
      <c r="H20" s="46">
        <v>2984.3</v>
      </c>
      <c r="I20" s="46">
        <v>1850.9</v>
      </c>
      <c r="J20" s="46">
        <v>2718.84</v>
      </c>
      <c r="K20" s="46">
        <v>1799.82</v>
      </c>
      <c r="L20" s="47">
        <v>9.8000000000000007</v>
      </c>
      <c r="M20" s="47">
        <v>2.8</v>
      </c>
      <c r="N20" s="46">
        <v>4518.66</v>
      </c>
      <c r="O20" s="46">
        <v>4835.16</v>
      </c>
      <c r="P20" s="45">
        <v>316.5</v>
      </c>
      <c r="Q20" s="47">
        <v>7</v>
      </c>
    </row>
    <row r="21" spans="1:17" ht="27" x14ac:dyDescent="0.3">
      <c r="A21" s="11" t="s">
        <v>282</v>
      </c>
      <c r="B21" s="11" t="s">
        <v>278</v>
      </c>
      <c r="C21" s="45">
        <v>0</v>
      </c>
      <c r="D21" s="45">
        <v>1</v>
      </c>
      <c r="E21" s="45">
        <v>23</v>
      </c>
      <c r="F21" s="45">
        <v>24</v>
      </c>
      <c r="G21" s="11" t="s">
        <v>274</v>
      </c>
      <c r="H21" s="46">
        <v>2345.1</v>
      </c>
      <c r="I21" s="46">
        <v>1259.3</v>
      </c>
      <c r="J21" s="46">
        <v>2098.85</v>
      </c>
      <c r="K21" s="46">
        <v>1207.3599999999999</v>
      </c>
      <c r="L21" s="47">
        <v>11.7</v>
      </c>
      <c r="M21" s="47">
        <v>4.3</v>
      </c>
      <c r="N21" s="46">
        <v>3306.2</v>
      </c>
      <c r="O21" s="46">
        <v>3604.39</v>
      </c>
      <c r="P21" s="45">
        <v>298.19</v>
      </c>
      <c r="Q21" s="47">
        <v>9</v>
      </c>
    </row>
    <row r="22" spans="1:17" ht="27" x14ac:dyDescent="0.3">
      <c r="A22" s="11" t="s">
        <v>283</v>
      </c>
      <c r="B22" s="11" t="s">
        <v>277</v>
      </c>
      <c r="C22" s="45">
        <v>0</v>
      </c>
      <c r="D22" s="45">
        <v>2</v>
      </c>
      <c r="E22" s="45">
        <v>42</v>
      </c>
      <c r="F22" s="45">
        <v>44</v>
      </c>
      <c r="G22" s="11" t="s">
        <v>274</v>
      </c>
      <c r="H22" s="46">
        <v>5241.5</v>
      </c>
      <c r="I22" s="46">
        <v>3250.4</v>
      </c>
      <c r="J22" s="46">
        <v>4770.83</v>
      </c>
      <c r="K22" s="46">
        <v>3158.05</v>
      </c>
      <c r="L22" s="47">
        <v>9.9</v>
      </c>
      <c r="M22" s="47">
        <v>2.9</v>
      </c>
      <c r="N22" s="46">
        <v>7928.88</v>
      </c>
      <c r="O22" s="46">
        <v>8491.82</v>
      </c>
      <c r="P22" s="45">
        <v>562.95000000000005</v>
      </c>
      <c r="Q22" s="47">
        <v>7.1</v>
      </c>
    </row>
    <row r="23" spans="1:17" ht="27" x14ac:dyDescent="0.3">
      <c r="A23" s="11" t="s">
        <v>283</v>
      </c>
      <c r="B23" s="11" t="s">
        <v>278</v>
      </c>
      <c r="C23" s="45">
        <v>0</v>
      </c>
      <c r="D23" s="45">
        <v>2</v>
      </c>
      <c r="E23" s="45">
        <v>42</v>
      </c>
      <c r="F23" s="45">
        <v>44</v>
      </c>
      <c r="G23" s="11" t="s">
        <v>274</v>
      </c>
      <c r="H23" s="46">
        <v>4300.6000000000004</v>
      </c>
      <c r="I23" s="46">
        <v>2309.5</v>
      </c>
      <c r="J23" s="46">
        <v>3849.19</v>
      </c>
      <c r="K23" s="46">
        <v>2214.2800000000002</v>
      </c>
      <c r="L23" s="47">
        <v>11.7</v>
      </c>
      <c r="M23" s="47">
        <v>4.3</v>
      </c>
      <c r="N23" s="46">
        <v>6063.47</v>
      </c>
      <c r="O23" s="46">
        <v>6610.03</v>
      </c>
      <c r="P23" s="45">
        <v>546.55999999999995</v>
      </c>
      <c r="Q23" s="47">
        <v>9</v>
      </c>
    </row>
    <row r="24" spans="1:17" x14ac:dyDescent="0.3">
      <c r="A24" s="30" t="s">
        <v>284</v>
      </c>
      <c r="B24" s="30"/>
      <c r="C24" s="30"/>
      <c r="D24" s="30"/>
      <c r="E24" s="30"/>
      <c r="F24" s="48">
        <v>419</v>
      </c>
      <c r="G24" s="30"/>
      <c r="H24" s="49">
        <v>46232.2</v>
      </c>
      <c r="I24" s="49">
        <v>26174</v>
      </c>
      <c r="J24" s="49">
        <v>42151.33</v>
      </c>
      <c r="K24" s="49">
        <v>25275.360000000001</v>
      </c>
      <c r="L24" s="50">
        <v>9.6999999999999993</v>
      </c>
      <c r="M24" s="50">
        <v>3.6</v>
      </c>
      <c r="N24" s="49">
        <v>67426.679999999993</v>
      </c>
      <c r="O24" s="49">
        <v>72406.22</v>
      </c>
      <c r="P24" s="48">
        <v>4979.54</v>
      </c>
      <c r="Q24" s="50">
        <v>7.4</v>
      </c>
    </row>
    <row r="25" spans="1:17" x14ac:dyDescent="0.3">
      <c r="A25" s="51" t="s">
        <v>285</v>
      </c>
      <c r="H25" s="52">
        <f>ROUND(H24/2.376,0)</f>
        <v>19458</v>
      </c>
      <c r="I25" s="52">
        <f>ROUND(I24/2.376,0)</f>
        <v>11016</v>
      </c>
    </row>
    <row r="28" spans="1:17" x14ac:dyDescent="0.3">
      <c r="A28" s="3" t="s">
        <v>286</v>
      </c>
    </row>
    <row r="29" spans="1:17" x14ac:dyDescent="0.3">
      <c r="A29" s="2" t="s">
        <v>287</v>
      </c>
    </row>
    <row r="30" spans="1:17" ht="30" customHeight="1" x14ac:dyDescent="0.3">
      <c r="A30" s="9" t="s">
        <v>255</v>
      </c>
      <c r="B30" s="9" t="s">
        <v>256</v>
      </c>
      <c r="C30" s="9" t="s">
        <v>257</v>
      </c>
      <c r="D30" s="9" t="s">
        <v>258</v>
      </c>
      <c r="E30" s="9" t="s">
        <v>259</v>
      </c>
      <c r="F30" s="9" t="s">
        <v>260</v>
      </c>
      <c r="G30" s="9" t="s">
        <v>261</v>
      </c>
      <c r="H30" s="9" t="s">
        <v>288</v>
      </c>
      <c r="I30" s="9" t="s">
        <v>289</v>
      </c>
      <c r="J30" s="9" t="s">
        <v>290</v>
      </c>
      <c r="K30" s="9" t="s">
        <v>291</v>
      </c>
      <c r="L30" s="9" t="s">
        <v>292</v>
      </c>
      <c r="M30" s="9" t="s">
        <v>293</v>
      </c>
      <c r="N30" s="9" t="s">
        <v>268</v>
      </c>
      <c r="O30" s="9" t="s">
        <v>269</v>
      </c>
      <c r="P30" s="9" t="s">
        <v>270</v>
      </c>
      <c r="Q30" s="9" t="s">
        <v>271</v>
      </c>
    </row>
    <row r="31" spans="1:17" ht="27" x14ac:dyDescent="0.3">
      <c r="A31" s="11" t="s">
        <v>294</v>
      </c>
      <c r="B31" s="11" t="s">
        <v>295</v>
      </c>
      <c r="C31" s="45">
        <v>2</v>
      </c>
      <c r="D31" s="45">
        <v>1</v>
      </c>
      <c r="E31" s="45">
        <v>38</v>
      </c>
      <c r="F31" s="45">
        <v>41</v>
      </c>
      <c r="G31" s="11" t="s">
        <v>296</v>
      </c>
      <c r="H31" s="46">
        <v>6663.8</v>
      </c>
      <c r="I31" s="46">
        <v>2893.8</v>
      </c>
      <c r="J31" s="46">
        <v>6191.17</v>
      </c>
      <c r="K31" s="46">
        <v>2680.14</v>
      </c>
      <c r="L31" s="47">
        <v>7.6</v>
      </c>
      <c r="M31" s="47">
        <v>8</v>
      </c>
      <c r="N31" s="46">
        <v>8871.31</v>
      </c>
      <c r="O31" s="46">
        <v>9557.6</v>
      </c>
      <c r="P31" s="45">
        <v>686.29</v>
      </c>
      <c r="Q31" s="47">
        <v>7.7</v>
      </c>
    </row>
    <row r="32" spans="1:17" ht="27" x14ac:dyDescent="0.3">
      <c r="A32" s="11" t="s">
        <v>294</v>
      </c>
      <c r="B32" s="11" t="s">
        <v>297</v>
      </c>
      <c r="C32" s="45">
        <v>0</v>
      </c>
      <c r="D32" s="45">
        <v>0</v>
      </c>
      <c r="E32" s="45">
        <v>4</v>
      </c>
      <c r="F32" s="45">
        <v>4</v>
      </c>
      <c r="G32" s="11" t="s">
        <v>296</v>
      </c>
      <c r="H32" s="46">
        <v>488.8</v>
      </c>
      <c r="I32" s="46">
        <v>260</v>
      </c>
      <c r="J32" s="46">
        <v>441.35</v>
      </c>
      <c r="K32" s="46">
        <v>246</v>
      </c>
      <c r="L32" s="47">
        <v>10.8</v>
      </c>
      <c r="M32" s="47">
        <v>5.7</v>
      </c>
      <c r="N32" s="46">
        <v>687.35</v>
      </c>
      <c r="O32" s="46">
        <v>748.8</v>
      </c>
      <c r="P32" s="45">
        <v>61.45</v>
      </c>
      <c r="Q32" s="47">
        <v>8.9</v>
      </c>
    </row>
    <row r="33" spans="1:17" ht="27" x14ac:dyDescent="0.3">
      <c r="A33" s="11" t="s">
        <v>294</v>
      </c>
      <c r="B33" s="11" t="s">
        <v>298</v>
      </c>
      <c r="C33" s="45">
        <v>4</v>
      </c>
      <c r="D33" s="45">
        <v>2</v>
      </c>
      <c r="E33" s="45">
        <v>67</v>
      </c>
      <c r="F33" s="45">
        <v>73</v>
      </c>
      <c r="G33" s="11" t="s">
        <v>296</v>
      </c>
      <c r="H33" s="46">
        <v>7464.6</v>
      </c>
      <c r="I33" s="46">
        <v>3242.2</v>
      </c>
      <c r="J33" s="46">
        <v>6549.66</v>
      </c>
      <c r="K33" s="46">
        <v>2930.28</v>
      </c>
      <c r="L33" s="47">
        <v>14</v>
      </c>
      <c r="M33" s="47">
        <v>10.6</v>
      </c>
      <c r="N33" s="46">
        <v>9479.94</v>
      </c>
      <c r="O33" s="46">
        <v>10706.8</v>
      </c>
      <c r="P33" s="45">
        <v>1226.8599999999999</v>
      </c>
      <c r="Q33" s="47">
        <v>12.9</v>
      </c>
    </row>
    <row r="34" spans="1:17" ht="27" x14ac:dyDescent="0.3">
      <c r="A34" s="11" t="s">
        <v>294</v>
      </c>
      <c r="B34" s="11" t="s">
        <v>299</v>
      </c>
      <c r="C34" s="45">
        <v>2</v>
      </c>
      <c r="D34" s="45">
        <v>1</v>
      </c>
      <c r="E34" s="45">
        <v>38</v>
      </c>
      <c r="F34" s="45">
        <v>41</v>
      </c>
      <c r="G34" s="11" t="s">
        <v>296</v>
      </c>
      <c r="H34" s="46">
        <v>5254.6</v>
      </c>
      <c r="I34" s="46">
        <v>2795</v>
      </c>
      <c r="J34" s="46">
        <v>4676.88</v>
      </c>
      <c r="K34" s="46">
        <v>2672.3</v>
      </c>
      <c r="L34" s="47">
        <v>12.4</v>
      </c>
      <c r="M34" s="47">
        <v>4.5999999999999996</v>
      </c>
      <c r="N34" s="46">
        <v>7349.18</v>
      </c>
      <c r="O34" s="46">
        <v>8049.6</v>
      </c>
      <c r="P34" s="45">
        <v>700.42</v>
      </c>
      <c r="Q34" s="47">
        <v>9.5</v>
      </c>
    </row>
    <row r="35" spans="1:17" ht="27" x14ac:dyDescent="0.3">
      <c r="A35" s="11" t="s">
        <v>294</v>
      </c>
      <c r="B35" s="11" t="s">
        <v>300</v>
      </c>
      <c r="C35" s="45">
        <v>3</v>
      </c>
      <c r="D35" s="45">
        <v>1</v>
      </c>
      <c r="E35" s="45">
        <v>33</v>
      </c>
      <c r="F35" s="45">
        <v>37</v>
      </c>
      <c r="G35" s="11" t="s">
        <v>296</v>
      </c>
      <c r="H35" s="46">
        <v>5439.2</v>
      </c>
      <c r="I35" s="46">
        <v>2436.1999999999998</v>
      </c>
      <c r="J35" s="46">
        <v>5077.1499999999996</v>
      </c>
      <c r="K35" s="46">
        <v>2333.29</v>
      </c>
      <c r="L35" s="47">
        <v>7.1</v>
      </c>
      <c r="M35" s="47">
        <v>4.4000000000000004</v>
      </c>
      <c r="N35" s="46">
        <v>7410.44</v>
      </c>
      <c r="O35" s="46">
        <v>7875.4</v>
      </c>
      <c r="P35" s="45">
        <v>464.96</v>
      </c>
      <c r="Q35" s="47">
        <v>6.3</v>
      </c>
    </row>
    <row r="36" spans="1:17" ht="27" x14ac:dyDescent="0.3">
      <c r="A36" s="11" t="s">
        <v>301</v>
      </c>
      <c r="B36" s="11" t="s">
        <v>295</v>
      </c>
      <c r="C36" s="45">
        <v>3</v>
      </c>
      <c r="D36" s="45">
        <v>1</v>
      </c>
      <c r="E36" s="45">
        <v>38</v>
      </c>
      <c r="F36" s="45">
        <v>42</v>
      </c>
      <c r="G36" s="11" t="s">
        <v>296</v>
      </c>
      <c r="H36" s="46">
        <v>6843.2</v>
      </c>
      <c r="I36" s="46">
        <v>2969.2</v>
      </c>
      <c r="J36" s="46">
        <v>6354.79</v>
      </c>
      <c r="K36" s="46">
        <v>2751.45</v>
      </c>
      <c r="L36" s="47">
        <v>7.7</v>
      </c>
      <c r="M36" s="47">
        <v>7.9</v>
      </c>
      <c r="N36" s="46">
        <v>9106.23</v>
      </c>
      <c r="O36" s="46">
        <v>9812.4</v>
      </c>
      <c r="P36" s="45">
        <v>706.17</v>
      </c>
      <c r="Q36" s="47">
        <v>7.8</v>
      </c>
    </row>
    <row r="37" spans="1:17" ht="27" x14ac:dyDescent="0.3">
      <c r="A37" s="11" t="s">
        <v>301</v>
      </c>
      <c r="B37" s="11" t="s">
        <v>297</v>
      </c>
      <c r="C37" s="45">
        <v>0</v>
      </c>
      <c r="D37" s="45">
        <v>0</v>
      </c>
      <c r="E37" s="45">
        <v>4</v>
      </c>
      <c r="F37" s="45">
        <v>4</v>
      </c>
      <c r="G37" s="11" t="s">
        <v>296</v>
      </c>
      <c r="H37" s="46">
        <v>488.8</v>
      </c>
      <c r="I37" s="46">
        <v>260</v>
      </c>
      <c r="J37" s="46">
        <v>441.35</v>
      </c>
      <c r="K37" s="46">
        <v>246</v>
      </c>
      <c r="L37" s="47">
        <v>10.8</v>
      </c>
      <c r="M37" s="47">
        <v>5.7</v>
      </c>
      <c r="N37" s="46">
        <v>687.35</v>
      </c>
      <c r="O37" s="46">
        <v>748.8</v>
      </c>
      <c r="P37" s="45">
        <v>61.45</v>
      </c>
      <c r="Q37" s="47">
        <v>8.9</v>
      </c>
    </row>
    <row r="38" spans="1:17" ht="27" x14ac:dyDescent="0.3">
      <c r="A38" s="11" t="s">
        <v>301</v>
      </c>
      <c r="B38" s="11" t="s">
        <v>298</v>
      </c>
      <c r="C38" s="45">
        <v>4</v>
      </c>
      <c r="D38" s="45">
        <v>2</v>
      </c>
      <c r="E38" s="45">
        <v>67</v>
      </c>
      <c r="F38" s="45">
        <v>73</v>
      </c>
      <c r="G38" s="11" t="s">
        <v>296</v>
      </c>
      <c r="H38" s="46">
        <v>7464.6</v>
      </c>
      <c r="I38" s="46">
        <v>3242.2</v>
      </c>
      <c r="J38" s="46">
        <v>6549.66</v>
      </c>
      <c r="K38" s="46">
        <v>2930.28</v>
      </c>
      <c r="L38" s="47">
        <v>14</v>
      </c>
      <c r="M38" s="47">
        <v>10.6</v>
      </c>
      <c r="N38" s="46">
        <v>9479.94</v>
      </c>
      <c r="O38" s="46">
        <v>10706.8</v>
      </c>
      <c r="P38" s="45">
        <v>1226.8599999999999</v>
      </c>
      <c r="Q38" s="47">
        <v>12.9</v>
      </c>
    </row>
    <row r="39" spans="1:17" ht="27" x14ac:dyDescent="0.3">
      <c r="A39" s="11" t="s">
        <v>301</v>
      </c>
      <c r="B39" s="11" t="s">
        <v>299</v>
      </c>
      <c r="C39" s="45">
        <v>2</v>
      </c>
      <c r="D39" s="45">
        <v>1</v>
      </c>
      <c r="E39" s="45">
        <v>38</v>
      </c>
      <c r="F39" s="45">
        <v>41</v>
      </c>
      <c r="G39" s="11" t="s">
        <v>296</v>
      </c>
      <c r="H39" s="46">
        <v>5254.6</v>
      </c>
      <c r="I39" s="46">
        <v>2795</v>
      </c>
      <c r="J39" s="46">
        <v>4676.88</v>
      </c>
      <c r="K39" s="46">
        <v>2672.3</v>
      </c>
      <c r="L39" s="47">
        <v>12.4</v>
      </c>
      <c r="M39" s="47">
        <v>4.5999999999999996</v>
      </c>
      <c r="N39" s="46">
        <v>7349.18</v>
      </c>
      <c r="O39" s="46">
        <v>8049.6</v>
      </c>
      <c r="P39" s="45">
        <v>700.42</v>
      </c>
      <c r="Q39" s="47">
        <v>9.5</v>
      </c>
    </row>
    <row r="40" spans="1:17" ht="27" x14ac:dyDescent="0.3">
      <c r="A40" s="11" t="s">
        <v>301</v>
      </c>
      <c r="B40" s="11" t="s">
        <v>300</v>
      </c>
      <c r="C40" s="45">
        <v>2</v>
      </c>
      <c r="D40" s="45">
        <v>1</v>
      </c>
      <c r="E40" s="45">
        <v>33</v>
      </c>
      <c r="F40" s="45">
        <v>36</v>
      </c>
      <c r="G40" s="11" t="s">
        <v>296</v>
      </c>
      <c r="H40" s="46">
        <v>5280.6</v>
      </c>
      <c r="I40" s="46">
        <v>2363.4</v>
      </c>
      <c r="J40" s="46">
        <v>4928.51</v>
      </c>
      <c r="K40" s="46">
        <v>2264.42</v>
      </c>
      <c r="L40" s="47">
        <v>7.1</v>
      </c>
      <c r="M40" s="47">
        <v>4.4000000000000004</v>
      </c>
      <c r="N40" s="46">
        <v>7192.93</v>
      </c>
      <c r="O40" s="46">
        <v>7644</v>
      </c>
      <c r="P40" s="45">
        <v>451.07</v>
      </c>
      <c r="Q40" s="47">
        <v>6.3</v>
      </c>
    </row>
    <row r="41" spans="1:17" ht="27" x14ac:dyDescent="0.3">
      <c r="A41" s="11" t="s">
        <v>302</v>
      </c>
      <c r="B41" s="11" t="s">
        <v>295</v>
      </c>
      <c r="C41" s="45">
        <v>2</v>
      </c>
      <c r="D41" s="45">
        <v>1</v>
      </c>
      <c r="E41" s="45">
        <v>35</v>
      </c>
      <c r="F41" s="45">
        <v>38</v>
      </c>
      <c r="G41" s="11" t="s">
        <v>296</v>
      </c>
      <c r="H41" s="46">
        <v>6180.2</v>
      </c>
      <c r="I41" s="46">
        <v>2683.2</v>
      </c>
      <c r="J41" s="46">
        <v>5741.15</v>
      </c>
      <c r="K41" s="46">
        <v>2485.44</v>
      </c>
      <c r="L41" s="47">
        <v>7.6</v>
      </c>
      <c r="M41" s="47">
        <v>8</v>
      </c>
      <c r="N41" s="46">
        <v>8226.59</v>
      </c>
      <c r="O41" s="46">
        <v>8863.4</v>
      </c>
      <c r="P41" s="45">
        <v>636.80999999999995</v>
      </c>
      <c r="Q41" s="47">
        <v>7.7</v>
      </c>
    </row>
    <row r="42" spans="1:17" ht="27" x14ac:dyDescent="0.3">
      <c r="A42" s="11" t="s">
        <v>302</v>
      </c>
      <c r="B42" s="11" t="s">
        <v>297</v>
      </c>
      <c r="C42" s="45">
        <v>0</v>
      </c>
      <c r="D42" s="45">
        <v>0</v>
      </c>
      <c r="E42" s="45">
        <v>2</v>
      </c>
      <c r="F42" s="45">
        <v>2</v>
      </c>
      <c r="G42" s="11" t="s">
        <v>296</v>
      </c>
      <c r="H42" s="46">
        <v>244.4</v>
      </c>
      <c r="I42" s="46">
        <v>130</v>
      </c>
      <c r="J42" s="46">
        <v>220.67</v>
      </c>
      <c r="K42" s="46">
        <v>123</v>
      </c>
      <c r="L42" s="47">
        <v>10.8</v>
      </c>
      <c r="M42" s="47">
        <v>5.7</v>
      </c>
      <c r="N42" s="46">
        <v>343.68</v>
      </c>
      <c r="O42" s="46">
        <v>374.4</v>
      </c>
      <c r="P42" s="45">
        <v>30.72</v>
      </c>
      <c r="Q42" s="47">
        <v>8.9</v>
      </c>
    </row>
    <row r="43" spans="1:17" ht="27" x14ac:dyDescent="0.3">
      <c r="A43" s="11" t="s">
        <v>302</v>
      </c>
      <c r="B43" s="11" t="s">
        <v>298</v>
      </c>
      <c r="C43" s="45">
        <v>5</v>
      </c>
      <c r="D43" s="45">
        <v>2</v>
      </c>
      <c r="E43" s="45">
        <v>71</v>
      </c>
      <c r="F43" s="45">
        <v>78</v>
      </c>
      <c r="G43" s="11" t="s">
        <v>296</v>
      </c>
      <c r="H43" s="46">
        <v>7982</v>
      </c>
      <c r="I43" s="46">
        <v>3465.8</v>
      </c>
      <c r="J43" s="46">
        <v>7003.62</v>
      </c>
      <c r="K43" s="46">
        <v>3133.73</v>
      </c>
      <c r="L43" s="47">
        <v>14</v>
      </c>
      <c r="M43" s="47">
        <v>10.6</v>
      </c>
      <c r="N43" s="46">
        <v>10137.35</v>
      </c>
      <c r="O43" s="46">
        <v>11447.8</v>
      </c>
      <c r="P43" s="45">
        <v>1310.45</v>
      </c>
      <c r="Q43" s="47">
        <v>12.9</v>
      </c>
    </row>
    <row r="44" spans="1:17" ht="27" x14ac:dyDescent="0.3">
      <c r="A44" s="11" t="s">
        <v>302</v>
      </c>
      <c r="B44" s="11" t="s">
        <v>299</v>
      </c>
      <c r="C44" s="45">
        <v>3</v>
      </c>
      <c r="D44" s="45">
        <v>1</v>
      </c>
      <c r="E44" s="45">
        <v>35</v>
      </c>
      <c r="F44" s="45">
        <v>39</v>
      </c>
      <c r="G44" s="11" t="s">
        <v>296</v>
      </c>
      <c r="H44" s="46">
        <v>5010.2</v>
      </c>
      <c r="I44" s="46">
        <v>2667.6</v>
      </c>
      <c r="J44" s="46">
        <v>4461.25</v>
      </c>
      <c r="K44" s="46">
        <v>2549.4299999999998</v>
      </c>
      <c r="L44" s="47">
        <v>12.3</v>
      </c>
      <c r="M44" s="47">
        <v>4.5999999999999996</v>
      </c>
      <c r="N44" s="46">
        <v>7010.68</v>
      </c>
      <c r="O44" s="46">
        <v>7677.8</v>
      </c>
      <c r="P44" s="45">
        <v>667.12</v>
      </c>
      <c r="Q44" s="47">
        <v>9.5</v>
      </c>
    </row>
    <row r="45" spans="1:17" ht="27" x14ac:dyDescent="0.3">
      <c r="A45" s="11" t="s">
        <v>302</v>
      </c>
      <c r="B45" s="11" t="s">
        <v>300</v>
      </c>
      <c r="C45" s="45">
        <v>3</v>
      </c>
      <c r="D45" s="45">
        <v>1</v>
      </c>
      <c r="E45" s="45">
        <v>38</v>
      </c>
      <c r="F45" s="45">
        <v>42</v>
      </c>
      <c r="G45" s="11" t="s">
        <v>296</v>
      </c>
      <c r="H45" s="46">
        <v>6167.2</v>
      </c>
      <c r="I45" s="46">
        <v>2761.2</v>
      </c>
      <c r="J45" s="46">
        <v>5756.33</v>
      </c>
      <c r="K45" s="46">
        <v>2645.08</v>
      </c>
      <c r="L45" s="47">
        <v>7.1</v>
      </c>
      <c r="M45" s="47">
        <v>4.4000000000000004</v>
      </c>
      <c r="N45" s="46">
        <v>8401.41</v>
      </c>
      <c r="O45" s="46">
        <v>8928.4</v>
      </c>
      <c r="P45" s="45">
        <v>526.99</v>
      </c>
      <c r="Q45" s="47">
        <v>6.3</v>
      </c>
    </row>
    <row r="46" spans="1:17" ht="27" x14ac:dyDescent="0.3">
      <c r="A46" s="11" t="s">
        <v>303</v>
      </c>
      <c r="B46" s="11" t="s">
        <v>295</v>
      </c>
      <c r="C46" s="45">
        <v>2</v>
      </c>
      <c r="D46" s="45">
        <v>1</v>
      </c>
      <c r="E46" s="45">
        <v>35</v>
      </c>
      <c r="F46" s="45">
        <v>38</v>
      </c>
      <c r="G46" s="11" t="s">
        <v>296</v>
      </c>
      <c r="H46" s="46">
        <v>6180.2</v>
      </c>
      <c r="I46" s="46">
        <v>2683.2</v>
      </c>
      <c r="J46" s="46">
        <v>5741.15</v>
      </c>
      <c r="K46" s="46">
        <v>2485.44</v>
      </c>
      <c r="L46" s="47">
        <v>7.6</v>
      </c>
      <c r="M46" s="47">
        <v>8</v>
      </c>
      <c r="N46" s="46">
        <v>8226.59</v>
      </c>
      <c r="O46" s="46">
        <v>8863.4</v>
      </c>
      <c r="P46" s="45">
        <v>636.80999999999995</v>
      </c>
      <c r="Q46" s="47">
        <v>7.7</v>
      </c>
    </row>
    <row r="47" spans="1:17" ht="27" x14ac:dyDescent="0.3">
      <c r="A47" s="11" t="s">
        <v>303</v>
      </c>
      <c r="B47" s="11" t="s">
        <v>297</v>
      </c>
      <c r="C47" s="45">
        <v>0</v>
      </c>
      <c r="D47" s="45">
        <v>0</v>
      </c>
      <c r="E47" s="45">
        <v>1</v>
      </c>
      <c r="F47" s="45">
        <v>1</v>
      </c>
      <c r="G47" s="11" t="s">
        <v>296</v>
      </c>
      <c r="H47" s="46">
        <v>122.2</v>
      </c>
      <c r="I47" s="46">
        <v>65</v>
      </c>
      <c r="J47" s="46">
        <v>110.34</v>
      </c>
      <c r="K47" s="46">
        <v>61.5</v>
      </c>
      <c r="L47" s="47">
        <v>10.8</v>
      </c>
      <c r="M47" s="47">
        <v>5.7</v>
      </c>
      <c r="N47" s="46">
        <v>171.84</v>
      </c>
      <c r="O47" s="46">
        <v>187.2</v>
      </c>
      <c r="P47" s="45">
        <v>15.36</v>
      </c>
      <c r="Q47" s="47">
        <v>8.9</v>
      </c>
    </row>
    <row r="48" spans="1:17" ht="27" x14ac:dyDescent="0.3">
      <c r="A48" s="11" t="s">
        <v>303</v>
      </c>
      <c r="B48" s="11" t="s">
        <v>298</v>
      </c>
      <c r="C48" s="45">
        <v>6</v>
      </c>
      <c r="D48" s="45">
        <v>2</v>
      </c>
      <c r="E48" s="45">
        <v>67</v>
      </c>
      <c r="F48" s="45">
        <v>75</v>
      </c>
      <c r="G48" s="11" t="s">
        <v>296</v>
      </c>
      <c r="H48" s="46">
        <v>7688.2</v>
      </c>
      <c r="I48" s="46">
        <v>3335.8</v>
      </c>
      <c r="J48" s="46">
        <v>6745.79</v>
      </c>
      <c r="K48" s="46">
        <v>3019.1</v>
      </c>
      <c r="L48" s="47">
        <v>14</v>
      </c>
      <c r="M48" s="47">
        <v>10.5</v>
      </c>
      <c r="N48" s="46">
        <v>9764.9</v>
      </c>
      <c r="O48" s="46">
        <v>11024</v>
      </c>
      <c r="P48" s="45">
        <v>1259.0999999999999</v>
      </c>
      <c r="Q48" s="47">
        <v>12.9</v>
      </c>
    </row>
    <row r="49" spans="1:17" ht="27" x14ac:dyDescent="0.3">
      <c r="A49" s="11" t="s">
        <v>303</v>
      </c>
      <c r="B49" s="11" t="s">
        <v>299</v>
      </c>
      <c r="C49" s="45">
        <v>3</v>
      </c>
      <c r="D49" s="45">
        <v>1</v>
      </c>
      <c r="E49" s="45">
        <v>35</v>
      </c>
      <c r="F49" s="45">
        <v>39</v>
      </c>
      <c r="G49" s="11" t="s">
        <v>296</v>
      </c>
      <c r="H49" s="46">
        <v>5010.2</v>
      </c>
      <c r="I49" s="46">
        <v>2667.6</v>
      </c>
      <c r="J49" s="46">
        <v>4461.25</v>
      </c>
      <c r="K49" s="46">
        <v>2549.4299999999998</v>
      </c>
      <c r="L49" s="47">
        <v>12.3</v>
      </c>
      <c r="M49" s="47">
        <v>4.5999999999999996</v>
      </c>
      <c r="N49" s="46">
        <v>7010.68</v>
      </c>
      <c r="O49" s="46">
        <v>7677.8</v>
      </c>
      <c r="P49" s="45">
        <v>667.12</v>
      </c>
      <c r="Q49" s="47">
        <v>9.5</v>
      </c>
    </row>
    <row r="50" spans="1:17" ht="27" x14ac:dyDescent="0.3">
      <c r="A50" s="11" t="s">
        <v>303</v>
      </c>
      <c r="B50" s="11" t="s">
        <v>300</v>
      </c>
      <c r="C50" s="45">
        <v>3</v>
      </c>
      <c r="D50" s="45">
        <v>1</v>
      </c>
      <c r="E50" s="45">
        <v>33</v>
      </c>
      <c r="F50" s="45">
        <v>37</v>
      </c>
      <c r="G50" s="11" t="s">
        <v>296</v>
      </c>
      <c r="H50" s="46">
        <v>5439.2</v>
      </c>
      <c r="I50" s="46">
        <v>2436.1999999999998</v>
      </c>
      <c r="J50" s="46">
        <v>5077.1499999999996</v>
      </c>
      <c r="K50" s="46">
        <v>2333.29</v>
      </c>
      <c r="L50" s="47">
        <v>7.1</v>
      </c>
      <c r="M50" s="47">
        <v>4.4000000000000004</v>
      </c>
      <c r="N50" s="46">
        <v>7410.44</v>
      </c>
      <c r="O50" s="46">
        <v>7875.4</v>
      </c>
      <c r="P50" s="45">
        <v>464.96</v>
      </c>
      <c r="Q50" s="47">
        <v>6.3</v>
      </c>
    </row>
    <row r="51" spans="1:17" ht="27" x14ac:dyDescent="0.3">
      <c r="A51" s="11" t="s">
        <v>304</v>
      </c>
      <c r="B51" s="11" t="s">
        <v>295</v>
      </c>
      <c r="C51" s="45">
        <v>2</v>
      </c>
      <c r="D51" s="45">
        <v>1</v>
      </c>
      <c r="E51" s="45">
        <v>36</v>
      </c>
      <c r="F51" s="45">
        <v>39</v>
      </c>
      <c r="G51" s="11" t="s">
        <v>296</v>
      </c>
      <c r="H51" s="46">
        <v>6341.4</v>
      </c>
      <c r="I51" s="46">
        <v>2753.4</v>
      </c>
      <c r="J51" s="46">
        <v>5891.15</v>
      </c>
      <c r="K51" s="46">
        <v>2550.34</v>
      </c>
      <c r="L51" s="47">
        <v>7.6</v>
      </c>
      <c r="M51" s="47">
        <v>8</v>
      </c>
      <c r="N51" s="46">
        <v>8441.5</v>
      </c>
      <c r="O51" s="46">
        <v>9094.7999999999993</v>
      </c>
      <c r="P51" s="45">
        <v>653.29999999999995</v>
      </c>
      <c r="Q51" s="47">
        <v>7.7</v>
      </c>
    </row>
    <row r="52" spans="1:17" ht="27" x14ac:dyDescent="0.3">
      <c r="A52" s="11" t="s">
        <v>304</v>
      </c>
      <c r="B52" s="11" t="s">
        <v>297</v>
      </c>
      <c r="C52" s="45">
        <v>3</v>
      </c>
      <c r="D52" s="45">
        <v>1</v>
      </c>
      <c r="E52" s="45">
        <v>36</v>
      </c>
      <c r="F52" s="45">
        <v>40</v>
      </c>
      <c r="G52" s="11" t="s">
        <v>296</v>
      </c>
      <c r="H52" s="46">
        <v>4919.2</v>
      </c>
      <c r="I52" s="46">
        <v>2631.2</v>
      </c>
      <c r="J52" s="46">
        <v>4456.45</v>
      </c>
      <c r="K52" s="46">
        <v>2485.33</v>
      </c>
      <c r="L52" s="47">
        <v>10.4</v>
      </c>
      <c r="M52" s="47">
        <v>5.9</v>
      </c>
      <c r="N52" s="46">
        <v>6941.78</v>
      </c>
      <c r="O52" s="46">
        <v>7550.4</v>
      </c>
      <c r="P52" s="45">
        <v>608.62</v>
      </c>
      <c r="Q52" s="47">
        <v>8.8000000000000007</v>
      </c>
    </row>
    <row r="53" spans="1:17" ht="27" x14ac:dyDescent="0.3">
      <c r="A53" s="11" t="s">
        <v>304</v>
      </c>
      <c r="B53" s="11" t="s">
        <v>299</v>
      </c>
      <c r="C53" s="45">
        <v>3</v>
      </c>
      <c r="D53" s="45">
        <v>1</v>
      </c>
      <c r="E53" s="45">
        <v>36</v>
      </c>
      <c r="F53" s="45">
        <v>40</v>
      </c>
      <c r="G53" s="11" t="s">
        <v>296</v>
      </c>
      <c r="H53" s="46">
        <v>5137.6000000000004</v>
      </c>
      <c r="I53" s="46">
        <v>2735.2</v>
      </c>
      <c r="J53" s="46">
        <v>4574.5200000000004</v>
      </c>
      <c r="K53" s="46">
        <v>2614.13</v>
      </c>
      <c r="L53" s="47">
        <v>12.3</v>
      </c>
      <c r="M53" s="47">
        <v>4.5999999999999996</v>
      </c>
      <c r="N53" s="46">
        <v>7188.65</v>
      </c>
      <c r="O53" s="46">
        <v>7872.8</v>
      </c>
      <c r="P53" s="45">
        <v>684.15</v>
      </c>
      <c r="Q53" s="47">
        <v>9.5</v>
      </c>
    </row>
    <row r="54" spans="1:17" x14ac:dyDescent="0.3">
      <c r="A54" s="30" t="s">
        <v>284</v>
      </c>
      <c r="B54" s="30"/>
      <c r="C54" s="30"/>
      <c r="D54" s="30"/>
      <c r="E54" s="30"/>
      <c r="F54" s="48">
        <v>900</v>
      </c>
      <c r="G54" s="30"/>
      <c r="H54" s="49">
        <v>117065</v>
      </c>
      <c r="I54" s="49">
        <v>54272.4</v>
      </c>
      <c r="J54" s="49">
        <v>106128.21</v>
      </c>
      <c r="K54" s="49">
        <v>50761.72</v>
      </c>
      <c r="L54" s="50">
        <v>10.3</v>
      </c>
      <c r="M54" s="50">
        <v>6.9</v>
      </c>
      <c r="N54" s="49">
        <v>156889.93</v>
      </c>
      <c r="O54" s="49">
        <v>171337.4</v>
      </c>
      <c r="P54" s="48">
        <v>14447.47</v>
      </c>
      <c r="Q54" s="50">
        <v>9.1999999999999993</v>
      </c>
    </row>
    <row r="55" spans="1:17" x14ac:dyDescent="0.3">
      <c r="A55" s="51" t="s">
        <v>285</v>
      </c>
      <c r="H55" s="52">
        <f>ROUND(H54/2.6,0)</f>
        <v>45025</v>
      </c>
      <c r="I55" s="52">
        <f>ROUND(I54/2.6,0)</f>
        <v>20874</v>
      </c>
    </row>
    <row r="58" spans="1:17" x14ac:dyDescent="0.3">
      <c r="A58" s="3" t="s">
        <v>305</v>
      </c>
    </row>
    <row r="59" spans="1:17" x14ac:dyDescent="0.3">
      <c r="A59" s="2" t="s">
        <v>306</v>
      </c>
    </row>
    <row r="60" spans="1:17" ht="30" customHeight="1" x14ac:dyDescent="0.3">
      <c r="A60" s="9" t="s">
        <v>255</v>
      </c>
      <c r="B60" s="9" t="s">
        <v>256</v>
      </c>
      <c r="C60" s="9" t="s">
        <v>257</v>
      </c>
      <c r="D60" s="9" t="s">
        <v>258</v>
      </c>
      <c r="E60" s="9" t="s">
        <v>259</v>
      </c>
      <c r="F60" s="9" t="s">
        <v>260</v>
      </c>
      <c r="G60" s="9" t="s">
        <v>261</v>
      </c>
      <c r="H60" s="9" t="s">
        <v>307</v>
      </c>
      <c r="I60" s="9" t="s">
        <v>308</v>
      </c>
      <c r="J60" s="9" t="s">
        <v>309</v>
      </c>
      <c r="K60" s="9" t="s">
        <v>310</v>
      </c>
      <c r="L60" s="9" t="s">
        <v>311</v>
      </c>
      <c r="M60" s="9" t="s">
        <v>312</v>
      </c>
      <c r="N60" s="9" t="s">
        <v>268</v>
      </c>
      <c r="O60" s="9" t="s">
        <v>269</v>
      </c>
      <c r="P60" s="9" t="s">
        <v>270</v>
      </c>
      <c r="Q60" s="9" t="s">
        <v>271</v>
      </c>
    </row>
    <row r="61" spans="1:17" ht="27" x14ac:dyDescent="0.3">
      <c r="A61" s="11" t="s">
        <v>313</v>
      </c>
      <c r="B61" s="11" t="s">
        <v>314</v>
      </c>
      <c r="C61" s="45">
        <v>4</v>
      </c>
      <c r="D61" s="45">
        <v>4</v>
      </c>
      <c r="E61" s="45">
        <v>49</v>
      </c>
      <c r="F61" s="45">
        <v>57</v>
      </c>
      <c r="G61" s="11" t="s">
        <v>315</v>
      </c>
      <c r="H61" s="46">
        <v>1971.8</v>
      </c>
      <c r="I61" s="46">
        <v>8433.1</v>
      </c>
      <c r="J61" s="46">
        <v>1616.59</v>
      </c>
      <c r="K61" s="46">
        <v>8102.19</v>
      </c>
      <c r="L61" s="47">
        <v>22</v>
      </c>
      <c r="M61" s="47">
        <v>4.0999999999999996</v>
      </c>
      <c r="N61" s="46">
        <v>9718.7800000000007</v>
      </c>
      <c r="O61" s="46">
        <v>10404.92</v>
      </c>
      <c r="P61" s="45">
        <v>686.14</v>
      </c>
      <c r="Q61" s="47">
        <v>7.1</v>
      </c>
    </row>
    <row r="62" spans="1:17" ht="27" x14ac:dyDescent="0.3">
      <c r="A62" s="11" t="s">
        <v>316</v>
      </c>
      <c r="B62" s="11" t="s">
        <v>314</v>
      </c>
      <c r="C62" s="45">
        <v>1</v>
      </c>
      <c r="D62" s="45">
        <v>1</v>
      </c>
      <c r="E62" s="45">
        <v>18</v>
      </c>
      <c r="F62" s="45">
        <v>20</v>
      </c>
      <c r="G62" s="11" t="s">
        <v>315</v>
      </c>
      <c r="H62" s="46">
        <v>694</v>
      </c>
      <c r="I62" s="46">
        <v>2959</v>
      </c>
      <c r="J62" s="46">
        <v>566.20000000000005</v>
      </c>
      <c r="K62" s="46">
        <v>2837.71</v>
      </c>
      <c r="L62" s="47">
        <v>22.6</v>
      </c>
      <c r="M62" s="47">
        <v>4.3</v>
      </c>
      <c r="N62" s="46">
        <v>3403.91</v>
      </c>
      <c r="O62" s="46">
        <v>3653.02</v>
      </c>
      <c r="P62" s="45">
        <v>249.11</v>
      </c>
      <c r="Q62" s="47">
        <v>7.3</v>
      </c>
    </row>
    <row r="63" spans="1:17" ht="27" x14ac:dyDescent="0.3">
      <c r="A63" s="11" t="s">
        <v>316</v>
      </c>
      <c r="B63" s="11" t="s">
        <v>317</v>
      </c>
      <c r="C63" s="45">
        <v>1</v>
      </c>
      <c r="D63" s="45">
        <v>1</v>
      </c>
      <c r="E63" s="45">
        <v>16</v>
      </c>
      <c r="F63" s="45">
        <v>18</v>
      </c>
      <c r="G63" s="11" t="s">
        <v>315</v>
      </c>
      <c r="H63" s="46">
        <v>629.5</v>
      </c>
      <c r="I63" s="46">
        <v>2722.3</v>
      </c>
      <c r="J63" s="46">
        <v>545.02</v>
      </c>
      <c r="K63" s="46">
        <v>2616.19</v>
      </c>
      <c r="L63" s="47">
        <v>15.5</v>
      </c>
      <c r="M63" s="47">
        <v>4.0999999999999996</v>
      </c>
      <c r="N63" s="46">
        <v>3161.21</v>
      </c>
      <c r="O63" s="46">
        <v>3351.74</v>
      </c>
      <c r="P63" s="45">
        <v>190.53</v>
      </c>
      <c r="Q63" s="47">
        <v>6</v>
      </c>
    </row>
    <row r="64" spans="1:17" ht="27" x14ac:dyDescent="0.3">
      <c r="A64" s="11" t="s">
        <v>316</v>
      </c>
      <c r="B64" s="11" t="s">
        <v>318</v>
      </c>
      <c r="C64" s="45">
        <v>1</v>
      </c>
      <c r="D64" s="45">
        <v>1</v>
      </c>
      <c r="E64" s="45">
        <v>18</v>
      </c>
      <c r="F64" s="45">
        <v>20</v>
      </c>
      <c r="G64" s="11" t="s">
        <v>315</v>
      </c>
      <c r="H64" s="46">
        <v>963</v>
      </c>
      <c r="I64" s="46">
        <v>3346.4</v>
      </c>
      <c r="J64" s="46">
        <v>873.1</v>
      </c>
      <c r="K64" s="46">
        <v>3166.97</v>
      </c>
      <c r="L64" s="47">
        <v>10.3</v>
      </c>
      <c r="M64" s="47">
        <v>5.7</v>
      </c>
      <c r="N64" s="46">
        <v>4040.06</v>
      </c>
      <c r="O64" s="46">
        <v>4309.38</v>
      </c>
      <c r="P64" s="45">
        <v>269.32</v>
      </c>
      <c r="Q64" s="47">
        <v>6.7</v>
      </c>
    </row>
    <row r="65" spans="1:17" ht="27" x14ac:dyDescent="0.3">
      <c r="A65" s="11" t="s">
        <v>319</v>
      </c>
      <c r="B65" s="11" t="s">
        <v>314</v>
      </c>
      <c r="C65" s="45">
        <v>4</v>
      </c>
      <c r="D65" s="45">
        <v>4</v>
      </c>
      <c r="E65" s="45">
        <v>45</v>
      </c>
      <c r="F65" s="45">
        <v>53</v>
      </c>
      <c r="G65" s="11" t="s">
        <v>315</v>
      </c>
      <c r="H65" s="46">
        <v>1831.9</v>
      </c>
      <c r="I65" s="46">
        <v>7841.3</v>
      </c>
      <c r="J65" s="46">
        <v>1503.86</v>
      </c>
      <c r="K65" s="46">
        <v>7537.21</v>
      </c>
      <c r="L65" s="47">
        <v>21.8</v>
      </c>
      <c r="M65" s="47">
        <v>4</v>
      </c>
      <c r="N65" s="46">
        <v>9041.06</v>
      </c>
      <c r="O65" s="46">
        <v>9673.24</v>
      </c>
      <c r="P65" s="45">
        <v>632.17999999999995</v>
      </c>
      <c r="Q65" s="47">
        <v>7</v>
      </c>
    </row>
    <row r="66" spans="1:17" ht="27" x14ac:dyDescent="0.3">
      <c r="A66" s="11" t="s">
        <v>320</v>
      </c>
      <c r="B66" s="11" t="s">
        <v>314</v>
      </c>
      <c r="C66" s="45">
        <v>2</v>
      </c>
      <c r="D66" s="45">
        <v>2</v>
      </c>
      <c r="E66" s="45">
        <v>41</v>
      </c>
      <c r="F66" s="45">
        <v>45</v>
      </c>
      <c r="G66" s="11" t="s">
        <v>315</v>
      </c>
      <c r="H66" s="46">
        <v>1562.9</v>
      </c>
      <c r="I66" s="46">
        <v>6657.8</v>
      </c>
      <c r="J66" s="46">
        <v>1273.33</v>
      </c>
      <c r="K66" s="46">
        <v>6381.65</v>
      </c>
      <c r="L66" s="47">
        <v>22.7</v>
      </c>
      <c r="M66" s="47">
        <v>4.3</v>
      </c>
      <c r="N66" s="46">
        <v>7654.97</v>
      </c>
      <c r="O66" s="46">
        <v>8220.64</v>
      </c>
      <c r="P66" s="45">
        <v>565.66999999999996</v>
      </c>
      <c r="Q66" s="47">
        <v>7.4</v>
      </c>
    </row>
    <row r="67" spans="1:17" ht="27" x14ac:dyDescent="0.3">
      <c r="A67" s="11" t="s">
        <v>320</v>
      </c>
      <c r="B67" s="11" t="s">
        <v>318</v>
      </c>
      <c r="C67" s="45">
        <v>1</v>
      </c>
      <c r="D67" s="45">
        <v>1</v>
      </c>
      <c r="E67" s="45">
        <v>21</v>
      </c>
      <c r="F67" s="45">
        <v>23</v>
      </c>
      <c r="G67" s="11" t="s">
        <v>315</v>
      </c>
      <c r="H67" s="46">
        <v>1108.3</v>
      </c>
      <c r="I67" s="46">
        <v>3846.7</v>
      </c>
      <c r="J67" s="46">
        <v>1003.51</v>
      </c>
      <c r="K67" s="46">
        <v>3639.94</v>
      </c>
      <c r="L67" s="47">
        <v>10.4</v>
      </c>
      <c r="M67" s="47">
        <v>5.7</v>
      </c>
      <c r="N67" s="46">
        <v>4643.45</v>
      </c>
      <c r="O67" s="46">
        <v>4954.9799999999996</v>
      </c>
      <c r="P67" s="45">
        <v>311.52999999999997</v>
      </c>
      <c r="Q67" s="47">
        <v>6.7</v>
      </c>
    </row>
    <row r="68" spans="1:17" ht="27" x14ac:dyDescent="0.3">
      <c r="A68" s="11" t="s">
        <v>321</v>
      </c>
      <c r="B68" s="11" t="s">
        <v>314</v>
      </c>
      <c r="C68" s="45">
        <v>1</v>
      </c>
      <c r="D68" s="45">
        <v>1</v>
      </c>
      <c r="E68" s="45">
        <v>9</v>
      </c>
      <c r="F68" s="45">
        <v>11</v>
      </c>
      <c r="G68" s="11" t="s">
        <v>315</v>
      </c>
      <c r="H68" s="46">
        <v>379.3</v>
      </c>
      <c r="I68" s="46">
        <v>1627.4</v>
      </c>
      <c r="J68" s="46">
        <v>312.55</v>
      </c>
      <c r="K68" s="46">
        <v>1566.5</v>
      </c>
      <c r="L68" s="47">
        <v>21.4</v>
      </c>
      <c r="M68" s="47">
        <v>3.9</v>
      </c>
      <c r="N68" s="46">
        <v>1879.05</v>
      </c>
      <c r="O68" s="46">
        <v>2006.74</v>
      </c>
      <c r="P68" s="45">
        <v>127.69</v>
      </c>
      <c r="Q68" s="47">
        <v>6.8</v>
      </c>
    </row>
    <row r="69" spans="1:17" ht="27" x14ac:dyDescent="0.3">
      <c r="A69" s="11" t="s">
        <v>321</v>
      </c>
      <c r="B69" s="11" t="s">
        <v>322</v>
      </c>
      <c r="C69" s="45">
        <v>2</v>
      </c>
      <c r="D69" s="45">
        <v>2</v>
      </c>
      <c r="E69" s="45">
        <v>35</v>
      </c>
      <c r="F69" s="45">
        <v>39</v>
      </c>
      <c r="G69" s="11" t="s">
        <v>315</v>
      </c>
      <c r="H69" s="46">
        <v>1154</v>
      </c>
      <c r="I69" s="46">
        <v>4417</v>
      </c>
      <c r="J69" s="46">
        <v>1003.36</v>
      </c>
      <c r="K69" s="46">
        <v>4045.3</v>
      </c>
      <c r="L69" s="47">
        <v>15</v>
      </c>
      <c r="M69" s="47">
        <v>9.1999999999999993</v>
      </c>
      <c r="N69" s="46">
        <v>5048.66</v>
      </c>
      <c r="O69" s="46">
        <v>5570.99</v>
      </c>
      <c r="P69" s="45">
        <v>522.33000000000004</v>
      </c>
      <c r="Q69" s="47">
        <v>10.3</v>
      </c>
    </row>
    <row r="70" spans="1:17" ht="27" x14ac:dyDescent="0.3">
      <c r="A70" s="11" t="s">
        <v>323</v>
      </c>
      <c r="B70" s="11" t="s">
        <v>322</v>
      </c>
      <c r="C70" s="45">
        <v>2</v>
      </c>
      <c r="D70" s="45">
        <v>2</v>
      </c>
      <c r="E70" s="45">
        <v>30</v>
      </c>
      <c r="F70" s="45">
        <v>34</v>
      </c>
      <c r="G70" s="11" t="s">
        <v>315</v>
      </c>
      <c r="H70" s="46">
        <v>1006.1</v>
      </c>
      <c r="I70" s="46">
        <v>3852.1</v>
      </c>
      <c r="J70" s="46">
        <v>875.28</v>
      </c>
      <c r="K70" s="46">
        <v>3529.34</v>
      </c>
      <c r="L70" s="47">
        <v>14.9</v>
      </c>
      <c r="M70" s="47">
        <v>9.1</v>
      </c>
      <c r="N70" s="46">
        <v>4404.62</v>
      </c>
      <c r="O70" s="46">
        <v>4858.1400000000003</v>
      </c>
      <c r="P70" s="45">
        <v>453.52</v>
      </c>
      <c r="Q70" s="47">
        <v>10.3</v>
      </c>
    </row>
    <row r="71" spans="1:17" x14ac:dyDescent="0.3">
      <c r="A71" s="30" t="s">
        <v>284</v>
      </c>
      <c r="B71" s="30"/>
      <c r="C71" s="30"/>
      <c r="D71" s="30"/>
      <c r="E71" s="30"/>
      <c r="F71" s="48">
        <v>320</v>
      </c>
      <c r="G71" s="30"/>
      <c r="H71" s="49">
        <v>11300.7</v>
      </c>
      <c r="I71" s="49">
        <v>45703.1</v>
      </c>
      <c r="J71" s="49">
        <v>9572.7900000000009</v>
      </c>
      <c r="K71" s="49">
        <v>43422.99</v>
      </c>
      <c r="L71" s="50">
        <v>18.100000000000001</v>
      </c>
      <c r="M71" s="50">
        <v>5.3</v>
      </c>
      <c r="N71" s="49">
        <v>52995.78</v>
      </c>
      <c r="O71" s="49">
        <v>57003.79</v>
      </c>
      <c r="P71" s="48">
        <v>4008.01</v>
      </c>
      <c r="Q71" s="50">
        <v>7.6</v>
      </c>
    </row>
    <row r="72" spans="1:17" x14ac:dyDescent="0.3">
      <c r="A72" s="51" t="s">
        <v>285</v>
      </c>
      <c r="H72" s="52">
        <f>ROUND(H71/2.69,0)</f>
        <v>4201</v>
      </c>
      <c r="I72" s="52">
        <f>ROUND(I71/2.69,0)</f>
        <v>16990</v>
      </c>
    </row>
    <row r="75" spans="1:17" x14ac:dyDescent="0.3">
      <c r="A75" s="3" t="s">
        <v>324</v>
      </c>
    </row>
    <row r="76" spans="1:17" x14ac:dyDescent="0.3">
      <c r="A76" s="2" t="s">
        <v>306</v>
      </c>
    </row>
    <row r="77" spans="1:17" ht="30" customHeight="1" x14ac:dyDescent="0.3">
      <c r="A77" s="9" t="s">
        <v>255</v>
      </c>
      <c r="B77" s="9" t="s">
        <v>256</v>
      </c>
      <c r="C77" s="9" t="s">
        <v>257</v>
      </c>
      <c r="D77" s="9" t="s">
        <v>258</v>
      </c>
      <c r="E77" s="9" t="s">
        <v>259</v>
      </c>
      <c r="F77" s="9" t="s">
        <v>260</v>
      </c>
      <c r="G77" s="9" t="s">
        <v>261</v>
      </c>
      <c r="H77" s="9" t="s">
        <v>307</v>
      </c>
      <c r="I77" s="9" t="s">
        <v>308</v>
      </c>
      <c r="J77" s="9" t="s">
        <v>309</v>
      </c>
      <c r="K77" s="9" t="s">
        <v>310</v>
      </c>
      <c r="L77" s="9" t="s">
        <v>311</v>
      </c>
      <c r="M77" s="9" t="s">
        <v>312</v>
      </c>
      <c r="N77" s="9" t="s">
        <v>268</v>
      </c>
      <c r="O77" s="9" t="s">
        <v>269</v>
      </c>
      <c r="P77" s="9" t="s">
        <v>270</v>
      </c>
      <c r="Q77" s="9" t="s">
        <v>271</v>
      </c>
    </row>
    <row r="78" spans="1:17" ht="27" x14ac:dyDescent="0.3">
      <c r="A78" s="11" t="s">
        <v>325</v>
      </c>
      <c r="B78" s="11" t="s">
        <v>326</v>
      </c>
      <c r="C78" s="45">
        <v>2</v>
      </c>
      <c r="D78" s="45">
        <v>2</v>
      </c>
      <c r="E78" s="45">
        <v>25</v>
      </c>
      <c r="F78" s="45">
        <v>29</v>
      </c>
      <c r="G78" s="11" t="s">
        <v>315</v>
      </c>
      <c r="H78" s="46">
        <v>1003.4</v>
      </c>
      <c r="I78" s="46">
        <v>4858.1000000000004</v>
      </c>
      <c r="J78" s="46">
        <v>850.07</v>
      </c>
      <c r="K78" s="46">
        <v>4591.63</v>
      </c>
      <c r="L78" s="47">
        <v>18</v>
      </c>
      <c r="M78" s="47">
        <v>5.8</v>
      </c>
      <c r="N78" s="46">
        <v>5441.7</v>
      </c>
      <c r="O78" s="46">
        <v>5861.51</v>
      </c>
      <c r="P78" s="45">
        <v>419.81</v>
      </c>
      <c r="Q78" s="47">
        <v>7.7</v>
      </c>
    </row>
    <row r="79" spans="1:17" ht="27" x14ac:dyDescent="0.3">
      <c r="A79" s="11" t="s">
        <v>327</v>
      </c>
      <c r="B79" s="11" t="s">
        <v>326</v>
      </c>
      <c r="C79" s="45">
        <v>1</v>
      </c>
      <c r="D79" s="45">
        <v>1</v>
      </c>
      <c r="E79" s="45">
        <v>16</v>
      </c>
      <c r="F79" s="45">
        <v>18</v>
      </c>
      <c r="G79" s="11" t="s">
        <v>315</v>
      </c>
      <c r="H79" s="46">
        <v>624.1</v>
      </c>
      <c r="I79" s="46">
        <v>3012.8</v>
      </c>
      <c r="J79" s="46">
        <v>527</v>
      </c>
      <c r="K79" s="46">
        <v>2846.49</v>
      </c>
      <c r="L79" s="47">
        <v>18.399999999999999</v>
      </c>
      <c r="M79" s="47">
        <v>5.8</v>
      </c>
      <c r="N79" s="46">
        <v>3373.48</v>
      </c>
      <c r="O79" s="46">
        <v>3636.88</v>
      </c>
      <c r="P79" s="45">
        <v>263.39999999999998</v>
      </c>
      <c r="Q79" s="47">
        <v>7.8</v>
      </c>
    </row>
    <row r="80" spans="1:17" ht="27" x14ac:dyDescent="0.3">
      <c r="A80" s="11" t="s">
        <v>327</v>
      </c>
      <c r="B80" s="11" t="s">
        <v>328</v>
      </c>
      <c r="C80" s="45">
        <v>2</v>
      </c>
      <c r="D80" s="45">
        <v>2</v>
      </c>
      <c r="E80" s="45">
        <v>34</v>
      </c>
      <c r="F80" s="45">
        <v>38</v>
      </c>
      <c r="G80" s="11" t="s">
        <v>315</v>
      </c>
      <c r="H80" s="46">
        <v>1635.5</v>
      </c>
      <c r="I80" s="46">
        <v>6665.8</v>
      </c>
      <c r="J80" s="46">
        <v>1418.06</v>
      </c>
      <c r="K80" s="46">
        <v>6385.73</v>
      </c>
      <c r="L80" s="47">
        <v>15.3</v>
      </c>
      <c r="M80" s="47">
        <v>4.4000000000000004</v>
      </c>
      <c r="N80" s="46">
        <v>7803.79</v>
      </c>
      <c r="O80" s="46">
        <v>8301.34</v>
      </c>
      <c r="P80" s="45">
        <v>497.55</v>
      </c>
      <c r="Q80" s="47">
        <v>6.4</v>
      </c>
    </row>
    <row r="81" spans="1:17" ht="27" x14ac:dyDescent="0.3">
      <c r="A81" s="11" t="s">
        <v>329</v>
      </c>
      <c r="B81" s="11" t="s">
        <v>326</v>
      </c>
      <c r="C81" s="45">
        <v>4</v>
      </c>
      <c r="D81" s="45">
        <v>4</v>
      </c>
      <c r="E81" s="45">
        <v>48</v>
      </c>
      <c r="F81" s="45">
        <v>56</v>
      </c>
      <c r="G81" s="11" t="s">
        <v>315</v>
      </c>
      <c r="H81" s="46">
        <v>1936.8</v>
      </c>
      <c r="I81" s="46">
        <v>9382.7000000000007</v>
      </c>
      <c r="J81" s="46">
        <v>1641.88</v>
      </c>
      <c r="K81" s="46">
        <v>8868.58</v>
      </c>
      <c r="L81" s="47">
        <v>18</v>
      </c>
      <c r="M81" s="47">
        <v>5.8</v>
      </c>
      <c r="N81" s="46">
        <v>10510.46</v>
      </c>
      <c r="O81" s="46">
        <v>11319.52</v>
      </c>
      <c r="P81" s="45">
        <v>809.06</v>
      </c>
      <c r="Q81" s="47">
        <v>7.7</v>
      </c>
    </row>
    <row r="82" spans="1:17" ht="27" x14ac:dyDescent="0.3">
      <c r="A82" s="11" t="s">
        <v>330</v>
      </c>
      <c r="B82" s="11" t="s">
        <v>331</v>
      </c>
      <c r="C82" s="45">
        <v>2</v>
      </c>
      <c r="D82" s="45">
        <v>2</v>
      </c>
      <c r="E82" s="45">
        <v>53</v>
      </c>
      <c r="F82" s="45">
        <v>57</v>
      </c>
      <c r="G82" s="11" t="s">
        <v>315</v>
      </c>
      <c r="H82" s="46">
        <v>1993.3</v>
      </c>
      <c r="I82" s="46">
        <v>8433.1</v>
      </c>
      <c r="J82" s="46">
        <v>1650.38</v>
      </c>
      <c r="K82" s="46">
        <v>7750.08</v>
      </c>
      <c r="L82" s="47">
        <v>20.8</v>
      </c>
      <c r="M82" s="47">
        <v>8.8000000000000007</v>
      </c>
      <c r="N82" s="46">
        <v>9400.4699999999993</v>
      </c>
      <c r="O82" s="46">
        <v>10426.44</v>
      </c>
      <c r="P82" s="45">
        <v>1025.97</v>
      </c>
      <c r="Q82" s="47">
        <v>10.9</v>
      </c>
    </row>
    <row r="83" spans="1:17" ht="27" x14ac:dyDescent="0.3">
      <c r="A83" s="11" t="s">
        <v>330</v>
      </c>
      <c r="B83" s="11" t="s">
        <v>332</v>
      </c>
      <c r="C83" s="45">
        <v>1</v>
      </c>
      <c r="D83" s="45">
        <v>1</v>
      </c>
      <c r="E83" s="45">
        <v>26</v>
      </c>
      <c r="F83" s="45">
        <v>28</v>
      </c>
      <c r="G83" s="11" t="s">
        <v>315</v>
      </c>
      <c r="H83" s="46">
        <v>1199.7</v>
      </c>
      <c r="I83" s="46">
        <v>4831.2</v>
      </c>
      <c r="J83" s="46">
        <v>979.16</v>
      </c>
      <c r="K83" s="46">
        <v>4541.46</v>
      </c>
      <c r="L83" s="47">
        <v>22.5</v>
      </c>
      <c r="M83" s="47">
        <v>6.4</v>
      </c>
      <c r="N83" s="46">
        <v>5520.62</v>
      </c>
      <c r="O83" s="46">
        <v>6030.98</v>
      </c>
      <c r="P83" s="45">
        <v>510.36</v>
      </c>
      <c r="Q83" s="47">
        <v>9.1999999999999993</v>
      </c>
    </row>
    <row r="84" spans="1:17" ht="27" x14ac:dyDescent="0.3">
      <c r="A84" s="11" t="s">
        <v>333</v>
      </c>
      <c r="B84" s="11" t="s">
        <v>331</v>
      </c>
      <c r="C84" s="45">
        <v>2</v>
      </c>
      <c r="D84" s="45">
        <v>2</v>
      </c>
      <c r="E84" s="45">
        <v>54</v>
      </c>
      <c r="F84" s="45">
        <v>58</v>
      </c>
      <c r="G84" s="11" t="s">
        <v>315</v>
      </c>
      <c r="H84" s="46">
        <v>2028.3</v>
      </c>
      <c r="I84" s="46">
        <v>8581.1</v>
      </c>
      <c r="J84" s="46">
        <v>1679.25</v>
      </c>
      <c r="K84" s="46">
        <v>7885.6</v>
      </c>
      <c r="L84" s="47">
        <v>20.8</v>
      </c>
      <c r="M84" s="47">
        <v>8.8000000000000007</v>
      </c>
      <c r="N84" s="46">
        <v>9564.85</v>
      </c>
      <c r="O84" s="46">
        <v>10609.36</v>
      </c>
      <c r="P84" s="45">
        <v>1044.51</v>
      </c>
      <c r="Q84" s="47">
        <v>10.9</v>
      </c>
    </row>
    <row r="85" spans="1:17" ht="27" x14ac:dyDescent="0.3">
      <c r="A85" s="11" t="s">
        <v>333</v>
      </c>
      <c r="B85" s="11" t="s">
        <v>332</v>
      </c>
      <c r="C85" s="45">
        <v>1</v>
      </c>
      <c r="D85" s="45">
        <v>1</v>
      </c>
      <c r="E85" s="45">
        <v>26</v>
      </c>
      <c r="F85" s="45">
        <v>28</v>
      </c>
      <c r="G85" s="11" t="s">
        <v>315</v>
      </c>
      <c r="H85" s="46">
        <v>1199.7</v>
      </c>
      <c r="I85" s="46">
        <v>4831.2</v>
      </c>
      <c r="J85" s="46">
        <v>979.16</v>
      </c>
      <c r="K85" s="46">
        <v>4541.46</v>
      </c>
      <c r="L85" s="47">
        <v>22.5</v>
      </c>
      <c r="M85" s="47">
        <v>6.4</v>
      </c>
      <c r="N85" s="46">
        <v>5520.62</v>
      </c>
      <c r="O85" s="46">
        <v>6030.98</v>
      </c>
      <c r="P85" s="45">
        <v>510.36</v>
      </c>
      <c r="Q85" s="47">
        <v>9.1999999999999993</v>
      </c>
    </row>
    <row r="86" spans="1:17" ht="27" x14ac:dyDescent="0.3">
      <c r="A86" s="11" t="s">
        <v>334</v>
      </c>
      <c r="B86" s="11" t="s">
        <v>328</v>
      </c>
      <c r="C86" s="45">
        <v>0</v>
      </c>
      <c r="D86" s="45">
        <v>0</v>
      </c>
      <c r="E86" s="45">
        <v>4</v>
      </c>
      <c r="F86" s="45">
        <v>4</v>
      </c>
      <c r="G86" s="11" t="s">
        <v>315</v>
      </c>
      <c r="H86" s="46">
        <v>172.2</v>
      </c>
      <c r="I86" s="46">
        <v>699.4</v>
      </c>
      <c r="J86" s="46">
        <v>148.59</v>
      </c>
      <c r="K86" s="46">
        <v>669</v>
      </c>
      <c r="L86" s="47">
        <v>15.9</v>
      </c>
      <c r="M86" s="47">
        <v>4.5</v>
      </c>
      <c r="N86" s="46">
        <v>817.59</v>
      </c>
      <c r="O86" s="46">
        <v>871.56</v>
      </c>
      <c r="P86" s="45">
        <v>53.97</v>
      </c>
      <c r="Q86" s="47">
        <v>6.6</v>
      </c>
    </row>
    <row r="87" spans="1:17" ht="27" x14ac:dyDescent="0.3">
      <c r="A87" s="11" t="s">
        <v>334</v>
      </c>
      <c r="B87" s="11" t="s">
        <v>335</v>
      </c>
      <c r="C87" s="45">
        <v>2</v>
      </c>
      <c r="D87" s="45">
        <v>0</v>
      </c>
      <c r="E87" s="45">
        <v>8</v>
      </c>
      <c r="F87" s="45">
        <v>10</v>
      </c>
      <c r="G87" s="11" t="s">
        <v>315</v>
      </c>
      <c r="H87" s="46">
        <v>425</v>
      </c>
      <c r="I87" s="46">
        <v>1813.1</v>
      </c>
      <c r="J87" s="46">
        <v>374.7</v>
      </c>
      <c r="K87" s="46">
        <v>1756.28</v>
      </c>
      <c r="L87" s="47">
        <v>13.4</v>
      </c>
      <c r="M87" s="47">
        <v>3.2</v>
      </c>
      <c r="N87" s="46">
        <v>2130.98</v>
      </c>
      <c r="O87" s="46">
        <v>2238.08</v>
      </c>
      <c r="P87" s="45">
        <v>107.1</v>
      </c>
      <c r="Q87" s="47">
        <v>5</v>
      </c>
    </row>
    <row r="88" spans="1:17" ht="27" x14ac:dyDescent="0.3">
      <c r="A88" s="11" t="s">
        <v>334</v>
      </c>
      <c r="B88" s="11" t="s">
        <v>336</v>
      </c>
      <c r="C88" s="45">
        <v>0</v>
      </c>
      <c r="D88" s="45">
        <v>2</v>
      </c>
      <c r="E88" s="45">
        <v>8</v>
      </c>
      <c r="F88" s="45">
        <v>10</v>
      </c>
      <c r="G88" s="11" t="s">
        <v>315</v>
      </c>
      <c r="H88" s="46">
        <v>430.4</v>
      </c>
      <c r="I88" s="46">
        <v>1737.7</v>
      </c>
      <c r="J88" s="46">
        <v>374.64</v>
      </c>
      <c r="K88" s="46">
        <v>1691.36</v>
      </c>
      <c r="L88" s="47">
        <v>14.9</v>
      </c>
      <c r="M88" s="47">
        <v>2.7</v>
      </c>
      <c r="N88" s="46">
        <v>2066.0100000000002</v>
      </c>
      <c r="O88" s="46">
        <v>2168.14</v>
      </c>
      <c r="P88" s="45">
        <v>102.13</v>
      </c>
      <c r="Q88" s="47">
        <v>4.9000000000000004</v>
      </c>
    </row>
    <row r="89" spans="1:17" ht="27" x14ac:dyDescent="0.3">
      <c r="A89" s="11" t="s">
        <v>337</v>
      </c>
      <c r="B89" s="11" t="s">
        <v>331</v>
      </c>
      <c r="C89" s="45">
        <v>2</v>
      </c>
      <c r="D89" s="45">
        <v>2</v>
      </c>
      <c r="E89" s="45">
        <v>54</v>
      </c>
      <c r="F89" s="45">
        <v>58</v>
      </c>
      <c r="G89" s="11" t="s">
        <v>315</v>
      </c>
      <c r="H89" s="46">
        <v>2028.3</v>
      </c>
      <c r="I89" s="46">
        <v>8581.1</v>
      </c>
      <c r="J89" s="46">
        <v>1679.25</v>
      </c>
      <c r="K89" s="46">
        <v>7885.6</v>
      </c>
      <c r="L89" s="47">
        <v>20.8</v>
      </c>
      <c r="M89" s="47">
        <v>8.8000000000000007</v>
      </c>
      <c r="N89" s="46">
        <v>9564.85</v>
      </c>
      <c r="O89" s="46">
        <v>10609.36</v>
      </c>
      <c r="P89" s="45">
        <v>1044.51</v>
      </c>
      <c r="Q89" s="47">
        <v>10.9</v>
      </c>
    </row>
    <row r="90" spans="1:17" ht="27" x14ac:dyDescent="0.3">
      <c r="A90" s="11" t="s">
        <v>337</v>
      </c>
      <c r="B90" s="11" t="s">
        <v>332</v>
      </c>
      <c r="C90" s="45">
        <v>1</v>
      </c>
      <c r="D90" s="45">
        <v>1</v>
      </c>
      <c r="E90" s="45">
        <v>26</v>
      </c>
      <c r="F90" s="45">
        <v>28</v>
      </c>
      <c r="G90" s="11" t="s">
        <v>315</v>
      </c>
      <c r="H90" s="46">
        <v>1199.7</v>
      </c>
      <c r="I90" s="46">
        <v>4831.2</v>
      </c>
      <c r="J90" s="46">
        <v>979.16</v>
      </c>
      <c r="K90" s="46">
        <v>4541.46</v>
      </c>
      <c r="L90" s="47">
        <v>22.5</v>
      </c>
      <c r="M90" s="47">
        <v>6.4</v>
      </c>
      <c r="N90" s="46">
        <v>5520.62</v>
      </c>
      <c r="O90" s="46">
        <v>6030.98</v>
      </c>
      <c r="P90" s="45">
        <v>510.36</v>
      </c>
      <c r="Q90" s="47">
        <v>9.1999999999999993</v>
      </c>
    </row>
    <row r="91" spans="1:17" ht="27" x14ac:dyDescent="0.3">
      <c r="A91" s="11" t="s">
        <v>338</v>
      </c>
      <c r="B91" s="11" t="s">
        <v>326</v>
      </c>
      <c r="C91" s="45">
        <v>1</v>
      </c>
      <c r="D91" s="45">
        <v>1</v>
      </c>
      <c r="E91" s="45">
        <v>18</v>
      </c>
      <c r="F91" s="45">
        <v>20</v>
      </c>
      <c r="G91" s="11" t="s">
        <v>315</v>
      </c>
      <c r="H91" s="46">
        <v>694</v>
      </c>
      <c r="I91" s="46">
        <v>3346.4</v>
      </c>
      <c r="J91" s="46">
        <v>585.26</v>
      </c>
      <c r="K91" s="46">
        <v>3161.16</v>
      </c>
      <c r="L91" s="47">
        <v>18.600000000000001</v>
      </c>
      <c r="M91" s="47">
        <v>5.9</v>
      </c>
      <c r="N91" s="46">
        <v>3746.42</v>
      </c>
      <c r="O91" s="46">
        <v>4040.38</v>
      </c>
      <c r="P91" s="45">
        <v>293.95999999999998</v>
      </c>
      <c r="Q91" s="47">
        <v>7.8</v>
      </c>
    </row>
    <row r="92" spans="1:17" ht="27" x14ac:dyDescent="0.3">
      <c r="A92" s="11" t="s">
        <v>338</v>
      </c>
      <c r="B92" s="11" t="s">
        <v>339</v>
      </c>
      <c r="C92" s="45">
        <v>1</v>
      </c>
      <c r="D92" s="45">
        <v>1</v>
      </c>
      <c r="E92" s="45">
        <v>18</v>
      </c>
      <c r="F92" s="45">
        <v>20</v>
      </c>
      <c r="G92" s="11" t="s">
        <v>315</v>
      </c>
      <c r="H92" s="46">
        <v>591.79999999999995</v>
      </c>
      <c r="I92" s="46">
        <v>2480.1999999999998</v>
      </c>
      <c r="J92" s="46">
        <v>498.19</v>
      </c>
      <c r="K92" s="46">
        <v>2234.83</v>
      </c>
      <c r="L92" s="47">
        <v>18.8</v>
      </c>
      <c r="M92" s="47">
        <v>11</v>
      </c>
      <c r="N92" s="46">
        <v>2733.02</v>
      </c>
      <c r="O92" s="46">
        <v>3071.98</v>
      </c>
      <c r="P92" s="45">
        <v>338.96</v>
      </c>
      <c r="Q92" s="47">
        <v>12.4</v>
      </c>
    </row>
    <row r="93" spans="1:17" ht="27" x14ac:dyDescent="0.3">
      <c r="A93" s="11" t="s">
        <v>340</v>
      </c>
      <c r="B93" s="11" t="s">
        <v>326</v>
      </c>
      <c r="C93" s="45">
        <v>0</v>
      </c>
      <c r="D93" s="45">
        <v>1</v>
      </c>
      <c r="E93" s="45">
        <v>3</v>
      </c>
      <c r="F93" s="45">
        <v>4</v>
      </c>
      <c r="G93" s="11" t="s">
        <v>315</v>
      </c>
      <c r="H93" s="46">
        <v>137.19999999999999</v>
      </c>
      <c r="I93" s="46">
        <v>672.5</v>
      </c>
      <c r="J93" s="46">
        <v>117.84</v>
      </c>
      <c r="K93" s="46">
        <v>636.57000000000005</v>
      </c>
      <c r="L93" s="47">
        <v>16.399999999999999</v>
      </c>
      <c r="M93" s="47">
        <v>5.6</v>
      </c>
      <c r="N93" s="46">
        <v>754.41</v>
      </c>
      <c r="O93" s="46">
        <v>809.69</v>
      </c>
      <c r="P93" s="45">
        <v>55.28</v>
      </c>
      <c r="Q93" s="47">
        <v>7.3</v>
      </c>
    </row>
    <row r="94" spans="1:17" ht="27" x14ac:dyDescent="0.3">
      <c r="A94" s="11" t="s">
        <v>340</v>
      </c>
      <c r="B94" s="11" t="s">
        <v>341</v>
      </c>
      <c r="C94" s="45">
        <v>1</v>
      </c>
      <c r="D94" s="45">
        <v>0</v>
      </c>
      <c r="E94" s="45">
        <v>2</v>
      </c>
      <c r="F94" s="45">
        <v>3</v>
      </c>
      <c r="G94" s="11" t="s">
        <v>315</v>
      </c>
      <c r="H94" s="46">
        <v>102.2</v>
      </c>
      <c r="I94" s="46">
        <v>513.79999999999995</v>
      </c>
      <c r="J94" s="46">
        <v>90.51</v>
      </c>
      <c r="K94" s="46">
        <v>491.68</v>
      </c>
      <c r="L94" s="47">
        <v>12.9</v>
      </c>
      <c r="M94" s="47">
        <v>4.5</v>
      </c>
      <c r="N94" s="46">
        <v>582.19000000000005</v>
      </c>
      <c r="O94" s="46">
        <v>616.01</v>
      </c>
      <c r="P94" s="45">
        <v>33.82</v>
      </c>
      <c r="Q94" s="47">
        <v>5.8</v>
      </c>
    </row>
    <row r="95" spans="1:17" ht="27" x14ac:dyDescent="0.3">
      <c r="A95" s="11" t="s">
        <v>340</v>
      </c>
      <c r="B95" s="11" t="s">
        <v>342</v>
      </c>
      <c r="C95" s="45">
        <v>0</v>
      </c>
      <c r="D95" s="45">
        <v>0</v>
      </c>
      <c r="E95" s="45">
        <v>4</v>
      </c>
      <c r="F95" s="45">
        <v>4</v>
      </c>
      <c r="G95" s="11" t="s">
        <v>315</v>
      </c>
      <c r="H95" s="46">
        <v>139.9</v>
      </c>
      <c r="I95" s="46">
        <v>688.6</v>
      </c>
      <c r="J95" s="46">
        <v>118.88</v>
      </c>
      <c r="K95" s="46">
        <v>646.11</v>
      </c>
      <c r="L95" s="47">
        <v>17.7</v>
      </c>
      <c r="M95" s="47">
        <v>6.6</v>
      </c>
      <c r="N95" s="46">
        <v>764.99</v>
      </c>
      <c r="O95" s="46">
        <v>828.52</v>
      </c>
      <c r="P95" s="45">
        <v>63.53</v>
      </c>
      <c r="Q95" s="47">
        <v>8.3000000000000007</v>
      </c>
    </row>
    <row r="96" spans="1:17" ht="27" x14ac:dyDescent="0.3">
      <c r="A96" s="11" t="s">
        <v>340</v>
      </c>
      <c r="B96" s="11" t="s">
        <v>328</v>
      </c>
      <c r="C96" s="45">
        <v>1</v>
      </c>
      <c r="D96" s="45">
        <v>0</v>
      </c>
      <c r="E96" s="45">
        <v>3</v>
      </c>
      <c r="F96" s="45">
        <v>4</v>
      </c>
      <c r="G96" s="11" t="s">
        <v>315</v>
      </c>
      <c r="H96" s="46">
        <v>172.2</v>
      </c>
      <c r="I96" s="46">
        <v>704.8</v>
      </c>
      <c r="J96" s="46">
        <v>150.19999999999999</v>
      </c>
      <c r="K96" s="46">
        <v>676.56</v>
      </c>
      <c r="L96" s="47">
        <v>14.6</v>
      </c>
      <c r="M96" s="47">
        <v>4.2</v>
      </c>
      <c r="N96" s="46">
        <v>826.77</v>
      </c>
      <c r="O96" s="46">
        <v>876.94</v>
      </c>
      <c r="P96" s="45">
        <v>50.17</v>
      </c>
      <c r="Q96" s="47">
        <v>6.1</v>
      </c>
    </row>
    <row r="97" spans="1:17" ht="27" x14ac:dyDescent="0.3">
      <c r="A97" s="11" t="s">
        <v>340</v>
      </c>
      <c r="B97" s="11" t="s">
        <v>335</v>
      </c>
      <c r="C97" s="45">
        <v>0</v>
      </c>
      <c r="D97" s="45">
        <v>0</v>
      </c>
      <c r="E97" s="45">
        <v>4</v>
      </c>
      <c r="F97" s="45">
        <v>4</v>
      </c>
      <c r="G97" s="11" t="s">
        <v>315</v>
      </c>
      <c r="H97" s="46">
        <v>172.2</v>
      </c>
      <c r="I97" s="46">
        <v>720.9</v>
      </c>
      <c r="J97" s="46">
        <v>148.59</v>
      </c>
      <c r="K97" s="46">
        <v>696.26</v>
      </c>
      <c r="L97" s="47">
        <v>15.9</v>
      </c>
      <c r="M97" s="47">
        <v>3.5</v>
      </c>
      <c r="N97" s="46">
        <v>844.85</v>
      </c>
      <c r="O97" s="46">
        <v>893.08</v>
      </c>
      <c r="P97" s="45">
        <v>48.23</v>
      </c>
      <c r="Q97" s="47">
        <v>5.7</v>
      </c>
    </row>
    <row r="98" spans="1:17" ht="27" x14ac:dyDescent="0.3">
      <c r="A98" s="11" t="s">
        <v>340</v>
      </c>
      <c r="B98" s="11" t="s">
        <v>336</v>
      </c>
      <c r="C98" s="45">
        <v>0</v>
      </c>
      <c r="D98" s="45">
        <v>1</v>
      </c>
      <c r="E98" s="45">
        <v>3</v>
      </c>
      <c r="F98" s="45">
        <v>4</v>
      </c>
      <c r="G98" s="11" t="s">
        <v>315</v>
      </c>
      <c r="H98" s="46">
        <v>172.2</v>
      </c>
      <c r="I98" s="46">
        <v>696.7</v>
      </c>
      <c r="J98" s="46">
        <v>150.18</v>
      </c>
      <c r="K98" s="46">
        <v>678.06</v>
      </c>
      <c r="L98" s="47">
        <v>14.6</v>
      </c>
      <c r="M98" s="47">
        <v>2.8</v>
      </c>
      <c r="N98" s="46">
        <v>828.24</v>
      </c>
      <c r="O98" s="46">
        <v>868.87</v>
      </c>
      <c r="P98" s="45">
        <v>40.630000000000003</v>
      </c>
      <c r="Q98" s="47">
        <v>4.9000000000000004</v>
      </c>
    </row>
    <row r="99" spans="1:17" ht="27" x14ac:dyDescent="0.3">
      <c r="A99" s="11" t="s">
        <v>343</v>
      </c>
      <c r="B99" s="11" t="s">
        <v>326</v>
      </c>
      <c r="C99" s="45">
        <v>0</v>
      </c>
      <c r="D99" s="45">
        <v>0</v>
      </c>
      <c r="E99" s="45">
        <v>3</v>
      </c>
      <c r="F99" s="45">
        <v>3</v>
      </c>
      <c r="G99" s="11" t="s">
        <v>315</v>
      </c>
      <c r="H99" s="46">
        <v>104.9</v>
      </c>
      <c r="I99" s="46">
        <v>500.3</v>
      </c>
      <c r="J99" s="46">
        <v>87.4</v>
      </c>
      <c r="K99" s="46">
        <v>472.01</v>
      </c>
      <c r="L99" s="47">
        <v>20</v>
      </c>
      <c r="M99" s="47">
        <v>6</v>
      </c>
      <c r="N99" s="46">
        <v>559.4</v>
      </c>
      <c r="O99" s="46">
        <v>605.25</v>
      </c>
      <c r="P99" s="45">
        <v>45.85</v>
      </c>
      <c r="Q99" s="47">
        <v>8.1999999999999993</v>
      </c>
    </row>
    <row r="100" spans="1:17" ht="27" x14ac:dyDescent="0.3">
      <c r="A100" s="11" t="s">
        <v>343</v>
      </c>
      <c r="B100" s="11" t="s">
        <v>341</v>
      </c>
      <c r="C100" s="45">
        <v>1</v>
      </c>
      <c r="D100" s="45">
        <v>0</v>
      </c>
      <c r="E100" s="45">
        <v>3</v>
      </c>
      <c r="F100" s="45">
        <v>4</v>
      </c>
      <c r="G100" s="11" t="s">
        <v>315</v>
      </c>
      <c r="H100" s="46">
        <v>137.19999999999999</v>
      </c>
      <c r="I100" s="46">
        <v>683.3</v>
      </c>
      <c r="J100" s="46">
        <v>120.23</v>
      </c>
      <c r="K100" s="46">
        <v>653.12</v>
      </c>
      <c r="L100" s="47">
        <v>14.1</v>
      </c>
      <c r="M100" s="47">
        <v>4.5999999999999996</v>
      </c>
      <c r="N100" s="46">
        <v>773.35</v>
      </c>
      <c r="O100" s="46">
        <v>820.45</v>
      </c>
      <c r="P100" s="45">
        <v>47.1</v>
      </c>
      <c r="Q100" s="47">
        <v>6.1</v>
      </c>
    </row>
    <row r="101" spans="1:17" ht="27" x14ac:dyDescent="0.3">
      <c r="A101" s="11" t="s">
        <v>343</v>
      </c>
      <c r="B101" s="11" t="s">
        <v>342</v>
      </c>
      <c r="C101" s="45">
        <v>0</v>
      </c>
      <c r="D101" s="45">
        <v>1</v>
      </c>
      <c r="E101" s="45">
        <v>3</v>
      </c>
      <c r="F101" s="45">
        <v>4</v>
      </c>
      <c r="G101" s="11" t="s">
        <v>315</v>
      </c>
      <c r="H101" s="46">
        <v>137.19999999999999</v>
      </c>
      <c r="I101" s="46">
        <v>696.7</v>
      </c>
      <c r="J101" s="46">
        <v>120.22</v>
      </c>
      <c r="K101" s="46">
        <v>653.49</v>
      </c>
      <c r="L101" s="47">
        <v>14.1</v>
      </c>
      <c r="M101" s="47">
        <v>6.6</v>
      </c>
      <c r="N101" s="46">
        <v>773.71</v>
      </c>
      <c r="O101" s="46">
        <v>833.9</v>
      </c>
      <c r="P101" s="45">
        <v>60.19</v>
      </c>
      <c r="Q101" s="47">
        <v>7.8</v>
      </c>
    </row>
    <row r="102" spans="1:17" ht="27" x14ac:dyDescent="0.3">
      <c r="A102" s="11" t="s">
        <v>343</v>
      </c>
      <c r="B102" s="11" t="s">
        <v>328</v>
      </c>
      <c r="C102" s="45">
        <v>0</v>
      </c>
      <c r="D102" s="45">
        <v>0</v>
      </c>
      <c r="E102" s="45">
        <v>2</v>
      </c>
      <c r="F102" s="45">
        <v>2</v>
      </c>
      <c r="G102" s="11" t="s">
        <v>315</v>
      </c>
      <c r="H102" s="46">
        <v>86.1</v>
      </c>
      <c r="I102" s="46">
        <v>349.7</v>
      </c>
      <c r="J102" s="46">
        <v>74.3</v>
      </c>
      <c r="K102" s="46">
        <v>334.5</v>
      </c>
      <c r="L102" s="47">
        <v>15.9</v>
      </c>
      <c r="M102" s="47">
        <v>4.5</v>
      </c>
      <c r="N102" s="46">
        <v>408.79</v>
      </c>
      <c r="O102" s="46">
        <v>435.78</v>
      </c>
      <c r="P102" s="45">
        <v>26.99</v>
      </c>
      <c r="Q102" s="47">
        <v>6.6</v>
      </c>
    </row>
    <row r="103" spans="1:17" ht="27" x14ac:dyDescent="0.3">
      <c r="A103" s="11" t="s">
        <v>343</v>
      </c>
      <c r="B103" s="11" t="s">
        <v>335</v>
      </c>
      <c r="C103" s="45">
        <v>1</v>
      </c>
      <c r="D103" s="45">
        <v>0</v>
      </c>
      <c r="E103" s="45">
        <v>3</v>
      </c>
      <c r="F103" s="45">
        <v>4</v>
      </c>
      <c r="G103" s="11" t="s">
        <v>315</v>
      </c>
      <c r="H103" s="46">
        <v>169.5</v>
      </c>
      <c r="I103" s="46">
        <v>726.3</v>
      </c>
      <c r="J103" s="46">
        <v>150.19999999999999</v>
      </c>
      <c r="K103" s="46">
        <v>704.08</v>
      </c>
      <c r="L103" s="47">
        <v>12.8</v>
      </c>
      <c r="M103" s="47">
        <v>3.2</v>
      </c>
      <c r="N103" s="46">
        <v>854.28</v>
      </c>
      <c r="O103" s="46">
        <v>895.77</v>
      </c>
      <c r="P103" s="45">
        <v>41.49</v>
      </c>
      <c r="Q103" s="47">
        <v>4.9000000000000004</v>
      </c>
    </row>
    <row r="104" spans="1:17" ht="27" x14ac:dyDescent="0.3">
      <c r="A104" s="11" t="s">
        <v>343</v>
      </c>
      <c r="B104" s="11" t="s">
        <v>336</v>
      </c>
      <c r="C104" s="45">
        <v>0</v>
      </c>
      <c r="D104" s="45">
        <v>1</v>
      </c>
      <c r="E104" s="45">
        <v>4</v>
      </c>
      <c r="F104" s="45">
        <v>5</v>
      </c>
      <c r="G104" s="11" t="s">
        <v>315</v>
      </c>
      <c r="H104" s="46">
        <v>215.2</v>
      </c>
      <c r="I104" s="46">
        <v>868.9</v>
      </c>
      <c r="J104" s="46">
        <v>187.32</v>
      </c>
      <c r="K104" s="46">
        <v>845.68</v>
      </c>
      <c r="L104" s="47">
        <v>14.9</v>
      </c>
      <c r="M104" s="47">
        <v>2.7</v>
      </c>
      <c r="N104" s="46">
        <v>1033</v>
      </c>
      <c r="O104" s="46">
        <v>1084.07</v>
      </c>
      <c r="P104" s="45">
        <v>51.07</v>
      </c>
      <c r="Q104" s="47">
        <v>4.9000000000000004</v>
      </c>
    </row>
    <row r="105" spans="1:17" ht="27" x14ac:dyDescent="0.3">
      <c r="A105" s="11" t="s">
        <v>343</v>
      </c>
      <c r="B105" s="11" t="s">
        <v>344</v>
      </c>
      <c r="C105" s="45">
        <v>1</v>
      </c>
      <c r="D105" s="45">
        <v>1</v>
      </c>
      <c r="E105" s="45">
        <v>9</v>
      </c>
      <c r="F105" s="45">
        <v>11</v>
      </c>
      <c r="G105" s="11" t="s">
        <v>315</v>
      </c>
      <c r="H105" s="46">
        <v>408.9</v>
      </c>
      <c r="I105" s="46">
        <v>2181.6</v>
      </c>
      <c r="J105" s="46">
        <v>334.39</v>
      </c>
      <c r="K105" s="46">
        <v>2064.54</v>
      </c>
      <c r="L105" s="47">
        <v>22.3</v>
      </c>
      <c r="M105" s="47">
        <v>5.7</v>
      </c>
      <c r="N105" s="46">
        <v>2398.9299999999998</v>
      </c>
      <c r="O105" s="46">
        <v>2590.4699999999998</v>
      </c>
      <c r="P105" s="45">
        <v>191.54</v>
      </c>
      <c r="Q105" s="47">
        <v>8</v>
      </c>
    </row>
    <row r="106" spans="1:17" ht="27" x14ac:dyDescent="0.3">
      <c r="A106" s="11" t="s">
        <v>345</v>
      </c>
      <c r="B106" s="11" t="s">
        <v>326</v>
      </c>
      <c r="C106" s="45">
        <v>2</v>
      </c>
      <c r="D106" s="45">
        <v>2</v>
      </c>
      <c r="E106" s="45">
        <v>30</v>
      </c>
      <c r="F106" s="45">
        <v>34</v>
      </c>
      <c r="G106" s="11" t="s">
        <v>315</v>
      </c>
      <c r="H106" s="46">
        <v>1178.2</v>
      </c>
      <c r="I106" s="46">
        <v>5692</v>
      </c>
      <c r="J106" s="46">
        <v>995.73</v>
      </c>
      <c r="K106" s="46">
        <v>5378.3</v>
      </c>
      <c r="L106" s="47">
        <v>18.3</v>
      </c>
      <c r="M106" s="47">
        <v>5.8</v>
      </c>
      <c r="N106" s="46">
        <v>6374.03</v>
      </c>
      <c r="O106" s="46">
        <v>6870.26</v>
      </c>
      <c r="P106" s="45">
        <v>496.23</v>
      </c>
      <c r="Q106" s="47">
        <v>7.8</v>
      </c>
    </row>
    <row r="107" spans="1:17" ht="27" x14ac:dyDescent="0.3">
      <c r="A107" s="11" t="s">
        <v>346</v>
      </c>
      <c r="B107" s="11" t="s">
        <v>331</v>
      </c>
      <c r="C107" s="45">
        <v>2</v>
      </c>
      <c r="D107" s="45">
        <v>2</v>
      </c>
      <c r="E107" s="45">
        <v>52</v>
      </c>
      <c r="F107" s="45">
        <v>56</v>
      </c>
      <c r="G107" s="11" t="s">
        <v>315</v>
      </c>
      <c r="H107" s="46">
        <v>1958.3</v>
      </c>
      <c r="I107" s="46">
        <v>8285.2000000000007</v>
      </c>
      <c r="J107" s="46">
        <v>1621.52</v>
      </c>
      <c r="K107" s="46">
        <v>7614.57</v>
      </c>
      <c r="L107" s="47">
        <v>20.8</v>
      </c>
      <c r="M107" s="47">
        <v>8.8000000000000007</v>
      </c>
      <c r="N107" s="46">
        <v>9236.09</v>
      </c>
      <c r="O107" s="46">
        <v>10243.52</v>
      </c>
      <c r="P107" s="45">
        <v>1007.43</v>
      </c>
      <c r="Q107" s="47">
        <v>10.9</v>
      </c>
    </row>
    <row r="108" spans="1:17" ht="27" x14ac:dyDescent="0.3">
      <c r="A108" s="11" t="s">
        <v>346</v>
      </c>
      <c r="B108" s="11" t="s">
        <v>332</v>
      </c>
      <c r="C108" s="45">
        <v>1</v>
      </c>
      <c r="D108" s="45">
        <v>1</v>
      </c>
      <c r="E108" s="45">
        <v>26</v>
      </c>
      <c r="F108" s="45">
        <v>28</v>
      </c>
      <c r="G108" s="11" t="s">
        <v>315</v>
      </c>
      <c r="H108" s="46">
        <v>1199.7</v>
      </c>
      <c r="I108" s="46">
        <v>4831.2</v>
      </c>
      <c r="J108" s="46">
        <v>979.16</v>
      </c>
      <c r="K108" s="46">
        <v>4541.46</v>
      </c>
      <c r="L108" s="47">
        <v>22.5</v>
      </c>
      <c r="M108" s="47">
        <v>6.4</v>
      </c>
      <c r="N108" s="46">
        <v>5520.62</v>
      </c>
      <c r="O108" s="46">
        <v>6030.98</v>
      </c>
      <c r="P108" s="45">
        <v>510.36</v>
      </c>
      <c r="Q108" s="47">
        <v>9.1999999999999993</v>
      </c>
    </row>
    <row r="109" spans="1:17" ht="27" x14ac:dyDescent="0.3">
      <c r="A109" s="11" t="s">
        <v>347</v>
      </c>
      <c r="B109" s="11" t="s">
        <v>331</v>
      </c>
      <c r="C109" s="45">
        <v>2</v>
      </c>
      <c r="D109" s="45">
        <v>2</v>
      </c>
      <c r="E109" s="45">
        <v>53</v>
      </c>
      <c r="F109" s="45">
        <v>57</v>
      </c>
      <c r="G109" s="11" t="s">
        <v>315</v>
      </c>
      <c r="H109" s="46">
        <v>1993.3</v>
      </c>
      <c r="I109" s="46">
        <v>8433.1</v>
      </c>
      <c r="J109" s="46">
        <v>1650.38</v>
      </c>
      <c r="K109" s="46">
        <v>7750.08</v>
      </c>
      <c r="L109" s="47">
        <v>20.8</v>
      </c>
      <c r="M109" s="47">
        <v>8.8000000000000007</v>
      </c>
      <c r="N109" s="46">
        <v>9400.4699999999993</v>
      </c>
      <c r="O109" s="46">
        <v>10426.44</v>
      </c>
      <c r="P109" s="45">
        <v>1025.97</v>
      </c>
      <c r="Q109" s="47">
        <v>10.9</v>
      </c>
    </row>
    <row r="110" spans="1:17" ht="27" x14ac:dyDescent="0.3">
      <c r="A110" s="11" t="s">
        <v>347</v>
      </c>
      <c r="B110" s="11" t="s">
        <v>332</v>
      </c>
      <c r="C110" s="45">
        <v>1</v>
      </c>
      <c r="D110" s="45">
        <v>1</v>
      </c>
      <c r="E110" s="45">
        <v>27</v>
      </c>
      <c r="F110" s="45">
        <v>29</v>
      </c>
      <c r="G110" s="11" t="s">
        <v>315</v>
      </c>
      <c r="H110" s="46">
        <v>1242.8</v>
      </c>
      <c r="I110" s="46">
        <v>5003.3999999999996</v>
      </c>
      <c r="J110" s="46">
        <v>1014.02</v>
      </c>
      <c r="K110" s="46">
        <v>4703.13</v>
      </c>
      <c r="L110" s="47">
        <v>22.6</v>
      </c>
      <c r="M110" s="47">
        <v>6.4</v>
      </c>
      <c r="N110" s="46">
        <v>5717.15</v>
      </c>
      <c r="O110" s="46">
        <v>6246.18</v>
      </c>
      <c r="P110" s="45">
        <v>529.03</v>
      </c>
      <c r="Q110" s="47">
        <v>9.3000000000000007</v>
      </c>
    </row>
    <row r="111" spans="1:17" ht="27" x14ac:dyDescent="0.3">
      <c r="A111" s="11" t="s">
        <v>348</v>
      </c>
      <c r="B111" s="11" t="s">
        <v>349</v>
      </c>
      <c r="C111" s="45">
        <v>0</v>
      </c>
      <c r="D111" s="45">
        <v>2</v>
      </c>
      <c r="E111" s="45">
        <v>6</v>
      </c>
      <c r="F111" s="45">
        <v>8</v>
      </c>
      <c r="G111" s="11" t="s">
        <v>315</v>
      </c>
      <c r="H111" s="46">
        <v>365.8</v>
      </c>
      <c r="I111" s="46">
        <v>1404.2</v>
      </c>
      <c r="J111" s="46">
        <v>330.82</v>
      </c>
      <c r="K111" s="46">
        <v>1313.88</v>
      </c>
      <c r="L111" s="47">
        <v>10.6</v>
      </c>
      <c r="M111" s="47">
        <v>6.9</v>
      </c>
      <c r="N111" s="46">
        <v>1644.7</v>
      </c>
      <c r="O111" s="46">
        <v>1770.02</v>
      </c>
      <c r="P111" s="45">
        <v>125.32</v>
      </c>
      <c r="Q111" s="47">
        <v>7.6</v>
      </c>
    </row>
    <row r="112" spans="1:17" ht="27" x14ac:dyDescent="0.3">
      <c r="A112" s="11" t="s">
        <v>348</v>
      </c>
      <c r="B112" s="11" t="s">
        <v>350</v>
      </c>
      <c r="C112" s="45">
        <v>2</v>
      </c>
      <c r="D112" s="45">
        <v>0</v>
      </c>
      <c r="E112" s="45">
        <v>0</v>
      </c>
      <c r="F112" s="45">
        <v>2</v>
      </c>
      <c r="G112" s="11" t="s">
        <v>315</v>
      </c>
      <c r="H112" s="46">
        <v>91.5</v>
      </c>
      <c r="I112" s="46">
        <v>382</v>
      </c>
      <c r="J112" s="46">
        <v>85.34</v>
      </c>
      <c r="K112" s="46">
        <v>370.59</v>
      </c>
      <c r="L112" s="47">
        <v>7.2</v>
      </c>
      <c r="M112" s="47">
        <v>3.1</v>
      </c>
      <c r="N112" s="46">
        <v>455.93</v>
      </c>
      <c r="O112" s="46">
        <v>473.44</v>
      </c>
      <c r="P112" s="45">
        <v>17.510000000000002</v>
      </c>
      <c r="Q112" s="47">
        <v>3.8</v>
      </c>
    </row>
    <row r="113" spans="1:17" ht="27" x14ac:dyDescent="0.3">
      <c r="A113" s="11" t="s">
        <v>351</v>
      </c>
      <c r="B113" s="11" t="s">
        <v>349</v>
      </c>
      <c r="C113" s="45">
        <v>0</v>
      </c>
      <c r="D113" s="45">
        <v>2</v>
      </c>
      <c r="E113" s="45">
        <v>6</v>
      </c>
      <c r="F113" s="45">
        <v>8</v>
      </c>
      <c r="G113" s="11" t="s">
        <v>315</v>
      </c>
      <c r="H113" s="46">
        <v>365.8</v>
      </c>
      <c r="I113" s="46">
        <v>1404.2</v>
      </c>
      <c r="J113" s="46">
        <v>330.82</v>
      </c>
      <c r="K113" s="46">
        <v>1313.88</v>
      </c>
      <c r="L113" s="47">
        <v>10.6</v>
      </c>
      <c r="M113" s="47">
        <v>6.9</v>
      </c>
      <c r="N113" s="46">
        <v>1644.7</v>
      </c>
      <c r="O113" s="46">
        <v>1770.02</v>
      </c>
      <c r="P113" s="45">
        <v>125.32</v>
      </c>
      <c r="Q113" s="47">
        <v>7.6</v>
      </c>
    </row>
    <row r="114" spans="1:17" ht="27" x14ac:dyDescent="0.3">
      <c r="A114" s="11" t="s">
        <v>351</v>
      </c>
      <c r="B114" s="11" t="s">
        <v>350</v>
      </c>
      <c r="C114" s="45">
        <v>2</v>
      </c>
      <c r="D114" s="45">
        <v>0</v>
      </c>
      <c r="E114" s="45">
        <v>0</v>
      </c>
      <c r="F114" s="45">
        <v>2</v>
      </c>
      <c r="G114" s="11" t="s">
        <v>315</v>
      </c>
      <c r="H114" s="46">
        <v>91.5</v>
      </c>
      <c r="I114" s="46">
        <v>382</v>
      </c>
      <c r="J114" s="46">
        <v>85.34</v>
      </c>
      <c r="K114" s="46">
        <v>370.59</v>
      </c>
      <c r="L114" s="47">
        <v>7.2</v>
      </c>
      <c r="M114" s="47">
        <v>3.1</v>
      </c>
      <c r="N114" s="46">
        <v>455.93</v>
      </c>
      <c r="O114" s="46">
        <v>473.44</v>
      </c>
      <c r="P114" s="45">
        <v>17.510000000000002</v>
      </c>
      <c r="Q114" s="47">
        <v>3.8</v>
      </c>
    </row>
    <row r="115" spans="1:17" ht="27" x14ac:dyDescent="0.3">
      <c r="A115" s="11" t="s">
        <v>352</v>
      </c>
      <c r="B115" s="11" t="s">
        <v>349</v>
      </c>
      <c r="C115" s="45">
        <v>0</v>
      </c>
      <c r="D115" s="45">
        <v>1</v>
      </c>
      <c r="E115" s="45">
        <v>3</v>
      </c>
      <c r="F115" s="45">
        <v>4</v>
      </c>
      <c r="G115" s="11" t="s">
        <v>315</v>
      </c>
      <c r="H115" s="46">
        <v>182.9</v>
      </c>
      <c r="I115" s="46">
        <v>702.1</v>
      </c>
      <c r="J115" s="46">
        <v>165.41</v>
      </c>
      <c r="K115" s="46">
        <v>656.94</v>
      </c>
      <c r="L115" s="47">
        <v>10.6</v>
      </c>
      <c r="M115" s="47">
        <v>6.9</v>
      </c>
      <c r="N115" s="46">
        <v>822.35</v>
      </c>
      <c r="O115" s="46">
        <v>885.01</v>
      </c>
      <c r="P115" s="45">
        <v>62.66</v>
      </c>
      <c r="Q115" s="47">
        <v>7.6</v>
      </c>
    </row>
    <row r="116" spans="1:17" ht="27" x14ac:dyDescent="0.3">
      <c r="A116" s="11" t="s">
        <v>352</v>
      </c>
      <c r="B116" s="11" t="s">
        <v>350</v>
      </c>
      <c r="C116" s="45">
        <v>1</v>
      </c>
      <c r="D116" s="45">
        <v>0</v>
      </c>
      <c r="E116" s="45">
        <v>0</v>
      </c>
      <c r="F116" s="45">
        <v>1</v>
      </c>
      <c r="G116" s="11" t="s">
        <v>315</v>
      </c>
      <c r="H116" s="46">
        <v>45.7</v>
      </c>
      <c r="I116" s="46">
        <v>191</v>
      </c>
      <c r="J116" s="46">
        <v>42.67</v>
      </c>
      <c r="K116" s="46">
        <v>185.3</v>
      </c>
      <c r="L116" s="47">
        <v>7.2</v>
      </c>
      <c r="M116" s="47">
        <v>3.1</v>
      </c>
      <c r="N116" s="46">
        <v>227.97</v>
      </c>
      <c r="O116" s="46">
        <v>236.72</v>
      </c>
      <c r="P116" s="45">
        <v>8.75</v>
      </c>
      <c r="Q116" s="47">
        <v>3.8</v>
      </c>
    </row>
    <row r="117" spans="1:17" ht="27" x14ac:dyDescent="0.3">
      <c r="A117" s="11" t="s">
        <v>352</v>
      </c>
      <c r="B117" s="11" t="s">
        <v>353</v>
      </c>
      <c r="C117" s="45">
        <v>0</v>
      </c>
      <c r="D117" s="45">
        <v>3</v>
      </c>
      <c r="E117" s="45">
        <v>9</v>
      </c>
      <c r="F117" s="45">
        <v>12</v>
      </c>
      <c r="G117" s="11" t="s">
        <v>315</v>
      </c>
      <c r="H117" s="46">
        <v>524.5</v>
      </c>
      <c r="I117" s="46">
        <v>2065.9</v>
      </c>
      <c r="J117" s="46">
        <v>442.02</v>
      </c>
      <c r="K117" s="46">
        <v>1936.33</v>
      </c>
      <c r="L117" s="47">
        <v>18.7</v>
      </c>
      <c r="M117" s="47">
        <v>6.7</v>
      </c>
      <c r="N117" s="46">
        <v>2378.35</v>
      </c>
      <c r="O117" s="46">
        <v>2590.4699999999998</v>
      </c>
      <c r="P117" s="45">
        <v>212.12</v>
      </c>
      <c r="Q117" s="47">
        <v>8.9</v>
      </c>
    </row>
    <row r="118" spans="1:17" ht="27" x14ac:dyDescent="0.3">
      <c r="A118" s="11" t="s">
        <v>352</v>
      </c>
      <c r="B118" s="11" t="s">
        <v>354</v>
      </c>
      <c r="C118" s="45">
        <v>3</v>
      </c>
      <c r="D118" s="45">
        <v>0</v>
      </c>
      <c r="E118" s="45">
        <v>0</v>
      </c>
      <c r="F118" s="45">
        <v>3</v>
      </c>
      <c r="G118" s="11" t="s">
        <v>315</v>
      </c>
      <c r="H118" s="46">
        <v>129.1</v>
      </c>
      <c r="I118" s="46">
        <v>524.5</v>
      </c>
      <c r="J118" s="46">
        <v>114.05</v>
      </c>
      <c r="K118" s="46">
        <v>505.21</v>
      </c>
      <c r="L118" s="47">
        <v>13.2</v>
      </c>
      <c r="M118" s="47">
        <v>3.8</v>
      </c>
      <c r="N118" s="46">
        <v>619.26</v>
      </c>
      <c r="O118" s="46">
        <v>653.66999999999996</v>
      </c>
      <c r="P118" s="45">
        <v>34.409999999999997</v>
      </c>
      <c r="Q118" s="47">
        <v>5.6</v>
      </c>
    </row>
    <row r="119" spans="1:17" ht="27" x14ac:dyDescent="0.3">
      <c r="A119" s="11" t="s">
        <v>355</v>
      </c>
      <c r="B119" s="11" t="s">
        <v>349</v>
      </c>
      <c r="C119" s="45">
        <v>0</v>
      </c>
      <c r="D119" s="45">
        <v>1</v>
      </c>
      <c r="E119" s="45">
        <v>1</v>
      </c>
      <c r="F119" s="45">
        <v>2</v>
      </c>
      <c r="G119" s="11" t="s">
        <v>315</v>
      </c>
      <c r="H119" s="46">
        <v>91.5</v>
      </c>
      <c r="I119" s="46">
        <v>352.4</v>
      </c>
      <c r="J119" s="46">
        <v>83.58</v>
      </c>
      <c r="K119" s="46">
        <v>332.33</v>
      </c>
      <c r="L119" s="47">
        <v>9.4</v>
      </c>
      <c r="M119" s="47">
        <v>6</v>
      </c>
      <c r="N119" s="46">
        <v>415.91</v>
      </c>
      <c r="O119" s="46">
        <v>443.85</v>
      </c>
      <c r="P119" s="45">
        <v>27.94</v>
      </c>
      <c r="Q119" s="47">
        <v>6.7</v>
      </c>
    </row>
    <row r="120" spans="1:17" ht="27" x14ac:dyDescent="0.3">
      <c r="A120" s="11" t="s">
        <v>355</v>
      </c>
      <c r="B120" s="11" t="s">
        <v>350</v>
      </c>
      <c r="C120" s="45">
        <v>1</v>
      </c>
      <c r="D120" s="45">
        <v>0</v>
      </c>
      <c r="E120" s="45">
        <v>0</v>
      </c>
      <c r="F120" s="45">
        <v>1</v>
      </c>
      <c r="G120" s="11" t="s">
        <v>315</v>
      </c>
      <c r="H120" s="46">
        <v>45.7</v>
      </c>
      <c r="I120" s="46">
        <v>191</v>
      </c>
      <c r="J120" s="46">
        <v>42.67</v>
      </c>
      <c r="K120" s="46">
        <v>185.3</v>
      </c>
      <c r="L120" s="47">
        <v>7.2</v>
      </c>
      <c r="M120" s="47">
        <v>3.1</v>
      </c>
      <c r="N120" s="46">
        <v>227.97</v>
      </c>
      <c r="O120" s="46">
        <v>236.72</v>
      </c>
      <c r="P120" s="45">
        <v>8.75</v>
      </c>
      <c r="Q120" s="47">
        <v>3.8</v>
      </c>
    </row>
    <row r="121" spans="1:17" ht="27" x14ac:dyDescent="0.3">
      <c r="A121" s="11" t="s">
        <v>355</v>
      </c>
      <c r="B121" s="11" t="s">
        <v>353</v>
      </c>
      <c r="C121" s="45">
        <v>0</v>
      </c>
      <c r="D121" s="45">
        <v>3</v>
      </c>
      <c r="E121" s="45">
        <v>3</v>
      </c>
      <c r="F121" s="45">
        <v>6</v>
      </c>
      <c r="G121" s="11" t="s">
        <v>315</v>
      </c>
      <c r="H121" s="46">
        <v>266.3</v>
      </c>
      <c r="I121" s="46">
        <v>1049.0999999999999</v>
      </c>
      <c r="J121" s="46">
        <v>223.39</v>
      </c>
      <c r="K121" s="46">
        <v>979.12</v>
      </c>
      <c r="L121" s="47">
        <v>19.2</v>
      </c>
      <c r="M121" s="47">
        <v>7.1</v>
      </c>
      <c r="N121" s="46">
        <v>1202.51</v>
      </c>
      <c r="O121" s="46">
        <v>1315.41</v>
      </c>
      <c r="P121" s="45">
        <v>112.9</v>
      </c>
      <c r="Q121" s="47">
        <v>9.4</v>
      </c>
    </row>
    <row r="122" spans="1:17" ht="27" x14ac:dyDescent="0.3">
      <c r="A122" s="11" t="s">
        <v>355</v>
      </c>
      <c r="B122" s="11" t="s">
        <v>354</v>
      </c>
      <c r="C122" s="45">
        <v>3</v>
      </c>
      <c r="D122" s="45">
        <v>0</v>
      </c>
      <c r="E122" s="45">
        <v>0</v>
      </c>
      <c r="F122" s="45">
        <v>3</v>
      </c>
      <c r="G122" s="11" t="s">
        <v>315</v>
      </c>
      <c r="H122" s="46">
        <v>129.1</v>
      </c>
      <c r="I122" s="46">
        <v>524.5</v>
      </c>
      <c r="J122" s="46">
        <v>114.05</v>
      </c>
      <c r="K122" s="46">
        <v>505.21</v>
      </c>
      <c r="L122" s="47">
        <v>13.2</v>
      </c>
      <c r="M122" s="47">
        <v>3.8</v>
      </c>
      <c r="N122" s="46">
        <v>619.26</v>
      </c>
      <c r="O122" s="46">
        <v>653.66999999999996</v>
      </c>
      <c r="P122" s="45">
        <v>34.409999999999997</v>
      </c>
      <c r="Q122" s="47">
        <v>5.6</v>
      </c>
    </row>
    <row r="123" spans="1:17" ht="27" x14ac:dyDescent="0.3">
      <c r="A123" s="11" t="s">
        <v>356</v>
      </c>
      <c r="B123" s="11" t="s">
        <v>349</v>
      </c>
      <c r="C123" s="45">
        <v>0</v>
      </c>
      <c r="D123" s="45">
        <v>1</v>
      </c>
      <c r="E123" s="45">
        <v>1</v>
      </c>
      <c r="F123" s="45">
        <v>2</v>
      </c>
      <c r="G123" s="11" t="s">
        <v>315</v>
      </c>
      <c r="H123" s="46">
        <v>91.5</v>
      </c>
      <c r="I123" s="46">
        <v>352.4</v>
      </c>
      <c r="J123" s="46">
        <v>83.58</v>
      </c>
      <c r="K123" s="46">
        <v>332.33</v>
      </c>
      <c r="L123" s="47">
        <v>9.4</v>
      </c>
      <c r="M123" s="47">
        <v>6</v>
      </c>
      <c r="N123" s="46">
        <v>415.91</v>
      </c>
      <c r="O123" s="46">
        <v>443.85</v>
      </c>
      <c r="P123" s="45">
        <v>27.94</v>
      </c>
      <c r="Q123" s="47">
        <v>6.7</v>
      </c>
    </row>
    <row r="124" spans="1:17" ht="27" x14ac:dyDescent="0.3">
      <c r="A124" s="11" t="s">
        <v>356</v>
      </c>
      <c r="B124" s="11" t="s">
        <v>350</v>
      </c>
      <c r="C124" s="45">
        <v>1</v>
      </c>
      <c r="D124" s="45">
        <v>0</v>
      </c>
      <c r="E124" s="45">
        <v>0</v>
      </c>
      <c r="F124" s="45">
        <v>1</v>
      </c>
      <c r="G124" s="11" t="s">
        <v>315</v>
      </c>
      <c r="H124" s="46">
        <v>45.7</v>
      </c>
      <c r="I124" s="46">
        <v>191</v>
      </c>
      <c r="J124" s="46">
        <v>42.67</v>
      </c>
      <c r="K124" s="46">
        <v>185.3</v>
      </c>
      <c r="L124" s="47">
        <v>7.2</v>
      </c>
      <c r="M124" s="47">
        <v>3.1</v>
      </c>
      <c r="N124" s="46">
        <v>227.97</v>
      </c>
      <c r="O124" s="46">
        <v>236.72</v>
      </c>
      <c r="P124" s="45">
        <v>8.75</v>
      </c>
      <c r="Q124" s="47">
        <v>3.8</v>
      </c>
    </row>
    <row r="125" spans="1:17" ht="27" x14ac:dyDescent="0.3">
      <c r="A125" s="11" t="s">
        <v>356</v>
      </c>
      <c r="B125" s="11" t="s">
        <v>353</v>
      </c>
      <c r="C125" s="45">
        <v>0</v>
      </c>
      <c r="D125" s="45">
        <v>5</v>
      </c>
      <c r="E125" s="45">
        <v>2</v>
      </c>
      <c r="F125" s="45">
        <v>7</v>
      </c>
      <c r="G125" s="11" t="s">
        <v>315</v>
      </c>
      <c r="H125" s="46">
        <v>314.7</v>
      </c>
      <c r="I125" s="46">
        <v>1240.0999999999999</v>
      </c>
      <c r="J125" s="46">
        <v>263</v>
      </c>
      <c r="K125" s="46">
        <v>1153.27</v>
      </c>
      <c r="L125" s="47">
        <v>19.7</v>
      </c>
      <c r="M125" s="47">
        <v>7.5</v>
      </c>
      <c r="N125" s="46">
        <v>1416.27</v>
      </c>
      <c r="O125" s="46">
        <v>1554.82</v>
      </c>
      <c r="P125" s="45">
        <v>138.55000000000001</v>
      </c>
      <c r="Q125" s="47">
        <v>9.8000000000000007</v>
      </c>
    </row>
    <row r="126" spans="1:17" ht="27" x14ac:dyDescent="0.3">
      <c r="A126" s="11" t="s">
        <v>356</v>
      </c>
      <c r="B126" s="11" t="s">
        <v>354</v>
      </c>
      <c r="C126" s="45">
        <v>5</v>
      </c>
      <c r="D126" s="45">
        <v>0</v>
      </c>
      <c r="E126" s="45">
        <v>0</v>
      </c>
      <c r="F126" s="45">
        <v>5</v>
      </c>
      <c r="G126" s="11" t="s">
        <v>315</v>
      </c>
      <c r="H126" s="46">
        <v>215.2</v>
      </c>
      <c r="I126" s="46">
        <v>874.3</v>
      </c>
      <c r="J126" s="46">
        <v>190.09</v>
      </c>
      <c r="K126" s="46">
        <v>842.02</v>
      </c>
      <c r="L126" s="47">
        <v>13.2</v>
      </c>
      <c r="M126" s="47">
        <v>3.8</v>
      </c>
      <c r="N126" s="46">
        <v>1032.1099999999999</v>
      </c>
      <c r="O126" s="46">
        <v>1089.45</v>
      </c>
      <c r="P126" s="45">
        <v>57.34</v>
      </c>
      <c r="Q126" s="47">
        <v>5.6</v>
      </c>
    </row>
    <row r="127" spans="1:17" ht="27" x14ac:dyDescent="0.3">
      <c r="A127" s="11" t="s">
        <v>356</v>
      </c>
      <c r="B127" s="11" t="s">
        <v>357</v>
      </c>
      <c r="C127" s="45">
        <v>0</v>
      </c>
      <c r="D127" s="45">
        <v>0</v>
      </c>
      <c r="E127" s="45">
        <v>1</v>
      </c>
      <c r="F127" s="45">
        <v>1</v>
      </c>
      <c r="G127" s="11" t="s">
        <v>315</v>
      </c>
      <c r="H127" s="46">
        <v>43</v>
      </c>
      <c r="I127" s="46">
        <v>166.8</v>
      </c>
      <c r="J127" s="46">
        <v>36.450000000000003</v>
      </c>
      <c r="K127" s="46">
        <v>154.61000000000001</v>
      </c>
      <c r="L127" s="47">
        <v>18.100000000000001</v>
      </c>
      <c r="M127" s="47">
        <v>7.9</v>
      </c>
      <c r="N127" s="46">
        <v>191.06</v>
      </c>
      <c r="O127" s="46">
        <v>209.82</v>
      </c>
      <c r="P127" s="45">
        <v>18.760000000000002</v>
      </c>
      <c r="Q127" s="47">
        <v>9.8000000000000007</v>
      </c>
    </row>
    <row r="128" spans="1:17" x14ac:dyDescent="0.3">
      <c r="A128" s="30" t="s">
        <v>284</v>
      </c>
      <c r="B128" s="30"/>
      <c r="C128" s="30"/>
      <c r="D128" s="30"/>
      <c r="E128" s="30"/>
      <c r="F128" s="48">
        <v>790</v>
      </c>
      <c r="G128" s="30"/>
      <c r="H128" s="49">
        <v>29928.9</v>
      </c>
      <c r="I128" s="49">
        <v>128331.8</v>
      </c>
      <c r="J128" s="49">
        <v>25151.81</v>
      </c>
      <c r="K128" s="49">
        <v>120213.1</v>
      </c>
      <c r="L128" s="50">
        <v>19</v>
      </c>
      <c r="M128" s="50">
        <v>6.8</v>
      </c>
      <c r="N128" s="49">
        <v>145364.91</v>
      </c>
      <c r="O128" s="49">
        <v>158260.76999999999</v>
      </c>
      <c r="P128" s="48">
        <v>12895.86</v>
      </c>
      <c r="Q128" s="50">
        <v>8.9</v>
      </c>
    </row>
    <row r="129" spans="1:17" x14ac:dyDescent="0.3">
      <c r="A129" s="51" t="s">
        <v>285</v>
      </c>
      <c r="H129" s="52">
        <f>ROUND(H128/2.69,0)</f>
        <v>11126</v>
      </c>
      <c r="I129" s="52">
        <f>ROUND(I128/2.69,0)</f>
        <v>47707</v>
      </c>
    </row>
    <row r="132" spans="1:17" x14ac:dyDescent="0.3">
      <c r="A132" s="3" t="s">
        <v>358</v>
      </c>
    </row>
    <row r="133" spans="1:17" x14ac:dyDescent="0.3">
      <c r="A133" s="2" t="s">
        <v>254</v>
      </c>
    </row>
    <row r="134" spans="1:17" ht="30" customHeight="1" x14ac:dyDescent="0.3">
      <c r="A134" s="9" t="s">
        <v>255</v>
      </c>
      <c r="B134" s="9" t="s">
        <v>256</v>
      </c>
      <c r="C134" s="9" t="s">
        <v>257</v>
      </c>
      <c r="D134" s="9" t="s">
        <v>258</v>
      </c>
      <c r="E134" s="9" t="s">
        <v>259</v>
      </c>
      <c r="F134" s="9" t="s">
        <v>260</v>
      </c>
      <c r="G134" s="9" t="s">
        <v>261</v>
      </c>
      <c r="H134" s="9" t="s">
        <v>262</v>
      </c>
      <c r="I134" s="9" t="s">
        <v>263</v>
      </c>
      <c r="J134" s="9" t="s">
        <v>264</v>
      </c>
      <c r="K134" s="9" t="s">
        <v>265</v>
      </c>
      <c r="L134" s="9" t="s">
        <v>266</v>
      </c>
      <c r="M134" s="9" t="s">
        <v>267</v>
      </c>
      <c r="N134" s="9" t="s">
        <v>268</v>
      </c>
      <c r="O134" s="9" t="s">
        <v>269</v>
      </c>
      <c r="P134" s="9" t="s">
        <v>270</v>
      </c>
      <c r="Q134" s="9" t="s">
        <v>271</v>
      </c>
    </row>
    <row r="135" spans="1:17" ht="27" x14ac:dyDescent="0.3">
      <c r="A135" s="11" t="s">
        <v>272</v>
      </c>
      <c r="B135" s="11" t="s">
        <v>275</v>
      </c>
      <c r="C135" s="45">
        <v>0</v>
      </c>
      <c r="D135" s="45">
        <v>1</v>
      </c>
      <c r="E135" s="45">
        <v>22</v>
      </c>
      <c r="F135" s="45">
        <v>23</v>
      </c>
      <c r="G135" s="11" t="s">
        <v>274</v>
      </c>
      <c r="H135" s="46">
        <v>3010.4</v>
      </c>
      <c r="I135" s="46">
        <v>1922.2</v>
      </c>
      <c r="J135" s="46">
        <v>2696.85</v>
      </c>
      <c r="K135" s="46">
        <v>1884.06</v>
      </c>
      <c r="L135" s="47">
        <v>11.6</v>
      </c>
      <c r="M135" s="47">
        <v>2</v>
      </c>
      <c r="N135" s="46">
        <v>4580.91</v>
      </c>
      <c r="O135" s="46">
        <v>4932.58</v>
      </c>
      <c r="P135" s="45">
        <v>351.66</v>
      </c>
      <c r="Q135" s="47">
        <v>7.7</v>
      </c>
    </row>
    <row r="136" spans="1:17" ht="27" x14ac:dyDescent="0.3">
      <c r="A136" s="11" t="s">
        <v>272</v>
      </c>
      <c r="B136" s="11" t="s">
        <v>359</v>
      </c>
      <c r="C136" s="45">
        <v>1</v>
      </c>
      <c r="D136" s="45">
        <v>1</v>
      </c>
      <c r="E136" s="45">
        <v>22</v>
      </c>
      <c r="F136" s="45">
        <v>24</v>
      </c>
      <c r="G136" s="11" t="s">
        <v>274</v>
      </c>
      <c r="H136" s="46">
        <v>2984.3</v>
      </c>
      <c r="I136" s="46">
        <v>1321.1</v>
      </c>
      <c r="J136" s="46">
        <v>2829.72</v>
      </c>
      <c r="K136" s="46">
        <v>1261.1600000000001</v>
      </c>
      <c r="L136" s="47">
        <v>5.5</v>
      </c>
      <c r="M136" s="47">
        <v>4.7</v>
      </c>
      <c r="N136" s="46">
        <v>4090.88</v>
      </c>
      <c r="O136" s="46">
        <v>4305.3100000000004</v>
      </c>
      <c r="P136" s="45">
        <v>214.43</v>
      </c>
      <c r="Q136" s="47">
        <v>5.2</v>
      </c>
    </row>
    <row r="137" spans="1:17" ht="27" x14ac:dyDescent="0.3">
      <c r="A137" s="11" t="s">
        <v>272</v>
      </c>
      <c r="B137" s="11" t="s">
        <v>360</v>
      </c>
      <c r="C137" s="45">
        <v>3</v>
      </c>
      <c r="D137" s="45">
        <v>3</v>
      </c>
      <c r="E137" s="45">
        <v>66</v>
      </c>
      <c r="F137" s="45">
        <v>72</v>
      </c>
      <c r="G137" s="11" t="s">
        <v>274</v>
      </c>
      <c r="H137" s="46">
        <v>8596.4</v>
      </c>
      <c r="I137" s="46">
        <v>5517.1</v>
      </c>
      <c r="J137" s="46">
        <v>7763.62</v>
      </c>
      <c r="K137" s="46">
        <v>5137.5200000000004</v>
      </c>
      <c r="L137" s="47">
        <v>10.7</v>
      </c>
      <c r="M137" s="47">
        <v>7.4</v>
      </c>
      <c r="N137" s="46">
        <v>12901.14</v>
      </c>
      <c r="O137" s="46">
        <v>14113.44</v>
      </c>
      <c r="P137" s="45">
        <v>1212.3</v>
      </c>
      <c r="Q137" s="47">
        <v>9.4</v>
      </c>
    </row>
    <row r="138" spans="1:17" ht="27" x14ac:dyDescent="0.3">
      <c r="A138" s="11" t="s">
        <v>279</v>
      </c>
      <c r="B138" s="11" t="s">
        <v>361</v>
      </c>
      <c r="C138" s="45">
        <v>0</v>
      </c>
      <c r="D138" s="45">
        <v>0</v>
      </c>
      <c r="E138" s="45">
        <v>21</v>
      </c>
      <c r="F138" s="45">
        <v>21</v>
      </c>
      <c r="G138" s="11" t="s">
        <v>274</v>
      </c>
      <c r="H138" s="46">
        <v>2245.3000000000002</v>
      </c>
      <c r="I138" s="46">
        <v>1347.2</v>
      </c>
      <c r="J138" s="46">
        <v>2054.8000000000002</v>
      </c>
      <c r="K138" s="46">
        <v>1296.6500000000001</v>
      </c>
      <c r="L138" s="47">
        <v>9.3000000000000007</v>
      </c>
      <c r="M138" s="47">
        <v>3.9</v>
      </c>
      <c r="N138" s="46">
        <v>3351.44</v>
      </c>
      <c r="O138" s="46">
        <v>3592.51</v>
      </c>
      <c r="P138" s="45">
        <v>241.07</v>
      </c>
      <c r="Q138" s="47">
        <v>7.2</v>
      </c>
    </row>
    <row r="139" spans="1:17" ht="27" x14ac:dyDescent="0.3">
      <c r="A139" s="11" t="s">
        <v>279</v>
      </c>
      <c r="B139" s="11" t="s">
        <v>275</v>
      </c>
      <c r="C139" s="45">
        <v>1</v>
      </c>
      <c r="D139" s="45">
        <v>1</v>
      </c>
      <c r="E139" s="45">
        <v>22</v>
      </c>
      <c r="F139" s="45">
        <v>24</v>
      </c>
      <c r="G139" s="11" t="s">
        <v>274</v>
      </c>
      <c r="H139" s="46">
        <v>3145.8</v>
      </c>
      <c r="I139" s="46">
        <v>2014.8</v>
      </c>
      <c r="J139" s="46">
        <v>2824.2</v>
      </c>
      <c r="K139" s="46">
        <v>1973.22</v>
      </c>
      <c r="L139" s="47">
        <v>11.4</v>
      </c>
      <c r="M139" s="47">
        <v>2.1</v>
      </c>
      <c r="N139" s="46">
        <v>4797.42</v>
      </c>
      <c r="O139" s="46">
        <v>5160.67</v>
      </c>
      <c r="P139" s="45">
        <v>363.25</v>
      </c>
      <c r="Q139" s="47">
        <v>7.6</v>
      </c>
    </row>
    <row r="140" spans="1:17" ht="27" x14ac:dyDescent="0.3">
      <c r="A140" s="11" t="s">
        <v>279</v>
      </c>
      <c r="B140" s="11" t="s">
        <v>359</v>
      </c>
      <c r="C140" s="45">
        <v>1</v>
      </c>
      <c r="D140" s="45">
        <v>0</v>
      </c>
      <c r="E140" s="45">
        <v>21</v>
      </c>
      <c r="F140" s="45">
        <v>22</v>
      </c>
      <c r="G140" s="11" t="s">
        <v>274</v>
      </c>
      <c r="H140" s="46">
        <v>2727.6</v>
      </c>
      <c r="I140" s="46">
        <v>1207</v>
      </c>
      <c r="J140" s="46">
        <v>2585.25</v>
      </c>
      <c r="K140" s="46">
        <v>1151.78</v>
      </c>
      <c r="L140" s="47">
        <v>5.5</v>
      </c>
      <c r="M140" s="47">
        <v>4.8</v>
      </c>
      <c r="N140" s="46">
        <v>3737.03</v>
      </c>
      <c r="O140" s="46">
        <v>3934.66</v>
      </c>
      <c r="P140" s="45">
        <v>197.62</v>
      </c>
      <c r="Q140" s="47">
        <v>5.3</v>
      </c>
    </row>
    <row r="141" spans="1:17" ht="27" x14ac:dyDescent="0.3">
      <c r="A141" s="11" t="s">
        <v>279</v>
      </c>
      <c r="B141" s="11" t="s">
        <v>281</v>
      </c>
      <c r="C141" s="45">
        <v>0</v>
      </c>
      <c r="D141" s="45">
        <v>1</v>
      </c>
      <c r="E141" s="45">
        <v>1</v>
      </c>
      <c r="F141" s="45">
        <v>2</v>
      </c>
      <c r="G141" s="11" t="s">
        <v>274</v>
      </c>
      <c r="H141" s="46">
        <v>301.8</v>
      </c>
      <c r="I141" s="46">
        <v>152.1</v>
      </c>
      <c r="J141" s="46">
        <v>282.45</v>
      </c>
      <c r="K141" s="46">
        <v>145.38999999999999</v>
      </c>
      <c r="L141" s="47">
        <v>6.8</v>
      </c>
      <c r="M141" s="47">
        <v>4.5999999999999996</v>
      </c>
      <c r="N141" s="46">
        <v>427.85</v>
      </c>
      <c r="O141" s="46">
        <v>453.82</v>
      </c>
      <c r="P141" s="45">
        <v>25.97</v>
      </c>
      <c r="Q141" s="47">
        <v>6.1</v>
      </c>
    </row>
    <row r="142" spans="1:17" ht="27" x14ac:dyDescent="0.3">
      <c r="A142" s="11" t="s">
        <v>279</v>
      </c>
      <c r="B142" s="11" t="s">
        <v>360</v>
      </c>
      <c r="C142" s="45">
        <v>2</v>
      </c>
      <c r="D142" s="45">
        <v>0</v>
      </c>
      <c r="E142" s="45">
        <v>42</v>
      </c>
      <c r="F142" s="45">
        <v>44</v>
      </c>
      <c r="G142" s="11" t="s">
        <v>274</v>
      </c>
      <c r="H142" s="46">
        <v>5241.5</v>
      </c>
      <c r="I142" s="46">
        <v>3359.7</v>
      </c>
      <c r="J142" s="46">
        <v>4727.63</v>
      </c>
      <c r="K142" s="46">
        <v>3127.92</v>
      </c>
      <c r="L142" s="47">
        <v>10.9</v>
      </c>
      <c r="M142" s="47">
        <v>7.4</v>
      </c>
      <c r="N142" s="46">
        <v>7855.55</v>
      </c>
      <c r="O142" s="46">
        <v>8601.1200000000008</v>
      </c>
      <c r="P142" s="45">
        <v>745.57</v>
      </c>
      <c r="Q142" s="47">
        <v>9.5</v>
      </c>
    </row>
    <row r="143" spans="1:17" ht="27" x14ac:dyDescent="0.3">
      <c r="A143" s="11" t="s">
        <v>282</v>
      </c>
      <c r="B143" s="11" t="s">
        <v>361</v>
      </c>
      <c r="C143" s="45">
        <v>2</v>
      </c>
      <c r="D143" s="45">
        <v>2</v>
      </c>
      <c r="E143" s="45">
        <v>46</v>
      </c>
      <c r="F143" s="45">
        <v>50</v>
      </c>
      <c r="G143" s="11" t="s">
        <v>274</v>
      </c>
      <c r="H143" s="46">
        <v>5384</v>
      </c>
      <c r="I143" s="46">
        <v>3236.1</v>
      </c>
      <c r="J143" s="46">
        <v>4928.9799999999996</v>
      </c>
      <c r="K143" s="46">
        <v>3111.6</v>
      </c>
      <c r="L143" s="47">
        <v>9.1999999999999993</v>
      </c>
      <c r="M143" s="47">
        <v>4</v>
      </c>
      <c r="N143" s="46">
        <v>8040.58</v>
      </c>
      <c r="O143" s="46">
        <v>8620.1299999999992</v>
      </c>
      <c r="P143" s="45">
        <v>579.54999999999995</v>
      </c>
      <c r="Q143" s="47">
        <v>7.2</v>
      </c>
    </row>
    <row r="144" spans="1:17" ht="27" x14ac:dyDescent="0.3">
      <c r="A144" s="11" t="s">
        <v>282</v>
      </c>
      <c r="B144" s="11" t="s">
        <v>360</v>
      </c>
      <c r="C144" s="45">
        <v>1</v>
      </c>
      <c r="D144" s="45">
        <v>2</v>
      </c>
      <c r="E144" s="45">
        <v>46</v>
      </c>
      <c r="F144" s="45">
        <v>49</v>
      </c>
      <c r="G144" s="11" t="s">
        <v>274</v>
      </c>
      <c r="H144" s="46">
        <v>5842.6</v>
      </c>
      <c r="I144" s="46">
        <v>3747</v>
      </c>
      <c r="J144" s="46">
        <v>5272.65</v>
      </c>
      <c r="K144" s="46">
        <v>3488.78</v>
      </c>
      <c r="L144" s="47">
        <v>10.8</v>
      </c>
      <c r="M144" s="47">
        <v>7.4</v>
      </c>
      <c r="N144" s="46">
        <v>8761.43</v>
      </c>
      <c r="O144" s="46">
        <v>9589.5400000000009</v>
      </c>
      <c r="P144" s="45">
        <v>828.1</v>
      </c>
      <c r="Q144" s="47">
        <v>9.5</v>
      </c>
    </row>
    <row r="145" spans="1:17" ht="27" x14ac:dyDescent="0.3">
      <c r="A145" s="11" t="s">
        <v>283</v>
      </c>
      <c r="B145" s="11" t="s">
        <v>360</v>
      </c>
      <c r="C145" s="45">
        <v>0</v>
      </c>
      <c r="D145" s="45">
        <v>4</v>
      </c>
      <c r="E145" s="45">
        <v>84</v>
      </c>
      <c r="F145" s="45">
        <v>88</v>
      </c>
      <c r="G145" s="11" t="s">
        <v>274</v>
      </c>
      <c r="H145" s="46">
        <v>10482.9</v>
      </c>
      <c r="I145" s="46">
        <v>6719.3</v>
      </c>
      <c r="J145" s="46">
        <v>9455.27</v>
      </c>
      <c r="K145" s="46">
        <v>6255.84</v>
      </c>
      <c r="L145" s="47">
        <v>10.9</v>
      </c>
      <c r="M145" s="47">
        <v>7.4</v>
      </c>
      <c r="N145" s="46">
        <v>15711.11</v>
      </c>
      <c r="O145" s="46">
        <v>17202.240000000002</v>
      </c>
      <c r="P145" s="45">
        <v>1491.13</v>
      </c>
      <c r="Q145" s="47">
        <v>9.5</v>
      </c>
    </row>
    <row r="146" spans="1:17" x14ac:dyDescent="0.3">
      <c r="A146" s="30" t="s">
        <v>284</v>
      </c>
      <c r="B146" s="30"/>
      <c r="C146" s="30"/>
      <c r="D146" s="30"/>
      <c r="E146" s="30"/>
      <c r="F146" s="48">
        <v>419</v>
      </c>
      <c r="G146" s="30"/>
      <c r="H146" s="49">
        <v>49962.5</v>
      </c>
      <c r="I146" s="49">
        <v>30543.5</v>
      </c>
      <c r="J146" s="49">
        <v>45421.43</v>
      </c>
      <c r="K146" s="49">
        <v>28833.93</v>
      </c>
      <c r="L146" s="50">
        <v>10</v>
      </c>
      <c r="M146" s="50">
        <v>5.9</v>
      </c>
      <c r="N146" s="49">
        <v>74255.360000000001</v>
      </c>
      <c r="O146" s="49">
        <v>80506.009999999995</v>
      </c>
      <c r="P146" s="48">
        <v>6250.65</v>
      </c>
      <c r="Q146" s="50">
        <v>8.4</v>
      </c>
    </row>
    <row r="147" spans="1:17" x14ac:dyDescent="0.3">
      <c r="A147" s="51" t="s">
        <v>285</v>
      </c>
      <c r="H147" s="52">
        <f>ROUND(H146/2.376,0)</f>
        <v>21028</v>
      </c>
      <c r="I147" s="52">
        <f>ROUND(I146/2.376,0)</f>
        <v>12855</v>
      </c>
    </row>
    <row r="150" spans="1:17" x14ac:dyDescent="0.3">
      <c r="A150" s="3" t="s">
        <v>362</v>
      </c>
    </row>
    <row r="151" spans="1:17" x14ac:dyDescent="0.3">
      <c r="A151" s="2" t="s">
        <v>287</v>
      </c>
    </row>
    <row r="152" spans="1:17" ht="30" customHeight="1" x14ac:dyDescent="0.3">
      <c r="A152" s="9" t="s">
        <v>255</v>
      </c>
      <c r="B152" s="9" t="s">
        <v>256</v>
      </c>
      <c r="C152" s="9" t="s">
        <v>257</v>
      </c>
      <c r="D152" s="9" t="s">
        <v>258</v>
      </c>
      <c r="E152" s="9" t="s">
        <v>259</v>
      </c>
      <c r="F152" s="9" t="s">
        <v>260</v>
      </c>
      <c r="G152" s="9" t="s">
        <v>261</v>
      </c>
      <c r="H152" s="9" t="s">
        <v>288</v>
      </c>
      <c r="I152" s="9" t="s">
        <v>289</v>
      </c>
      <c r="J152" s="9" t="s">
        <v>290</v>
      </c>
      <c r="K152" s="9" t="s">
        <v>291</v>
      </c>
      <c r="L152" s="9" t="s">
        <v>292</v>
      </c>
      <c r="M152" s="9" t="s">
        <v>293</v>
      </c>
      <c r="N152" s="9" t="s">
        <v>268</v>
      </c>
      <c r="O152" s="9" t="s">
        <v>269</v>
      </c>
      <c r="P152" s="9" t="s">
        <v>270</v>
      </c>
      <c r="Q152" s="9" t="s">
        <v>271</v>
      </c>
    </row>
    <row r="153" spans="1:17" ht="27" x14ac:dyDescent="0.3">
      <c r="A153" s="11" t="s">
        <v>294</v>
      </c>
      <c r="B153" s="11" t="s">
        <v>363</v>
      </c>
      <c r="C153" s="45">
        <v>2</v>
      </c>
      <c r="D153" s="45">
        <v>1</v>
      </c>
      <c r="E153" s="45">
        <v>38</v>
      </c>
      <c r="F153" s="45">
        <v>41</v>
      </c>
      <c r="G153" s="11" t="s">
        <v>364</v>
      </c>
      <c r="H153" s="46">
        <v>6822.4</v>
      </c>
      <c r="I153" s="46">
        <v>2878.2</v>
      </c>
      <c r="J153" s="46">
        <v>5900.75</v>
      </c>
      <c r="K153" s="46">
        <v>2743.51</v>
      </c>
      <c r="L153" s="47">
        <v>15.6</v>
      </c>
      <c r="M153" s="47">
        <v>4.9000000000000004</v>
      </c>
      <c r="N153" s="46">
        <v>8644.27</v>
      </c>
      <c r="O153" s="46">
        <v>9700.6</v>
      </c>
      <c r="P153" s="45">
        <v>1056.33</v>
      </c>
      <c r="Q153" s="47">
        <v>12.2</v>
      </c>
    </row>
    <row r="154" spans="1:17" ht="27" x14ac:dyDescent="0.3">
      <c r="A154" s="11" t="s">
        <v>294</v>
      </c>
      <c r="B154" s="11" t="s">
        <v>365</v>
      </c>
      <c r="C154" s="45">
        <v>2</v>
      </c>
      <c r="D154" s="45">
        <v>1</v>
      </c>
      <c r="E154" s="45">
        <v>38</v>
      </c>
      <c r="F154" s="45">
        <v>41</v>
      </c>
      <c r="G154" s="11" t="s">
        <v>364</v>
      </c>
      <c r="H154" s="46">
        <v>5649.8</v>
      </c>
      <c r="I154" s="46">
        <v>3091.4</v>
      </c>
      <c r="J154" s="46">
        <v>4469.3</v>
      </c>
      <c r="K154" s="46">
        <v>2888.98</v>
      </c>
      <c r="L154" s="47">
        <v>26.4</v>
      </c>
      <c r="M154" s="47">
        <v>7</v>
      </c>
      <c r="N154" s="46">
        <v>7358.28</v>
      </c>
      <c r="O154" s="46">
        <v>8741.2000000000007</v>
      </c>
      <c r="P154" s="45">
        <v>1382.92</v>
      </c>
      <c r="Q154" s="47">
        <v>18.8</v>
      </c>
    </row>
    <row r="155" spans="1:17" x14ac:dyDescent="0.3">
      <c r="A155" s="30" t="s">
        <v>284</v>
      </c>
      <c r="B155" s="30"/>
      <c r="C155" s="30"/>
      <c r="D155" s="30"/>
      <c r="E155" s="30"/>
      <c r="F155" s="48">
        <v>82</v>
      </c>
      <c r="G155" s="30"/>
      <c r="H155" s="49">
        <v>12472.2</v>
      </c>
      <c r="I155" s="49">
        <v>5969.6</v>
      </c>
      <c r="J155" s="49">
        <v>10370.049999999999</v>
      </c>
      <c r="K155" s="49">
        <v>5632.5</v>
      </c>
      <c r="L155" s="50">
        <v>20.3</v>
      </c>
      <c r="M155" s="50">
        <v>6</v>
      </c>
      <c r="N155" s="49">
        <v>16002.55</v>
      </c>
      <c r="O155" s="49">
        <v>18441.8</v>
      </c>
      <c r="P155" s="48">
        <v>2439.25</v>
      </c>
      <c r="Q155" s="50">
        <v>15.2</v>
      </c>
    </row>
    <row r="156" spans="1:17" x14ac:dyDescent="0.3">
      <c r="A156" s="51" t="s">
        <v>285</v>
      </c>
      <c r="H156" s="52">
        <f>ROUND(H155/2.6,0)</f>
        <v>4797</v>
      </c>
      <c r="I156" s="52">
        <f>ROUND(I155/2.6,0)</f>
        <v>2296</v>
      </c>
    </row>
  </sheetData>
  <phoneticPr fontId="13" type="noConversion"/>
  <printOptions horizontalCentered="1"/>
  <pageMargins left="0.4" right="0.4" top="1" bottom="1" header="0.5" footer="0.5"/>
  <pageSetup paperSize="8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1</vt:i4>
      </vt:variant>
    </vt:vector>
  </HeadingPairs>
  <TitlesOfParts>
    <vt:vector size="10" baseType="lpstr">
      <vt:lpstr>00_개요</vt:lpstr>
      <vt:lpstr>01_현장조건</vt:lpstr>
      <vt:lpstr>02_산출입력</vt:lpstr>
      <vt:lpstr>03_현장별비교</vt:lpstr>
      <vt:lpstr>04_종합요약</vt:lpstr>
      <vt:lpstr>04-1_지표요약(참고)</vt:lpstr>
      <vt:lpstr>05_차이원인</vt:lpstr>
      <vt:lpstr>06_검증조건</vt:lpstr>
      <vt:lpstr>07_플랫폼원자료</vt:lpstr>
      <vt:lpstr>'04_종합요약'!Print_Area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김진욱1 대리</cp:lastModifiedBy>
  <dcterms:created xsi:type="dcterms:W3CDTF">2026-09-30T00:50:53Z</dcterms:created>
  <dcterms:modified xsi:type="dcterms:W3CDTF">2026-09-30T06:35:00Z</dcterms:modified>
</cp:coreProperties>
</file>