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worksheets/sheet32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29" name="표지" state="visible" r:id="rId4"/>
    <sheet sheetId="32" name="자재청구서" state="visible" r:id="rId5"/>
    <sheet sheetId="26" name="발주수량 검토" state="visible" r:id="rId6"/>
  </sheets>
  <definedNames>
    <definedName name="_xlnm.Print_Area" localSheetId="2">'발주수량 검토'!$A1:$Q25</definedName>
  </definedNames>
  <calcPr calcId="171027"/>
</workbook>
</file>

<file path=xl/sharedStrings.xml><?xml version="1.0" encoding="utf-8"?>
<sst xmlns="http://schemas.openxmlformats.org/spreadsheetml/2006/main" count="105" uniqueCount="68">
  <si>
    <t>[부산장안] 단열재 자재 청구서</t>
  </si>
  <si>
    <t>결   재</t>
  </si>
  <si>
    <t>작  성</t>
  </si>
  <si>
    <t>검    토</t>
  </si>
  <si>
    <t>승  인</t>
  </si>
  <si>
    <t>접  수</t>
  </si>
  <si>
    <t>검  토</t>
  </si>
  <si>
    <t>2026년   03월      일</t>
  </si>
  <si>
    <t>발   송    일   자</t>
  </si>
  <si>
    <t xml:space="preserve"> 2026년  03월     일</t>
  </si>
  <si>
    <t>계   약    기   한</t>
  </si>
  <si>
    <t>공사투입예정일</t>
  </si>
  <si>
    <t>부산장안</t>
  </si>
  <si>
    <t>청구번호</t>
  </si>
  <si>
    <t xml:space="preserve">  결   재</t>
  </si>
  <si>
    <t>담당</t>
  </si>
  <si>
    <t xml:space="preserve"> 검     토</t>
  </si>
  <si>
    <t>승인</t>
  </si>
  <si>
    <t xml:space="preserve"> 결  재</t>
  </si>
  <si>
    <t>작성</t>
  </si>
  <si>
    <t>검토</t>
  </si>
  <si>
    <t>공종코드</t>
  </si>
  <si>
    <t xml:space="preserve"> 품     명</t>
  </si>
  <si>
    <t>규    격</t>
  </si>
  <si>
    <t>단위</t>
  </si>
  <si>
    <t>실    행    예    산</t>
  </si>
  <si>
    <t>청    구    량</t>
  </si>
  <si>
    <t>차  감</t>
  </si>
  <si>
    <t>납기일</t>
  </si>
  <si>
    <t>용    도</t>
  </si>
  <si>
    <t>수  량</t>
  </si>
  <si>
    <t>단   가</t>
  </si>
  <si>
    <t>금   액</t>
  </si>
  <si>
    <t>기청구량</t>
  </si>
  <si>
    <t>금 회</t>
  </si>
  <si>
    <t>누    계</t>
  </si>
  <si>
    <t>번호</t>
  </si>
  <si>
    <t>WF-0603-1C-1/2</t>
  </si>
  <si>
    <t xml:space="preserve">        A4(297×210)</t>
  </si>
  <si>
    <t>발주수량 검토</t>
  </si>
  <si>
    <t>[부산장안]</t>
  </si>
  <si>
    <t>품 명</t>
  </si>
  <si>
    <t>규 격</t>
  </si>
  <si>
    <t>단 위</t>
  </si>
  <si>
    <t xml:space="preserve">가실행 수량
(건축예산팀)</t>
  </si>
  <si>
    <t>발주수량</t>
  </si>
  <si>
    <t>증감</t>
  </si>
  <si>
    <t>사유</t>
  </si>
  <si>
    <t>기본</t>
  </si>
  <si>
    <t>확장</t>
  </si>
  <si>
    <t>합계</t>
  </si>
  <si>
    <t>수량</t>
  </si>
  <si>
    <t>비율</t>
  </si>
  <si>
    <t>T55 비드법보온판 2종2호</t>
  </si>
  <si>
    <t>겹침이음 시공 규격 세분화</t>
  </si>
  <si>
    <t>102, 103동 공용부</t>
  </si>
  <si>
    <t>단열재</t>
  </si>
  <si>
    <t>T95 비드법보온판 2종2호</t>
  </si>
  <si>
    <t>M2</t>
  </si>
  <si>
    <t>T55 압출법 1호</t>
  </si>
  <si>
    <t>관리사무소, 작은도서관, 주민카페</t>
  </si>
  <si>
    <t>주민공동시설, 관리사무소, 경로당, 어린이집, 작은도서관, 주민카페, 용역원 휴게실, 근린생활시설</t>
  </si>
  <si>
    <t>T95 압출법 1호</t>
  </si>
  <si>
    <t>세대</t>
  </si>
  <si>
    <t>부속동(경로당, 어린이집, 용역원휴게실, 근린생활시설)</t>
  </si>
  <si>
    <t>부속동(경로당, 어린이집, 용역원휴게실)</t>
  </si>
  <si>
    <t>T:55 비드법보온판 2종2호</t>
  </si>
  <si>
    <t>T:95 비드법보온판 2종2호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</si>
</sst>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yyyy&quot;년&quot;  mm&quot;월&quot;  dd&quot;일&quot;"/>
    <numFmt numFmtId="165" formatCode="_(* #,##0_);_(* (#,##0);_(* &quot;-&quot;_);_(@_)"/>
    <numFmt numFmtId="166" formatCode="_-* #,##0.0_-;-* #,##0.0_-;_-* &quot;-&quot;_-;_-@_-"/>
    <numFmt numFmtId="167" formatCode="mm&quot;월&quot; dd&quot;일&quot;"/>
    <numFmt numFmtId="168" formatCode="_-* #,##0_-;-* #,##0_-;_-* &quot;-&quot;_-;_-@_-"/>
    <numFmt numFmtId="169" formatCode="_-* #,##0.000_-;-* #,##0.000_-;_-* &quot;-&quot;_-;_-@_-"/>
  </numFmts>
  <fonts count="19" x14ac:knownFonts="1">
    <font>
      <color theme="1"/>
      <family val="2"/>
      <scheme val="minor"/>
      <sz val="11"/>
      <name val="Calibri"/>
    </font>
    <font>
      <b/>
      <charset val="129"/>
      <family val="3"/>
      <sz val="32"/>
      <name val="굴림"/>
    </font>
    <font>
      <charset val="129"/>
      <family val="3"/>
      <sz val="11"/>
      <name val="돋움"/>
    </font>
    <font>
      <charset val="129"/>
      <family val="3"/>
      <sz val="10"/>
      <name val="굴림"/>
    </font>
    <font>
      <charset val="129"/>
      <family val="3"/>
      <sz val="11"/>
      <name val="굴림"/>
    </font>
    <font>
      <charset val="129"/>
      <family val="3"/>
      <sz val="16"/>
      <name val="굴림"/>
    </font>
    <font>
      <charset val="129"/>
      <family val="3"/>
      <sz val="12"/>
      <name val="굴림"/>
    </font>
    <font>
      <b/>
      <charset val="129"/>
      <family val="3"/>
      <sz val="11"/>
      <name val="돋움"/>
    </font>
    <font>
      <b/>
      <charset val="129"/>
      <family val="3"/>
      <sz val="24"/>
      <name val="굴림"/>
    </font>
    <font>
      <b/>
      <charset val="129"/>
      <family val="3"/>
      <sz val="22"/>
      <name val="굴림"/>
    </font>
    <font>
      <charset val="129"/>
      <color rgb="FF0000FF"/>
      <family val="3"/>
      <sz val="10"/>
      <name val="굴림"/>
    </font>
    <font>
      <charset val="129"/>
      <family val="3"/>
      <sz val="9"/>
      <name val="굴림"/>
    </font>
    <font>
      <charset val="129"/>
      <color rgb="FF0000FF"/>
      <family val="3"/>
      <sz val="9"/>
      <name val="굴림"/>
    </font>
    <font>
      <charset val="129"/>
      <color theme="1"/>
      <family val="2"/>
      <scheme val="minor"/>
      <sz val="11"/>
      <name val="맑은 고딕"/>
    </font>
    <font>
      <b/>
      <charset val="129"/>
      <color theme="1"/>
      <family val="3"/>
      <sz val="26"/>
      <name val="굴림"/>
    </font>
    <font>
      <charset val="129"/>
      <color theme="1"/>
      <family val="3"/>
      <sz val="10"/>
      <name val="굴림체"/>
    </font>
    <font>
      <b/>
      <charset val="129"/>
      <family val="3"/>
      <sz val="10"/>
      <name val="굴림체"/>
    </font>
    <font>
      <b/>
      <charset val="129"/>
      <family val="3"/>
      <sz val="9"/>
      <name val="굴림체"/>
    </font>
    <font>
      <charset val="129"/>
      <family val="3"/>
      <scheme val="major"/>
      <sz val="1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99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/>
      <right style="hair"/>
      <top style="thin"/>
      <bottom style="hair"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/>
      <right style="thin"/>
      <top style="thin"/>
      <bottom style="hair"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/>
      <right style="hair"/>
      <top style="hair"/>
      <bottom style="hair"/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/>
      <right style="thin"/>
      <top style="hair"/>
      <bottom style="hair"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/>
      <right style="hair"/>
      <top/>
      <bottom style="thin"/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hair"/>
      <top style="hair"/>
      <bottom style="thin">
        <color indexed="64"/>
      </bottom>
      <diagonal/>
    </border>
    <border>
      <left style="hair"/>
      <right style="hair"/>
      <top style="hair"/>
      <bottom style="thin">
        <color indexed="64"/>
      </bottom>
      <diagonal/>
    </border>
    <border>
      <left style="hair"/>
      <right style="thin">
        <color indexed="64"/>
      </right>
      <top style="hair"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medium"/>
      <top style="thin"/>
      <bottom style="thin"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/>
      <right/>
      <top style="thin"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rgb="FFFF0000"/>
      </right>
      <top/>
      <bottom style="double">
        <color indexed="64"/>
      </bottom>
      <diagonal/>
    </border>
    <border>
      <left style="medium">
        <color rgb="FFFF0000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theme="1"/>
      </left>
      <right style="thin">
        <color indexed="64"/>
      </right>
      <top/>
      <bottom style="double">
        <color indexed="64"/>
      </bottom>
      <diagonal/>
    </border>
    <border>
      <left style="medium">
        <color rgb="FFFF0000"/>
      </left>
      <right style="thin"/>
      <top/>
      <bottom style="thin"/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/>
      <top style="thin"/>
      <bottom style="thin"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/>
      <top style="thin"/>
      <bottom style="medium">
        <color rgb="FFFF0000"/>
      </bottom>
      <diagonal/>
    </border>
    <border>
      <left style="thin"/>
      <right style="thin"/>
      <top style="thin"/>
      <bottom style="medium">
        <color rgb="FFFF0000"/>
      </bottom>
      <diagonal/>
    </border>
    <border>
      <left style="thin"/>
      <right style="medium">
        <color rgb="FFFF0000"/>
      </right>
      <top style="thin"/>
      <bottom style="medium">
        <color rgb="FFFF0000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textRotation="255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textRotation="255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0" xfId="0" applyFont="1" applyAlignment="1">
      <alignment vertical="center" textRotation="255"/>
    </xf>
    <xf numFmtId="0" fontId="3" fillId="0" borderId="0" xfId="0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65" fontId="4" fillId="0" borderId="0" xfId="0" applyNumberFormat="1" applyFont="1"/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top" textRotation="255"/>
    </xf>
    <xf numFmtId="9" fontId="4" fillId="0" borderId="21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top" textRotation="255"/>
    </xf>
    <xf numFmtId="0" fontId="4" fillId="0" borderId="32" xfId="0" applyFont="1" applyBorder="1" applyAlignment="1">
      <alignment horizontal="center"/>
    </xf>
    <xf numFmtId="0" fontId="4" fillId="0" borderId="27" xfId="0" applyFont="1" applyBorder="1" applyAlignment="1">
      <alignment horizontal="center" vertical="top" textRotation="255"/>
    </xf>
    <xf numFmtId="0" fontId="4" fillId="0" borderId="33" xfId="0" applyFont="1" applyBorder="1" applyAlignment="1">
      <alignment horizontal="center"/>
    </xf>
    <xf numFmtId="0" fontId="4" fillId="0" borderId="33" xfId="0" applyFont="1" applyBorder="1"/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 vertical="top" textRotation="255"/>
    </xf>
    <xf numFmtId="0" fontId="4" fillId="0" borderId="36" xfId="0" applyFont="1" applyBorder="1" applyAlignment="1">
      <alignment horizontal="center"/>
    </xf>
    <xf numFmtId="0" fontId="4" fillId="0" borderId="36" xfId="0" applyFont="1" applyBorder="1"/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top" textRotation="255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165" fontId="4" fillId="0" borderId="46" xfId="0" applyNumberFormat="1" applyFont="1" applyBorder="1" applyAlignment="1">
      <alignment horizontal="center" vertical="center"/>
    </xf>
    <xf numFmtId="165" fontId="4" fillId="0" borderId="47" xfId="0" applyNumberFormat="1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textRotation="255"/>
    </xf>
    <xf numFmtId="0" fontId="3" fillId="0" borderId="28" xfId="0" applyFont="1" applyBorder="1" applyAlignment="1">
      <alignment horizontal="center" vertical="center" textRotation="255"/>
    </xf>
    <xf numFmtId="165" fontId="3" fillId="2" borderId="28" xfId="0" applyNumberFormat="1" applyFont="1" applyFill="1" applyBorder="1" applyAlignment="1">
      <alignment horizontal="center" vertical="center" wrapText="1"/>
    </xf>
    <xf numFmtId="165" fontId="3" fillId="2" borderId="28" xfId="0" applyNumberFormat="1" applyFont="1" applyFill="1" applyBorder="1" applyAlignment="1">
      <alignment horizontal="center" vertical="center"/>
    </xf>
    <xf numFmtId="165" fontId="3" fillId="0" borderId="46" xfId="0" applyNumberFormat="1" applyFont="1" applyBorder="1" applyAlignment="1">
      <alignment horizontal="center" vertical="center" wrapText="1"/>
    </xf>
    <xf numFmtId="165" fontId="3" fillId="0" borderId="48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166" fontId="3" fillId="0" borderId="28" xfId="0" applyNumberFormat="1" applyFont="1" applyBorder="1" applyAlignment="1">
      <alignment horizontal="center" vertical="center"/>
    </xf>
    <xf numFmtId="165" fontId="10" fillId="0" borderId="45" xfId="0" applyNumberFormat="1" applyFont="1" applyBorder="1" applyAlignment="1">
      <alignment horizontal="center" vertical="center"/>
    </xf>
    <xf numFmtId="166" fontId="3" fillId="0" borderId="46" xfId="0" applyNumberFormat="1" applyFont="1" applyBorder="1" applyAlignment="1">
      <alignment horizontal="center" vertical="center"/>
    </xf>
    <xf numFmtId="166" fontId="3" fillId="0" borderId="50" xfId="0" applyNumberFormat="1" applyFont="1" applyBorder="1" applyAlignment="1">
      <alignment horizontal="center" vertical="center"/>
    </xf>
    <xf numFmtId="166" fontId="3" fillId="0" borderId="51" xfId="0" applyNumberFormat="1" applyFont="1" applyBorder="1" applyAlignment="1">
      <alignment horizontal="center" vertical="center"/>
    </xf>
    <xf numFmtId="166" fontId="3" fillId="0" borderId="48" xfId="0" applyNumberFormat="1" applyFont="1" applyBorder="1" applyAlignment="1">
      <alignment horizontal="center" vertical="center"/>
    </xf>
    <xf numFmtId="165" fontId="3" fillId="0" borderId="46" xfId="0" applyNumberFormat="1" applyFont="1" applyBorder="1" applyAlignment="1">
      <alignment horizontal="center" vertical="center"/>
    </xf>
    <xf numFmtId="9" fontId="3" fillId="0" borderId="48" xfId="0" applyNumberFormat="1" applyFont="1" applyBorder="1" applyAlignment="1">
      <alignment horizontal="center" vertical="center"/>
    </xf>
    <xf numFmtId="167" fontId="3" fillId="0" borderId="46" xfId="0" applyNumberFormat="1" applyFont="1" applyBorder="1" applyAlignment="1">
      <alignment horizontal="center" vertical="center"/>
    </xf>
    <xf numFmtId="167" fontId="3" fillId="0" borderId="48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 shrinkToFit="1"/>
    </xf>
    <xf numFmtId="0" fontId="3" fillId="0" borderId="28" xfId="0" applyFont="1" applyBorder="1" applyAlignment="1">
      <alignment horizontal="center" vertical="center" shrinkToFit="1"/>
    </xf>
    <xf numFmtId="0" fontId="3" fillId="0" borderId="32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165" fontId="11" fillId="0" borderId="46" xfId="0" applyNumberFormat="1" applyFont="1" applyBorder="1" applyAlignment="1">
      <alignment horizontal="center" vertical="center" wrapText="1"/>
    </xf>
    <xf numFmtId="165" fontId="11" fillId="0" borderId="51" xfId="0" applyNumberFormat="1" applyFont="1" applyBorder="1" applyAlignment="1">
      <alignment horizontal="center" vertical="center" wrapText="1"/>
    </xf>
    <xf numFmtId="165" fontId="11" fillId="0" borderId="48" xfId="0" applyNumberFormat="1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shrinkToFit="1"/>
    </xf>
    <xf numFmtId="0" fontId="11" fillId="0" borderId="48" xfId="0" applyFont="1" applyBorder="1" applyAlignment="1">
      <alignment horizontal="center" vertical="center" shrinkToFit="1"/>
    </xf>
    <xf numFmtId="168" fontId="11" fillId="0" borderId="28" xfId="0" applyNumberFormat="1" applyFont="1" applyBorder="1" applyAlignment="1">
      <alignment horizontal="center" vertical="center"/>
    </xf>
    <xf numFmtId="165" fontId="11" fillId="0" borderId="45" xfId="0" applyNumberFormat="1" applyFont="1" applyBorder="1" applyAlignment="1">
      <alignment horizontal="center" vertical="center"/>
    </xf>
    <xf numFmtId="165" fontId="12" fillId="0" borderId="45" xfId="0" applyNumberFormat="1" applyFont="1" applyBorder="1" applyAlignment="1">
      <alignment horizontal="center" vertical="center"/>
    </xf>
    <xf numFmtId="168" fontId="11" fillId="0" borderId="46" xfId="0" applyNumberFormat="1" applyFont="1" applyBorder="1" applyAlignment="1">
      <alignment horizontal="center" vertical="center"/>
    </xf>
    <xf numFmtId="168" fontId="11" fillId="0" borderId="50" xfId="0" applyNumberFormat="1" applyFont="1" applyBorder="1" applyAlignment="1">
      <alignment horizontal="center" vertical="center"/>
    </xf>
    <xf numFmtId="168" fontId="11" fillId="0" borderId="51" xfId="0" applyNumberFormat="1" applyFont="1" applyBorder="1" applyAlignment="1">
      <alignment horizontal="center" vertical="center"/>
    </xf>
    <xf numFmtId="168" fontId="11" fillId="0" borderId="48" xfId="0" applyNumberFormat="1" applyFont="1" applyBorder="1" applyAlignment="1">
      <alignment horizontal="center" vertical="center"/>
    </xf>
    <xf numFmtId="167" fontId="11" fillId="0" borderId="46" xfId="0" applyNumberFormat="1" applyFont="1" applyBorder="1" applyAlignment="1">
      <alignment horizontal="center" vertical="center"/>
    </xf>
    <xf numFmtId="167" fontId="11" fillId="0" borderId="48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 shrinkToFit="1"/>
    </xf>
    <xf numFmtId="0" fontId="11" fillId="0" borderId="28" xfId="0" applyFont="1" applyBorder="1" applyAlignment="1">
      <alignment horizontal="center" vertical="center" shrinkToFit="1"/>
    </xf>
    <xf numFmtId="0" fontId="11" fillId="0" borderId="5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 shrinkToFit="1"/>
    </xf>
    <xf numFmtId="0" fontId="11" fillId="0" borderId="55" xfId="0" applyFont="1" applyBorder="1" applyAlignment="1">
      <alignment horizontal="center" vertical="center" shrinkToFit="1"/>
    </xf>
    <xf numFmtId="0" fontId="11" fillId="3" borderId="27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165" fontId="12" fillId="3" borderId="45" xfId="0" applyNumberFormat="1" applyFont="1" applyFill="1" applyBorder="1" applyAlignment="1">
      <alignment horizontal="center" vertical="center"/>
    </xf>
    <xf numFmtId="167" fontId="11" fillId="3" borderId="46" xfId="0" applyNumberFormat="1" applyFont="1" applyFill="1" applyBorder="1" applyAlignment="1">
      <alignment horizontal="center" vertical="center"/>
    </xf>
    <xf numFmtId="167" fontId="11" fillId="3" borderId="48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 wrapText="1" shrinkToFit="1"/>
    </xf>
    <xf numFmtId="0" fontId="11" fillId="3" borderId="28" xfId="0" applyFont="1" applyFill="1" applyBorder="1" applyAlignment="1">
      <alignment horizontal="center" vertical="center" shrinkToFit="1"/>
    </xf>
    <xf numFmtId="0" fontId="11" fillId="3" borderId="53" xfId="0" applyFont="1" applyFill="1" applyBorder="1" applyAlignment="1">
      <alignment horizontal="center" vertical="center"/>
    </xf>
    <xf numFmtId="0" fontId="11" fillId="3" borderId="52" xfId="0" applyFont="1" applyFill="1" applyBorder="1" applyAlignment="1">
      <alignment horizontal="center" vertical="center"/>
    </xf>
    <xf numFmtId="0" fontId="11" fillId="3" borderId="48" xfId="0" applyFont="1" applyFill="1" applyBorder="1" applyAlignment="1">
      <alignment horizontal="center" vertical="center"/>
    </xf>
    <xf numFmtId="165" fontId="11" fillId="2" borderId="28" xfId="0" applyNumberFormat="1" applyFont="1" applyFill="1" applyBorder="1" applyAlignment="1">
      <alignment horizontal="center" vertical="center" wrapText="1"/>
    </xf>
    <xf numFmtId="165" fontId="11" fillId="2" borderId="28" xfId="0" applyNumberFormat="1" applyFont="1" applyFill="1" applyBorder="1" applyAlignment="1">
      <alignment horizontal="center" vertical="center"/>
    </xf>
    <xf numFmtId="0" fontId="11" fillId="0" borderId="46" xfId="0" applyFont="1" applyBorder="1" applyAlignment="1">
      <alignment horizontal="center" vertical="center" wrapText="1" shrinkToFit="1"/>
    </xf>
    <xf numFmtId="0" fontId="11" fillId="0" borderId="51" xfId="0" applyFont="1" applyBorder="1" applyAlignment="1">
      <alignment horizontal="center" vertical="center" wrapText="1" shrinkToFit="1"/>
    </xf>
    <xf numFmtId="0" fontId="11" fillId="0" borderId="48" xfId="0" applyFont="1" applyBorder="1" applyAlignment="1">
      <alignment horizontal="center" vertical="center" wrapText="1" shrinkToFit="1"/>
    </xf>
    <xf numFmtId="165" fontId="11" fillId="0" borderId="28" xfId="0" applyNumberFormat="1" applyFont="1" applyBorder="1" applyAlignment="1">
      <alignment horizontal="center" vertical="center" wrapText="1"/>
    </xf>
    <xf numFmtId="165" fontId="11" fillId="0" borderId="28" xfId="0" applyNumberFormat="1" applyFont="1" applyBorder="1" applyAlignment="1">
      <alignment horizontal="center" vertical="center"/>
    </xf>
    <xf numFmtId="168" fontId="11" fillId="0" borderId="56" xfId="0" applyNumberFormat="1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165" fontId="11" fillId="0" borderId="59" xfId="0" applyNumberFormat="1" applyFont="1" applyBorder="1" applyAlignment="1">
      <alignment horizontal="center" vertical="center" wrapText="1"/>
    </xf>
    <xf numFmtId="165" fontId="11" fillId="0" borderId="59" xfId="0" applyNumberFormat="1" applyFont="1" applyBorder="1" applyAlignment="1">
      <alignment horizontal="center" vertical="center"/>
    </xf>
    <xf numFmtId="168" fontId="11" fillId="0" borderId="60" xfId="0" applyNumberFormat="1" applyFont="1" applyBorder="1" applyAlignment="1">
      <alignment horizontal="center" vertical="center" shrinkToFit="1"/>
    </xf>
    <xf numFmtId="168" fontId="11" fillId="0" borderId="58" xfId="0" applyNumberFormat="1" applyFont="1" applyBorder="1" applyAlignment="1">
      <alignment horizontal="center" vertical="center" shrinkToFit="1"/>
    </xf>
    <xf numFmtId="168" fontId="11" fillId="0" borderId="59" xfId="0" applyNumberFormat="1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169" fontId="11" fillId="0" borderId="60" xfId="0" applyNumberFormat="1" applyFont="1" applyBorder="1" applyAlignment="1">
      <alignment horizontal="center" vertical="center"/>
    </xf>
    <xf numFmtId="168" fontId="11" fillId="0" borderId="61" xfId="0" applyNumberFormat="1" applyFont="1" applyBorder="1" applyAlignment="1">
      <alignment horizontal="center" vertical="center"/>
    </xf>
    <xf numFmtId="168" fontId="11" fillId="0" borderId="62" xfId="0" applyNumberFormat="1" applyFont="1" applyBorder="1" applyAlignment="1">
      <alignment horizontal="center" vertical="center"/>
    </xf>
    <xf numFmtId="168" fontId="11" fillId="0" borderId="58" xfId="0" applyNumberFormat="1" applyFont="1" applyBorder="1" applyAlignment="1">
      <alignment horizontal="center" vertical="center"/>
    </xf>
    <xf numFmtId="168" fontId="11" fillId="0" borderId="60" xfId="0" applyNumberFormat="1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4" borderId="45" xfId="0" applyFont="1" applyFill="1" applyBorder="1" applyAlignment="1">
      <alignment horizontal="center" vertical="center"/>
    </xf>
    <xf numFmtId="0" fontId="17" fillId="4" borderId="54" xfId="0" applyFont="1" applyFill="1" applyBorder="1" applyAlignment="1">
      <alignment horizontal="center" vertical="center" wrapText="1"/>
    </xf>
    <xf numFmtId="0" fontId="17" fillId="4" borderId="64" xfId="0" applyFont="1" applyFill="1" applyBorder="1" applyAlignment="1">
      <alignment horizontal="center" vertical="center" wrapText="1"/>
    </xf>
    <xf numFmtId="0" fontId="17" fillId="4" borderId="55" xfId="0" applyFont="1" applyFill="1" applyBorder="1" applyAlignment="1">
      <alignment horizontal="center" vertical="center" wrapText="1"/>
    </xf>
    <xf numFmtId="0" fontId="16" fillId="4" borderId="65" xfId="0" applyFont="1" applyFill="1" applyBorder="1" applyAlignment="1">
      <alignment horizontal="center" vertical="center"/>
    </xf>
    <xf numFmtId="0" fontId="17" fillId="4" borderId="66" xfId="0" applyFont="1" applyFill="1" applyBorder="1" applyAlignment="1">
      <alignment horizontal="center" vertical="center" wrapText="1"/>
    </xf>
    <xf numFmtId="0" fontId="17" fillId="4" borderId="67" xfId="0" applyFont="1" applyFill="1" applyBorder="1" applyAlignment="1">
      <alignment horizontal="center" vertical="center" wrapText="1"/>
    </xf>
    <xf numFmtId="0" fontId="17" fillId="4" borderId="68" xfId="0" applyFont="1" applyFill="1" applyBorder="1" applyAlignment="1">
      <alignment horizontal="center" vertical="center" wrapText="1"/>
    </xf>
    <xf numFmtId="0" fontId="16" fillId="4" borderId="69" xfId="0" applyFont="1" applyFill="1" applyBorder="1" applyAlignment="1">
      <alignment horizontal="center" vertical="center" wrapText="1"/>
    </xf>
    <xf numFmtId="0" fontId="16" fillId="4" borderId="70" xfId="0" applyFont="1" applyFill="1" applyBorder="1" applyAlignment="1">
      <alignment horizontal="center" vertical="center" wrapText="1"/>
    </xf>
    <xf numFmtId="0" fontId="16" fillId="4" borderId="71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17" fillId="4" borderId="72" xfId="0" applyFont="1" applyFill="1" applyBorder="1" applyAlignment="1">
      <alignment horizontal="center" vertical="center" wrapText="1"/>
    </xf>
    <xf numFmtId="0" fontId="17" fillId="4" borderId="73" xfId="0" applyFont="1" applyFill="1" applyBorder="1" applyAlignment="1">
      <alignment horizontal="center" vertical="center" wrapText="1"/>
    </xf>
    <xf numFmtId="0" fontId="17" fillId="4" borderId="74" xfId="0" applyFont="1" applyFill="1" applyBorder="1" applyAlignment="1">
      <alignment horizontal="center" vertical="center" wrapText="1"/>
    </xf>
    <xf numFmtId="0" fontId="16" fillId="4" borderId="75" xfId="0" applyFont="1" applyFill="1" applyBorder="1" applyAlignment="1">
      <alignment horizontal="center" vertical="center"/>
    </xf>
    <xf numFmtId="0" fontId="17" fillId="4" borderId="76" xfId="0" applyFont="1" applyFill="1" applyBorder="1" applyAlignment="1">
      <alignment horizontal="center" vertical="center" wrapText="1"/>
    </xf>
    <xf numFmtId="0" fontId="17" fillId="4" borderId="77" xfId="0" applyFont="1" applyFill="1" applyBorder="1" applyAlignment="1">
      <alignment horizontal="center" vertical="center" wrapText="1"/>
    </xf>
    <xf numFmtId="0" fontId="16" fillId="4" borderId="76" xfId="0" applyFont="1" applyFill="1" applyBorder="1" applyAlignment="1">
      <alignment horizontal="center" vertical="center" wrapText="1"/>
    </xf>
    <xf numFmtId="0" fontId="16" fillId="4" borderId="78" xfId="0" applyFont="1" applyFill="1" applyBorder="1" applyAlignment="1">
      <alignment horizontal="center" vertical="center" wrapText="1"/>
    </xf>
    <xf numFmtId="0" fontId="16" fillId="4" borderId="79" xfId="0" applyFont="1" applyFill="1" applyBorder="1" applyAlignment="1">
      <alignment horizontal="center" vertical="center"/>
    </xf>
    <xf numFmtId="0" fontId="16" fillId="4" borderId="80" xfId="0" applyFont="1" applyFill="1" applyBorder="1" applyAlignment="1">
      <alignment horizontal="center" vertical="center"/>
    </xf>
    <xf numFmtId="0" fontId="17" fillId="4" borderId="80" xfId="0" applyFont="1" applyFill="1" applyBorder="1" applyAlignment="1">
      <alignment horizontal="center" vertical="center" wrapText="1"/>
    </xf>
    <xf numFmtId="0" fontId="16" fillId="4" borderId="81" xfId="0" applyFont="1" applyFill="1" applyBorder="1" applyAlignment="1">
      <alignment horizontal="center" vertical="center"/>
    </xf>
    <xf numFmtId="0" fontId="17" fillId="4" borderId="82" xfId="0" applyFont="1" applyFill="1" applyBorder="1" applyAlignment="1">
      <alignment horizontal="center" vertical="center" wrapText="1"/>
    </xf>
    <xf numFmtId="0" fontId="17" fillId="4" borderId="81" xfId="0" applyFont="1" applyFill="1" applyBorder="1" applyAlignment="1">
      <alignment horizontal="center" vertical="center" wrapText="1"/>
    </xf>
    <xf numFmtId="0" fontId="16" fillId="4" borderId="83" xfId="0" applyFont="1" applyFill="1" applyBorder="1" applyAlignment="1">
      <alignment horizontal="center" vertical="center" wrapText="1"/>
    </xf>
    <xf numFmtId="0" fontId="16" fillId="4" borderId="84" xfId="0" applyFont="1" applyFill="1" applyBorder="1" applyAlignment="1">
      <alignment horizontal="center" vertical="center" wrapText="1"/>
    </xf>
    <xf numFmtId="0" fontId="16" fillId="4" borderId="85" xfId="0" applyFont="1" applyFill="1" applyBorder="1" applyAlignment="1">
      <alignment horizontal="center" vertical="center"/>
    </xf>
    <xf numFmtId="168" fontId="15" fillId="2" borderId="43" xfId="0" applyNumberFormat="1" applyFont="1" applyFill="1" applyBorder="1" applyAlignment="1">
      <alignment vertical="center" shrinkToFit="1"/>
    </xf>
    <xf numFmtId="0" fontId="15" fillId="3" borderId="43" xfId="0" applyFont="1" applyFill="1" applyBorder="1" applyAlignment="1">
      <alignment horizontal="center" vertical="center" shrinkToFit="1"/>
    </xf>
    <xf numFmtId="0" fontId="15" fillId="3" borderId="43" xfId="0" applyFont="1" applyFill="1" applyBorder="1" applyAlignment="1">
      <alignment horizontal="center" vertical="center"/>
    </xf>
    <xf numFmtId="168" fontId="15" fillId="3" borderId="43" xfId="0" applyNumberFormat="1" applyFont="1" applyFill="1" applyBorder="1" applyAlignment="1">
      <alignment vertical="center"/>
    </xf>
    <xf numFmtId="0" fontId="15" fillId="2" borderId="43" xfId="0" applyFont="1" applyFill="1" applyBorder="1" applyAlignment="1">
      <alignment vertical="center" shrinkToFit="1"/>
    </xf>
    <xf numFmtId="0" fontId="15" fillId="3" borderId="72" xfId="0" applyFont="1" applyFill="1" applyBorder="1" applyAlignment="1">
      <alignment horizontal="center" vertical="center"/>
    </xf>
    <xf numFmtId="168" fontId="15" fillId="3" borderId="86" xfId="0" applyNumberFormat="1" applyFont="1" applyFill="1" applyBorder="1" applyAlignment="1">
      <alignment vertical="center"/>
    </xf>
    <xf numFmtId="168" fontId="15" fillId="3" borderId="87" xfId="0" applyNumberFormat="1" applyFont="1" applyFill="1" applyBorder="1" applyAlignment="1">
      <alignment vertical="center"/>
    </xf>
    <xf numFmtId="168" fontId="15" fillId="3" borderId="73" xfId="0" applyNumberFormat="1" applyFont="1" applyFill="1" applyBorder="1" applyAlignment="1">
      <alignment vertical="center"/>
    </xf>
    <xf numFmtId="9" fontId="15" fillId="3" borderId="43" xfId="0" applyNumberFormat="1" applyFont="1" applyFill="1" applyBorder="1" applyAlignment="1">
      <alignment vertical="center"/>
    </xf>
    <xf numFmtId="0" fontId="15" fillId="3" borderId="43" xfId="0" applyFont="1" applyFill="1" applyBorder="1" applyAlignment="1">
      <alignment vertical="center" shrinkToFit="1"/>
    </xf>
    <xf numFmtId="168" fontId="15" fillId="5" borderId="43" xfId="0" applyNumberFormat="1" applyFont="1" applyFill="1" applyBorder="1" applyAlignment="1">
      <alignment vertical="center" shrinkToFit="1"/>
    </xf>
    <xf numFmtId="0" fontId="15" fillId="3" borderId="28" xfId="0" applyFont="1" applyFill="1" applyBorder="1" applyAlignment="1">
      <alignment vertical="center"/>
    </xf>
    <xf numFmtId="0" fontId="15" fillId="3" borderId="28" xfId="0" applyFont="1" applyFill="1" applyBorder="1" applyAlignment="1">
      <alignment vertical="center" shrinkToFit="1"/>
    </xf>
    <xf numFmtId="0" fontId="15" fillId="3" borderId="28" xfId="0" applyFont="1" applyFill="1" applyBorder="1" applyAlignment="1">
      <alignment horizontal="center" vertical="center"/>
    </xf>
    <xf numFmtId="168" fontId="15" fillId="3" borderId="28" xfId="0" applyNumberFormat="1" applyFont="1" applyFill="1" applyBorder="1" applyAlignment="1">
      <alignment vertical="center"/>
    </xf>
    <xf numFmtId="0" fontId="15" fillId="3" borderId="46" xfId="0" applyFont="1" applyFill="1" applyBorder="1" applyAlignment="1">
      <alignment horizontal="center" vertical="center"/>
    </xf>
    <xf numFmtId="168" fontId="15" fillId="3" borderId="88" xfId="0" applyNumberFormat="1" applyFont="1" applyFill="1" applyBorder="1" applyAlignment="1">
      <alignment vertical="center"/>
    </xf>
    <xf numFmtId="168" fontId="15" fillId="3" borderId="89" xfId="0" applyNumberFormat="1" applyFont="1" applyFill="1" applyBorder="1" applyAlignment="1">
      <alignment vertical="center"/>
    </xf>
    <xf numFmtId="168" fontId="15" fillId="3" borderId="51" xfId="0" applyNumberFormat="1" applyFont="1" applyFill="1" applyBorder="1" applyAlignment="1">
      <alignment vertical="center"/>
    </xf>
    <xf numFmtId="9" fontId="15" fillId="3" borderId="28" xfId="0" applyNumberFormat="1" applyFont="1" applyFill="1" applyBorder="1" applyAlignment="1">
      <alignment vertical="center"/>
    </xf>
    <xf numFmtId="0" fontId="15" fillId="3" borderId="28" xfId="0" applyFont="1" applyFill="1" applyBorder="1" applyAlignment="1">
      <alignment horizontal="center" vertical="center" wrapText="1"/>
    </xf>
    <xf numFmtId="0" fontId="15" fillId="3" borderId="43" xfId="0" applyFont="1" applyFill="1" applyBorder="1" applyAlignment="1">
      <alignment vertical="center"/>
    </xf>
    <xf numFmtId="0" fontId="15" fillId="3" borderId="28" xfId="0" applyFont="1" applyFill="1" applyBorder="1" applyAlignment="1">
      <alignment horizontal="center" vertical="center" shrinkToFit="1"/>
    </xf>
    <xf numFmtId="168" fontId="18" fillId="0" borderId="0" xfId="0" applyNumberFormat="1" applyFont="1" applyAlignment="1">
      <alignment vertical="center"/>
    </xf>
    <xf numFmtId="168" fontId="15" fillId="3" borderId="90" xfId="0" applyNumberFormat="1" applyFont="1" applyFill="1" applyBorder="1" applyAlignment="1">
      <alignment vertical="center"/>
    </xf>
    <xf numFmtId="168" fontId="15" fillId="3" borderId="91" xfId="0" applyNumberFormat="1" applyFont="1" applyFill="1" applyBorder="1" applyAlignment="1">
      <alignment vertical="center"/>
    </xf>
    <xf numFmtId="168" fontId="15" fillId="3" borderId="9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Relationship Id="rId5" Type="http://schemas.openxmlformats.org/officeDocument/2006/relationships/worksheet" Target="worksheets/sheet32.xml"/><Relationship Id="rId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R24"/>
  <sheetViews>
    <sheetView workbookViewId="0" zoomScale="100" zoomScaleNormal="100" view="pageBreakPreview">
      <selection activeCell="E12" sqref="E12"/>
    </sheetView>
  </sheetViews>
  <sheetFormatPr defaultRowHeight="16.5" outlineLevelRow="0" outlineLevelCol="0" x14ac:dyDescent="0" customHeight="1"/>
  <cols>
    <col min="1" max="1" width="2.625" customWidth="1"/>
    <col min="2" max="2" width="15.75" customWidth="1"/>
    <col min="3" max="3" width="19.75" style="154" customWidth="1"/>
    <col min="4" max="4" width="5.75" customWidth="1"/>
    <col min="5" max="7" width="10.75" customWidth="1"/>
    <col min="8" max="8" width="15.75" customWidth="1"/>
    <col min="9" max="9" width="19.75" style="154" customWidth="1"/>
    <col min="10" max="10" width="5.75" customWidth="1"/>
    <col min="11" max="15" width="10.75" customWidth="1"/>
    <col min="16" max="16" width="38" customWidth="1"/>
    <col min="17" max="17" width="2.625" customWidth="1"/>
  </cols>
  <sheetData>
    <row r="1" ht="33.75" customHeight="1" spans="2:16" x14ac:dyDescent="0.25">
      <c r="B1" s="155" t="s">
        <v>39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</row>
    <row r="2" ht="17.25" customHeight="1" spans="2:16" x14ac:dyDescent="0.25">
      <c r="B2" s="156" t="s">
        <v>40</v>
      </c>
      <c r="C2" s="157"/>
      <c r="D2" s="157"/>
      <c r="E2" s="156"/>
      <c r="F2" s="156"/>
      <c r="G2" s="156"/>
      <c r="H2" s="156"/>
      <c r="I2" s="157"/>
      <c r="J2" s="157"/>
      <c r="K2" s="156"/>
      <c r="L2" s="156"/>
      <c r="M2" s="156"/>
      <c r="N2" s="156"/>
      <c r="O2" s="156"/>
      <c r="P2" s="156"/>
    </row>
    <row r="3" ht="33.75" customHeight="1" spans="2:16" x14ac:dyDescent="0.25">
      <c r="B3" s="158" t="s">
        <v>41</v>
      </c>
      <c r="C3" s="158" t="s">
        <v>42</v>
      </c>
      <c r="D3" s="158" t="s">
        <v>43</v>
      </c>
      <c r="E3" s="159" t="s">
        <v>44</v>
      </c>
      <c r="F3" s="160"/>
      <c r="G3" s="161"/>
      <c r="H3" s="158" t="s">
        <v>41</v>
      </c>
      <c r="I3" s="158" t="s">
        <v>42</v>
      </c>
      <c r="J3" s="162" t="s">
        <v>43</v>
      </c>
      <c r="K3" s="163" t="s">
        <v>45</v>
      </c>
      <c r="L3" s="164"/>
      <c r="M3" s="165"/>
      <c r="N3" s="166" t="s">
        <v>46</v>
      </c>
      <c r="O3" s="167"/>
      <c r="P3" s="168" t="s">
        <v>47</v>
      </c>
    </row>
    <row r="4" spans="2:16" x14ac:dyDescent="0.25">
      <c r="B4" s="169"/>
      <c r="C4" s="169"/>
      <c r="D4" s="169"/>
      <c r="E4" s="170"/>
      <c r="F4" s="171"/>
      <c r="G4" s="172"/>
      <c r="H4" s="169"/>
      <c r="I4" s="169"/>
      <c r="J4" s="173"/>
      <c r="K4" s="174"/>
      <c r="L4" s="171"/>
      <c r="M4" s="175"/>
      <c r="N4" s="176"/>
      <c r="O4" s="177"/>
      <c r="P4" s="178"/>
    </row>
    <row r="5" ht="17.25" customHeight="1" spans="2:16" x14ac:dyDescent="0.25">
      <c r="B5" s="179"/>
      <c r="C5" s="179"/>
      <c r="D5" s="179"/>
      <c r="E5" s="180" t="s">
        <v>48</v>
      </c>
      <c r="F5" s="180" t="s">
        <v>49</v>
      </c>
      <c r="G5" s="180" t="s">
        <v>50</v>
      </c>
      <c r="H5" s="179"/>
      <c r="I5" s="179"/>
      <c r="J5" s="181"/>
      <c r="K5" s="182" t="s">
        <v>48</v>
      </c>
      <c r="L5" s="180" t="s">
        <v>49</v>
      </c>
      <c r="M5" s="183" t="s">
        <v>50</v>
      </c>
      <c r="N5" s="184" t="s">
        <v>51</v>
      </c>
      <c r="O5" s="185" t="s">
        <v>52</v>
      </c>
      <c r="P5" s="186"/>
    </row>
    <row r="6" ht="24" customHeight="1" spans="2:16" x14ac:dyDescent="0.25">
      <c r="B6" s="187" t="str">
        <f>'2-2.건축(기)(발주용)'!A243</f>
        <v>04.조적공사</v>
      </c>
      <c r="C6" s="188"/>
      <c r="D6" s="189"/>
      <c r="E6" s="190"/>
      <c r="F6" s="190"/>
      <c r="G6" s="190"/>
      <c r="H6" s="191" t="str">
        <f t="shared" ref="H6:H12" si="0">B6</f>
        <v>04.조적공사</v>
      </c>
      <c r="I6" s="188"/>
      <c r="J6" s="192"/>
      <c r="K6" s="193"/>
      <c r="L6" s="190"/>
      <c r="M6" s="194"/>
      <c r="N6" s="195"/>
      <c r="O6" s="196"/>
      <c r="P6" s="197"/>
    </row>
    <row r="7" ht="24" customHeight="1" spans="2:16" x14ac:dyDescent="0.25">
      <c r="B7" s="198" t="str">
        <f>'2-2.건축(기)(발주용)'!A268</f>
        <v>[지급자재]</v>
      </c>
      <c r="C7" s="188"/>
      <c r="D7" s="189"/>
      <c r="E7" s="190"/>
      <c r="F7" s="190"/>
      <c r="G7" s="190"/>
      <c r="H7" s="198" t="str">
        <f>B7</f>
        <v>[지급자재]</v>
      </c>
      <c r="I7" s="188"/>
      <c r="J7" s="192"/>
      <c r="K7" s="193"/>
      <c r="L7" s="190"/>
      <c r="M7" s="194"/>
      <c r="N7" s="195"/>
      <c r="O7" s="196"/>
      <c r="P7" s="197"/>
    </row>
    <row r="8" ht="24" customHeight="1" spans="2:18" x14ac:dyDescent="0.25">
      <c r="B8" s="199" t="str">
        <f>'2-2.건축(기)(발주용)'!A269</f>
        <v>단열재</v>
      </c>
      <c r="C8" s="200" t="str">
        <f>'2-2.건축(기)(발주용)'!B269</f>
        <v>T150 비드법보온판 2종2호</v>
      </c>
      <c r="D8" s="201" t="str">
        <f>'2-2.건축(기)(발주용)'!C269</f>
        <v>M2</v>
      </c>
      <c r="E8" s="202">
        <f>'2-2.건축(기)(발주용)'!D269</f>
        <v>85</v>
      </c>
      <c r="F8" s="202">
        <v>0</v>
      </c>
      <c r="G8" s="202">
        <f t="shared" ref="G8:G12" si="1">E8+F8</f>
        <v>85</v>
      </c>
      <c r="H8" s="200" t="str">
        <f t="shared" si="0"/>
        <v>단열재</v>
      </c>
      <c r="I8" s="200" t="s">
        <v>53</v>
      </c>
      <c r="J8" s="203" t="str">
        <f t="shared" ref="J8:J12" si="2">D8</f>
        <v>M2</v>
      </c>
      <c r="K8" s="204">
        <f>E8</f>
        <v>85</v>
      </c>
      <c r="L8" s="202">
        <f>F8</f>
        <v>0</v>
      </c>
      <c r="M8" s="205">
        <f t="shared" ref="M8:M13" si="3">K8+L8</f>
        <v>85</v>
      </c>
      <c r="N8" s="206">
        <f t="shared" ref="N8:N13" si="4">M8-G8</f>
        <v>0</v>
      </c>
      <c r="O8" s="207">
        <f t="shared" ref="O8:O13" si="5">IFERROR(N8/M8,0)</f>
        <v>0</v>
      </c>
      <c r="P8" s="208" t="s">
        <v>54</v>
      </c>
      <c r="R8" t="s">
        <v>55</v>
      </c>
    </row>
    <row r="9" ht="24" customHeight="1" spans="2:18" x14ac:dyDescent="0.25">
      <c r="B9" s="199"/>
      <c r="C9" s="200"/>
      <c r="D9" s="201"/>
      <c r="E9" s="202"/>
      <c r="F9" s="202"/>
      <c r="G9" s="202"/>
      <c r="H9" s="200" t="s">
        <v>56</v>
      </c>
      <c r="I9" s="200" t="s">
        <v>57</v>
      </c>
      <c r="J9" s="203" t="s">
        <v>58</v>
      </c>
      <c r="K9" s="204">
        <v>85</v>
      </c>
      <c r="L9" s="202">
        <v>0</v>
      </c>
      <c r="M9" s="205">
        <f t="shared" si="3"/>
        <v>85</v>
      </c>
      <c r="N9" s="206">
        <f t="shared" si="4"/>
        <v>85</v>
      </c>
      <c r="O9" s="207">
        <f t="shared" si="5"/>
        <v>1</v>
      </c>
      <c r="P9" s="208" t="s">
        <v>54</v>
      </c>
      <c r="R9" t="s">
        <v>55</v>
      </c>
    </row>
    <row r="10" ht="24" customHeight="1" spans="2:18" x14ac:dyDescent="0.25">
      <c r="B10" s="199" t="str">
        <f>'2-2.건축(기)(발주용)'!A270</f>
        <v>단열재</v>
      </c>
      <c r="C10" s="200" t="str">
        <f>'2-2.건축(기)(발주용)'!B270</f>
        <v>T110 압출법 1호</v>
      </c>
      <c r="D10" s="201" t="str">
        <f>'2-2.건축(기)(발주용)'!C270</f>
        <v>M2</v>
      </c>
      <c r="E10" s="202">
        <f>'2-2.건축(기)(발주용)'!D270</f>
        <v>228</v>
      </c>
      <c r="F10" s="202">
        <v>0</v>
      </c>
      <c r="G10" s="202">
        <f t="shared" si="1"/>
        <v>228</v>
      </c>
      <c r="H10" s="200" t="str">
        <f t="shared" si="0"/>
        <v>단열재</v>
      </c>
      <c r="I10" s="200" t="s">
        <v>59</v>
      </c>
      <c r="J10" s="203" t="str">
        <f t="shared" si="2"/>
        <v>M2</v>
      </c>
      <c r="K10" s="204">
        <f>E10</f>
        <v>228</v>
      </c>
      <c r="L10" s="202">
        <f>F10</f>
        <v>0</v>
      </c>
      <c r="M10" s="205">
        <f t="shared" si="3"/>
        <v>228</v>
      </c>
      <c r="N10" s="206">
        <f t="shared" si="4"/>
        <v>0</v>
      </c>
      <c r="O10" s="207">
        <f t="shared" si="5"/>
        <v>0</v>
      </c>
      <c r="P10" s="208" t="s">
        <v>54</v>
      </c>
      <c r="R10" t="s">
        <v>60</v>
      </c>
    </row>
    <row r="11" ht="24" customHeight="1" spans="2:18" x14ac:dyDescent="0.25">
      <c r="B11" s="199"/>
      <c r="C11" s="200"/>
      <c r="D11" s="201"/>
      <c r="E11" s="202"/>
      <c r="F11" s="202"/>
      <c r="G11" s="202"/>
      <c r="H11" s="200" t="s">
        <v>56</v>
      </c>
      <c r="I11" s="200" t="s">
        <v>59</v>
      </c>
      <c r="J11" s="203" t="s">
        <v>58</v>
      </c>
      <c r="K11" s="204">
        <v>228</v>
      </c>
      <c r="L11" s="202">
        <v>0</v>
      </c>
      <c r="M11" s="205">
        <f t="shared" si="3"/>
        <v>228</v>
      </c>
      <c r="N11" s="206">
        <f t="shared" si="4"/>
        <v>228</v>
      </c>
      <c r="O11" s="207">
        <f t="shared" si="5"/>
        <v>1</v>
      </c>
      <c r="P11" s="208" t="s">
        <v>54</v>
      </c>
      <c r="R11" t="s">
        <v>60</v>
      </c>
    </row>
    <row r="12" ht="24" customHeight="1" spans="2:18" x14ac:dyDescent="0.25">
      <c r="B12" s="199" t="str">
        <f>'2-2.건축(기)(발주용)'!A271</f>
        <v>단열재</v>
      </c>
      <c r="C12" s="200" t="str">
        <f>'2-2.건축(기)(발주용)'!B271</f>
        <v>T150 압출법 1호</v>
      </c>
      <c r="D12" s="201" t="str">
        <f>'2-2.건축(기)(발주용)'!C271</f>
        <v>M2</v>
      </c>
      <c r="E12" s="202">
        <f>'2-2.건축(기)(발주용)'!D271</f>
        <v>605</v>
      </c>
      <c r="F12" s="202">
        <v>0</v>
      </c>
      <c r="G12" s="202">
        <f t="shared" si="1"/>
        <v>605</v>
      </c>
      <c r="H12" s="200" t="str">
        <f t="shared" si="0"/>
        <v>단열재</v>
      </c>
      <c r="I12" s="200" t="s">
        <v>59</v>
      </c>
      <c r="J12" s="203" t="str">
        <f t="shared" si="2"/>
        <v>M2</v>
      </c>
      <c r="K12" s="204">
        <f>E12</f>
        <v>605</v>
      </c>
      <c r="L12" s="202">
        <f>F12</f>
        <v>0</v>
      </c>
      <c r="M12" s="205">
        <f t="shared" si="3"/>
        <v>605</v>
      </c>
      <c r="N12" s="206">
        <f t="shared" si="4"/>
        <v>0</v>
      </c>
      <c r="O12" s="207">
        <f t="shared" si="5"/>
        <v>0</v>
      </c>
      <c r="P12" s="208" t="s">
        <v>54</v>
      </c>
      <c r="R12" t="s">
        <v>61</v>
      </c>
    </row>
    <row r="13" ht="24" customHeight="1" spans="2:18" x14ac:dyDescent="0.25">
      <c r="B13" s="209"/>
      <c r="C13" s="210"/>
      <c r="D13" s="201"/>
      <c r="E13" s="202"/>
      <c r="F13" s="202"/>
      <c r="G13" s="202"/>
      <c r="H13" s="197" t="s">
        <v>56</v>
      </c>
      <c r="I13" s="200" t="s">
        <v>62</v>
      </c>
      <c r="J13" s="203" t="s">
        <v>58</v>
      </c>
      <c r="K13" s="204">
        <v>605</v>
      </c>
      <c r="L13" s="202">
        <v>0</v>
      </c>
      <c r="M13" s="205">
        <f t="shared" si="3"/>
        <v>605</v>
      </c>
      <c r="N13" s="206">
        <f t="shared" si="4"/>
        <v>605</v>
      </c>
      <c r="O13" s="207">
        <f t="shared" si="5"/>
        <v>1</v>
      </c>
      <c r="P13" s="208" t="s">
        <v>54</v>
      </c>
      <c r="R13" t="s">
        <v>61</v>
      </c>
    </row>
    <row r="14" ht="24" customHeight="1" spans="2:16" x14ac:dyDescent="0.25">
      <c r="B14" s="187" t="str">
        <f>'2-2.건축(기)(발주용)'!A345</f>
        <v>06.미장공사</v>
      </c>
      <c r="C14" s="200"/>
      <c r="D14" s="201"/>
      <c r="E14" s="202"/>
      <c r="F14" s="202"/>
      <c r="G14" s="202"/>
      <c r="H14" s="191" t="str">
        <f t="shared" ref="H14" si="6">B14</f>
        <v>06.미장공사</v>
      </c>
      <c r="I14" s="200"/>
      <c r="J14" s="203"/>
      <c r="K14" s="204"/>
      <c r="L14" s="202"/>
      <c r="M14" s="205"/>
      <c r="N14" s="206"/>
      <c r="O14" s="207"/>
      <c r="P14" s="199"/>
    </row>
    <row r="15" ht="24" customHeight="1" spans="2:16" x14ac:dyDescent="0.25">
      <c r="B15" s="198" t="str">
        <f>'2-2.건축(기)(발주용)'!A371</f>
        <v>[지급자재]</v>
      </c>
      <c r="C15" s="200"/>
      <c r="D15" s="201"/>
      <c r="E15" s="202"/>
      <c r="F15" s="202"/>
      <c r="G15" s="202"/>
      <c r="H15" s="198" t="str">
        <f>B15</f>
        <v>[지급자재]</v>
      </c>
      <c r="I15" s="200"/>
      <c r="J15" s="203"/>
      <c r="K15" s="204"/>
      <c r="L15" s="202"/>
      <c r="M15" s="205"/>
      <c r="N15" s="206"/>
      <c r="O15" s="207"/>
      <c r="P15" s="199"/>
    </row>
    <row r="16" ht="24" customHeight="1" spans="2:18" x14ac:dyDescent="0.25">
      <c r="B16" s="199" t="str">
        <f>'2-2.건축(기)(발주용)'!A374</f>
        <v>단열재</v>
      </c>
      <c r="C16" s="200" t="str">
        <f>'2-2.건축(기)(발주용)'!B374</f>
        <v>T: 60, PF보드</v>
      </c>
      <c r="D16" s="201" t="str">
        <f>'2-2.건축(기)(발주용)'!C374</f>
        <v>M2</v>
      </c>
      <c r="E16" s="202">
        <f>'2-2.건축(기)(발주용)'!D374</f>
        <v>1278</v>
      </c>
      <c r="F16" s="202">
        <f>'11-3.건축(확+옵)(발주용)'!D327</f>
        <v>455</v>
      </c>
      <c r="G16" s="202">
        <f t="shared" ref="G16:G18" si="7">E16+F16</f>
        <v>1733</v>
      </c>
      <c r="H16" s="200" t="str">
        <f>B16</f>
        <v>단열재</v>
      </c>
      <c r="I16" s="200" t="str">
        <f>C16</f>
        <v>T: 60, PF보드</v>
      </c>
      <c r="J16" s="203" t="str">
        <f>D16</f>
        <v>M2</v>
      </c>
      <c r="K16" s="204">
        <f>E16</f>
        <v>1278</v>
      </c>
      <c r="L16" s="202">
        <f>F16</f>
        <v>455</v>
      </c>
      <c r="M16" s="205">
        <f t="shared" ref="M16:M18" si="8">K16+L16</f>
        <v>1733</v>
      </c>
      <c r="N16" s="206">
        <f t="shared" ref="N16:N18" si="9">M16-G16</f>
        <v>0</v>
      </c>
      <c r="O16" s="207">
        <f t="shared" ref="O16:O18" si="10">IFERROR(N16/M16,0)</f>
        <v>0</v>
      </c>
      <c r="P16" s="208"/>
      <c r="R16" t="s">
        <v>63</v>
      </c>
    </row>
    <row r="17" ht="24" customHeight="1" spans="2:18" x14ac:dyDescent="0.25">
      <c r="B17" s="199" t="str">
        <f>'2-2.건축(기)(발주용)'!A375</f>
        <v>단열재</v>
      </c>
      <c r="C17" s="200" t="str">
        <f>'2-2.건축(기)(발주용)'!B375</f>
        <v>T: 90, PF보드</v>
      </c>
      <c r="D17" s="201" t="str">
        <f>'2-2.건축(기)(발주용)'!C375</f>
        <v>M2</v>
      </c>
      <c r="E17" s="202">
        <f>'2-2.건축(기)(발주용)'!D375</f>
        <v>356</v>
      </c>
      <c r="F17" s="202">
        <v>0</v>
      </c>
      <c r="G17" s="202">
        <f t="shared" si="7"/>
        <v>356</v>
      </c>
      <c r="H17" s="200" t="str">
        <f t="shared" ref="H17:J19" si="11">B17</f>
        <v>단열재</v>
      </c>
      <c r="I17" s="200" t="str">
        <f t="shared" si="11"/>
        <v>T: 90, PF보드</v>
      </c>
      <c r="J17" s="203" t="str">
        <f t="shared" si="11"/>
        <v>M2</v>
      </c>
      <c r="K17" s="204">
        <f t="shared" ref="K17:K18" si="12">E17</f>
        <v>356</v>
      </c>
      <c r="L17" s="202">
        <f>F17</f>
        <v>0</v>
      </c>
      <c r="M17" s="205">
        <f t="shared" si="8"/>
        <v>356</v>
      </c>
      <c r="N17" s="206">
        <f t="shared" si="9"/>
        <v>0</v>
      </c>
      <c r="O17" s="207">
        <f t="shared" si="10"/>
        <v>0</v>
      </c>
      <c r="P17" s="208"/>
      <c r="R17" s="211" t="s">
        <v>64</v>
      </c>
    </row>
    <row r="18" ht="24" customHeight="1" spans="2:18" x14ac:dyDescent="0.25">
      <c r="B18" s="199" t="str">
        <f>'2-2.건축(기)(발주용)'!A376</f>
        <v>단열재</v>
      </c>
      <c r="C18" s="200" t="str">
        <f>'2-2.건축(기)(발주용)'!B376</f>
        <v>T:110, PF보드</v>
      </c>
      <c r="D18" s="201" t="str">
        <f>'2-2.건축(기)(발주용)'!C376</f>
        <v>M2</v>
      </c>
      <c r="E18" s="202">
        <f>'2-2.건축(기)(발주용)'!D376</f>
        <v>356</v>
      </c>
      <c r="F18" s="202">
        <v>0</v>
      </c>
      <c r="G18" s="202">
        <f t="shared" si="7"/>
        <v>356</v>
      </c>
      <c r="H18" s="200" t="str">
        <f t="shared" si="11"/>
        <v>단열재</v>
      </c>
      <c r="I18" s="200" t="str">
        <f t="shared" si="11"/>
        <v>T:110, PF보드</v>
      </c>
      <c r="J18" s="203" t="str">
        <f t="shared" si="11"/>
        <v>M2</v>
      </c>
      <c r="K18" s="204">
        <f t="shared" si="12"/>
        <v>356</v>
      </c>
      <c r="L18" s="202">
        <f>F18</f>
        <v>0</v>
      </c>
      <c r="M18" s="205">
        <f t="shared" si="8"/>
        <v>356</v>
      </c>
      <c r="N18" s="206">
        <f t="shared" si="9"/>
        <v>0</v>
      </c>
      <c r="O18" s="207">
        <f t="shared" si="10"/>
        <v>0</v>
      </c>
      <c r="P18" s="208"/>
      <c r="R18" s="211" t="s">
        <v>65</v>
      </c>
    </row>
    <row r="19" ht="24" customHeight="1" spans="2:16" x14ac:dyDescent="0.25">
      <c r="B19" s="187" t="str">
        <f>'2-2.건축(기)(발주용)'!A481</f>
        <v>09.내장목공사</v>
      </c>
      <c r="C19" s="200"/>
      <c r="D19" s="201"/>
      <c r="E19" s="202"/>
      <c r="F19" s="202"/>
      <c r="G19" s="202"/>
      <c r="H19" s="191" t="str">
        <f t="shared" si="11"/>
        <v>09.내장목공사</v>
      </c>
      <c r="I19" s="200"/>
      <c r="J19" s="203"/>
      <c r="K19" s="204"/>
      <c r="L19" s="202"/>
      <c r="M19" s="205"/>
      <c r="N19" s="206"/>
      <c r="O19" s="207"/>
      <c r="P19" s="199"/>
    </row>
    <row r="20" ht="24" customHeight="1" spans="2:16" x14ac:dyDescent="0.25">
      <c r="B20" s="198" t="str">
        <f>'2-2.건축(기)(발주용)'!A562</f>
        <v>[지급자재]</v>
      </c>
      <c r="C20" s="200"/>
      <c r="D20" s="201"/>
      <c r="E20" s="202"/>
      <c r="F20" s="202"/>
      <c r="G20" s="202"/>
      <c r="H20" s="198" t="str">
        <f>B20</f>
        <v>[지급자재]</v>
      </c>
      <c r="I20" s="200"/>
      <c r="J20" s="203"/>
      <c r="K20" s="204"/>
      <c r="L20" s="202"/>
      <c r="M20" s="205"/>
      <c r="N20" s="206"/>
      <c r="O20" s="207"/>
      <c r="P20" s="199"/>
    </row>
    <row r="21" ht="24" customHeight="1" spans="2:16" x14ac:dyDescent="0.25">
      <c r="B21" s="199" t="str">
        <f>'2-2.건축(기)(발주용)'!A563</f>
        <v>단열재</v>
      </c>
      <c r="C21" s="200" t="str">
        <f>'2-2.건축(기)(발주용)'!B563</f>
        <v>T:110 비드법보온판 2종2호</v>
      </c>
      <c r="D21" s="201" t="str">
        <f>'2-2.건축(기)(발주용)'!C563</f>
        <v>M2</v>
      </c>
      <c r="E21" s="202">
        <f>'2-2.건축(기)(발주용)'!D563</f>
        <v>5695</v>
      </c>
      <c r="F21" s="202">
        <f>'11-3.건축(확+옵)(발주용)'!D466</f>
        <v>7190</v>
      </c>
      <c r="G21" s="202">
        <f t="shared" ref="G21:G23" si="13">E21+F21</f>
        <v>12885</v>
      </c>
      <c r="H21" s="200" t="str">
        <f t="shared" ref="H21:H23" si="14">B21</f>
        <v>단열재</v>
      </c>
      <c r="I21" s="200" t="s">
        <v>66</v>
      </c>
      <c r="J21" s="203" t="str">
        <f t="shared" ref="J21:J23" si="15">D21</f>
        <v>M2</v>
      </c>
      <c r="K21" s="204">
        <f>E21</f>
        <v>5695</v>
      </c>
      <c r="L21" s="202">
        <f>F21</f>
        <v>7190</v>
      </c>
      <c r="M21" s="205">
        <f t="shared" ref="M21" si="16">K21+L21</f>
        <v>12885</v>
      </c>
      <c r="N21" s="206">
        <f t="shared" ref="N21" si="17">M21-G21</f>
        <v>0</v>
      </c>
      <c r="O21" s="207">
        <f t="shared" ref="O21:O24" si="18">IFERROR(N21/M21,0)</f>
        <v>0</v>
      </c>
      <c r="P21" s="208" t="s">
        <v>54</v>
      </c>
    </row>
    <row r="22" ht="24" customHeight="1" spans="2:16" x14ac:dyDescent="0.25">
      <c r="B22" s="199"/>
      <c r="C22" s="200"/>
      <c r="D22" s="201"/>
      <c r="E22" s="202"/>
      <c r="F22" s="202"/>
      <c r="G22" s="202"/>
      <c r="H22" s="200" t="s">
        <v>56</v>
      </c>
      <c r="I22" s="200" t="s">
        <v>66</v>
      </c>
      <c r="J22" s="203" t="s">
        <v>58</v>
      </c>
      <c r="K22" s="204">
        <f>E21</f>
        <v>5695</v>
      </c>
      <c r="L22" s="202">
        <f>F21</f>
        <v>7190</v>
      </c>
      <c r="M22" s="205">
        <f t="shared" ref="M22:M24" si="19">K22+L22</f>
        <v>12885</v>
      </c>
      <c r="N22" s="206">
        <f t="shared" ref="N22:N24" si="20">M22-G22</f>
        <v>12885</v>
      </c>
      <c r="O22" s="207">
        <f t="shared" si="18"/>
        <v>1</v>
      </c>
      <c r="P22" s="208" t="s">
        <v>54</v>
      </c>
    </row>
    <row r="23" ht="24" customHeight="1" spans="2:16" x14ac:dyDescent="0.25">
      <c r="B23" s="199" t="str">
        <f>'2-2.건축(기)(발주용)'!A564</f>
        <v>단열재</v>
      </c>
      <c r="C23" s="200" t="str">
        <f>'2-2.건축(기)(발주용)'!B564</f>
        <v>T:150 비드법보온판 2종2호</v>
      </c>
      <c r="D23" s="201" t="str">
        <f>'2-2.건축(기)(발주용)'!C564</f>
        <v>M2</v>
      </c>
      <c r="E23" s="202">
        <f>'2-2.건축(기)(발주용)'!D564</f>
        <v>25617</v>
      </c>
      <c r="F23" s="202">
        <v>0</v>
      </c>
      <c r="G23" s="202">
        <f t="shared" si="13"/>
        <v>25617</v>
      </c>
      <c r="H23" s="200" t="str">
        <f t="shared" si="14"/>
        <v>단열재</v>
      </c>
      <c r="I23" s="200" t="s">
        <v>66</v>
      </c>
      <c r="J23" s="203" t="str">
        <f t="shared" si="15"/>
        <v>M2</v>
      </c>
      <c r="K23" s="204">
        <f>E23</f>
        <v>25617</v>
      </c>
      <c r="L23" s="202">
        <f>F23</f>
        <v>0</v>
      </c>
      <c r="M23" s="205">
        <f t="shared" si="19"/>
        <v>25617</v>
      </c>
      <c r="N23" s="206">
        <f t="shared" si="20"/>
        <v>0</v>
      </c>
      <c r="O23" s="207">
        <f t="shared" si="18"/>
        <v>0</v>
      </c>
      <c r="P23" s="208" t="s">
        <v>54</v>
      </c>
    </row>
    <row r="24" ht="24" customHeight="1" spans="2:16" x14ac:dyDescent="0.25">
      <c r="B24" s="199"/>
      <c r="C24" s="200"/>
      <c r="D24" s="201"/>
      <c r="E24" s="202"/>
      <c r="F24" s="202"/>
      <c r="G24" s="202"/>
      <c r="H24" s="200" t="s">
        <v>56</v>
      </c>
      <c r="I24" s="200" t="s">
        <v>67</v>
      </c>
      <c r="J24" s="203" t="s">
        <v>58</v>
      </c>
      <c r="K24" s="212">
        <f>E23</f>
        <v>25617</v>
      </c>
      <c r="L24" s="213">
        <f>F23</f>
        <v>0</v>
      </c>
      <c r="M24" s="214">
        <f t="shared" si="19"/>
        <v>25617</v>
      </c>
      <c r="N24" s="206">
        <f t="shared" si="20"/>
        <v>25617</v>
      </c>
      <c r="O24" s="207">
        <f t="shared" si="18"/>
        <v>1</v>
      </c>
      <c r="P24" s="208" t="s">
        <v>54</v>
      </c>
    </row>
  </sheetData>
  <mergeCells count="11">
    <mergeCell ref="B1:P1"/>
    <mergeCell ref="E3:G4"/>
    <mergeCell ref="K3:M4"/>
    <mergeCell ref="N3:O4"/>
    <mergeCell ref="B3:B5"/>
    <mergeCell ref="C3:C5"/>
    <mergeCell ref="D3:D5"/>
    <mergeCell ref="H3:H5"/>
    <mergeCell ref="I3:I5"/>
    <mergeCell ref="J3:J5"/>
    <mergeCell ref="P3:P5"/>
  </mergeCells>
  <printOptions horizontalCentered="1"/>
  <pageMargins left="0.31496062992125984" right="0.31496062992125984" top="0.5905511811023623" bottom="0.3937007874015748" header="0.31496062992125984" footer="0.1968503937007874"/>
  <pageSetup paperSize="9" orientation="landscape" horizontalDpi="4294967295" verticalDpi="4294967295" scale="61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 zoomScale="100" zoomScaleNormal="100" view="pageBreakPreview">
      <selection activeCell="J10" sqref="J10"/>
    </sheetView>
  </sheetViews>
  <sheetFormatPr defaultRowHeight="16.5" outlineLevelRow="0" outlineLevelCol="0" x14ac:dyDescent="0" customHeight="1"/>
  <cols>
    <col min="1" max="1" width="4.625" customWidth="1"/>
    <col min="2" max="5" width="9.625" customWidth="1"/>
    <col min="6" max="7" width="18.625" customWidth="1"/>
    <col min="8" max="8" width="4.625" customWidth="1"/>
    <col min="9" max="12" width="9.625" customWidth="1"/>
  </cols>
  <sheetData>
    <row r="1" ht="6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.1" customHeight="1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.1" customHeight="1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0.1" customHeight="1" spans="1:12" x14ac:dyDescent="0.25">
      <c r="A4" s="3" t="s">
        <v>1</v>
      </c>
      <c r="B4" s="4" t="s">
        <v>2</v>
      </c>
      <c r="C4" s="5" t="s">
        <v>3</v>
      </c>
      <c r="D4" s="6"/>
      <c r="E4" s="7" t="s">
        <v>4</v>
      </c>
      <c r="F4" s="2"/>
      <c r="G4" s="2"/>
      <c r="H4" s="3" t="s">
        <v>1</v>
      </c>
      <c r="I4" s="4" t="s">
        <v>5</v>
      </c>
      <c r="J4" s="4" t="s">
        <v>6</v>
      </c>
      <c r="K4" s="4"/>
      <c r="L4" s="7" t="s">
        <v>4</v>
      </c>
    </row>
    <row r="5" ht="50.1" customHeight="1" spans="1:12" x14ac:dyDescent="0.25">
      <c r="A5" s="8"/>
      <c r="B5" s="9"/>
      <c r="C5" s="9"/>
      <c r="D5" s="10"/>
      <c r="E5" s="11"/>
      <c r="F5" s="2"/>
      <c r="G5" s="2"/>
      <c r="H5" s="8"/>
      <c r="I5" s="9"/>
      <c r="J5" s="9"/>
      <c r="K5" s="9"/>
      <c r="L5" s="11"/>
    </row>
    <row r="6" ht="20.1" customHeight="1" spans="1:12" x14ac:dyDescent="0.25">
      <c r="A6" s="8"/>
      <c r="B6" s="12"/>
      <c r="C6" s="12"/>
      <c r="D6" s="12"/>
      <c r="E6" s="13"/>
      <c r="F6" s="2"/>
      <c r="G6" s="2"/>
      <c r="H6" s="8"/>
      <c r="I6" s="12"/>
      <c r="J6" s="12"/>
      <c r="K6" s="12"/>
      <c r="L6" s="13"/>
    </row>
    <row r="7" ht="20.1" customHeight="1" spans="1:12" x14ac:dyDescent="0.25">
      <c r="A7" s="14"/>
      <c r="B7" s="15"/>
      <c r="C7" s="15"/>
      <c r="D7" s="15"/>
      <c r="E7" s="16"/>
      <c r="F7" s="2"/>
      <c r="G7" s="2"/>
      <c r="H7" s="14"/>
      <c r="I7" s="15"/>
      <c r="J7" s="15"/>
      <c r="K7" s="15"/>
      <c r="L7" s="16"/>
    </row>
    <row r="8" ht="20.1" customHeight="1" spans="1:12" x14ac:dyDescent="0.25">
      <c r="A8" s="2"/>
      <c r="B8" s="2"/>
      <c r="C8" s="2"/>
      <c r="D8" s="2"/>
      <c r="E8" s="2"/>
      <c r="F8" s="2"/>
      <c r="G8" s="2"/>
      <c r="H8" s="2"/>
      <c r="I8" s="17"/>
      <c r="J8" s="18"/>
      <c r="K8" s="18"/>
      <c r="L8" s="2"/>
    </row>
    <row r="9" ht="20.1" customHeight="1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20.1" customHeight="1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0.1" customHeight="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20.1" customHeight="1" spans="1:12" x14ac:dyDescent="0.25">
      <c r="A12" s="19" t="s">
        <v>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ht="20.1" customHeight="1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20.1" customHeight="1" spans="1:12" x14ac:dyDescent="0.25">
      <c r="A14" s="2"/>
      <c r="B14" s="2"/>
      <c r="C14" s="2"/>
      <c r="D14" s="2"/>
      <c r="E14" s="2"/>
      <c r="F14" s="2"/>
      <c r="G14" s="20"/>
      <c r="H14" s="20"/>
      <c r="I14" s="20"/>
      <c r="J14" s="21"/>
      <c r="K14" s="21"/>
      <c r="L14" s="2"/>
    </row>
    <row r="15" ht="20.1" customHeight="1" spans="1:12" x14ac:dyDescent="0.25">
      <c r="A15" s="2"/>
      <c r="B15" s="2"/>
      <c r="C15" s="2"/>
      <c r="D15" s="2"/>
      <c r="E15" s="2"/>
      <c r="F15" s="2"/>
      <c r="G15" s="22" t="s">
        <v>8</v>
      </c>
      <c r="H15" s="23"/>
      <c r="I15" s="23"/>
      <c r="J15" s="23" t="s">
        <v>9</v>
      </c>
      <c r="K15" s="23"/>
      <c r="L15" s="24"/>
    </row>
    <row r="16" ht="20.1" customHeight="1" spans="1:12" x14ac:dyDescent="0.25">
      <c r="A16" s="2"/>
      <c r="B16" s="2"/>
      <c r="C16" s="2"/>
      <c r="D16" s="2"/>
      <c r="E16" s="2"/>
      <c r="F16" s="2"/>
      <c r="G16" s="25" t="s">
        <v>10</v>
      </c>
      <c r="H16" s="26"/>
      <c r="I16" s="26"/>
      <c r="J16" s="26" t="s">
        <v>9</v>
      </c>
      <c r="K16" s="26"/>
      <c r="L16" s="27"/>
    </row>
    <row r="17" ht="20.1" customHeight="1" spans="1:12" x14ac:dyDescent="0.25">
      <c r="A17" s="2"/>
      <c r="B17" s="2"/>
      <c r="C17" s="2"/>
      <c r="D17" s="2"/>
      <c r="E17" s="2"/>
      <c r="F17" s="2"/>
      <c r="G17" s="28" t="s">
        <v>11</v>
      </c>
      <c r="H17" s="29"/>
      <c r="I17" s="29"/>
      <c r="J17" s="29" t="s">
        <v>9</v>
      </c>
      <c r="K17" s="29"/>
      <c r="L17" s="30"/>
    </row>
    <row r="18" ht="20.1" customHeight="1" spans="1:12" x14ac:dyDescent="0.25">
      <c r="A18" s="31"/>
      <c r="B18" s="2"/>
      <c r="C18" s="2"/>
      <c r="D18" s="2"/>
      <c r="E18" s="2"/>
      <c r="F18" s="2"/>
      <c r="G18" s="20"/>
      <c r="H18" s="20"/>
      <c r="I18" s="20"/>
      <c r="J18" s="20"/>
      <c r="K18" s="20"/>
      <c r="L18" s="20"/>
    </row>
    <row r="19" ht="20.1" customHeight="1" spans="1:12" x14ac:dyDescent="0.25">
      <c r="A19" s="3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39.95" customHeight="1" spans="1:12" x14ac:dyDescent="0.25">
      <c r="A20" s="32" t="s">
        <v>12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</sheetData>
  <mergeCells count="13">
    <mergeCell ref="A1:L1"/>
    <mergeCell ref="C4:D4"/>
    <mergeCell ref="J4:K4"/>
    <mergeCell ref="A4:A7"/>
    <mergeCell ref="H4:H7"/>
    <mergeCell ref="A12:L12"/>
    <mergeCell ref="G15:I15"/>
    <mergeCell ref="J15:L15"/>
    <mergeCell ref="G16:I16"/>
    <mergeCell ref="J16:L16"/>
    <mergeCell ref="G17:I17"/>
    <mergeCell ref="J17:L17"/>
    <mergeCell ref="A20:L20"/>
  </mergeCells>
  <printOptions horizontalCentered="1"/>
  <pageMargins left="0.3937007874015748" right="0.3937007874015748" top="0.7874015748031497" bottom="0.3937007874015748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31"/>
  <sheetViews>
    <sheetView workbookViewId="0" zoomScale="115" zoomScaleNormal="100" view="pageBreakPreview">
      <selection activeCell="I11" sqref="I11"/>
    </sheetView>
  </sheetViews>
  <sheetFormatPr defaultRowHeight="13.5" outlineLevelRow="0" outlineLevelCol="0" x14ac:dyDescent="0" customHeight="1"/>
  <cols>
    <col min="1" max="1" width="4" style="33" customWidth="1"/>
    <col min="2" max="3" width="4.625" style="33" customWidth="1"/>
    <col min="4" max="4" width="8.625" style="33" customWidth="1"/>
    <col min="5" max="5" width="2.125" style="33" customWidth="1"/>
    <col min="6" max="6" width="7.125" style="33" customWidth="1"/>
    <col min="7" max="7" width="5.625" style="33" customWidth="1"/>
    <col min="8" max="8" width="5.125" style="34" customWidth="1"/>
    <col min="9" max="9" width="9.25" style="33" customWidth="1"/>
    <col min="10" max="10" width="9.375" style="33" customWidth="1"/>
    <col min="11" max="11" width="13.875" style="33" customWidth="1"/>
    <col min="12" max="13" width="11" style="35" customWidth="1"/>
    <col min="14" max="14" width="6.75" style="33" customWidth="1"/>
    <col min="15" max="15" width="4.375" style="33" customWidth="1"/>
    <col min="16" max="16" width="4.125" style="33" customWidth="1"/>
    <col min="17" max="17" width="3.25" style="33" customWidth="1"/>
    <col min="18" max="18" width="5.75" style="33" customWidth="1"/>
    <col min="19" max="19" width="2.75" style="33" customWidth="1"/>
    <col min="20" max="20" width="5.75" style="33" customWidth="1"/>
    <col min="21" max="21" width="8.875" style="33" customWidth="1"/>
    <col min="22" max="22" width="2.25" style="33" customWidth="1"/>
    <col min="23" max="23" width="6.625" style="33" customWidth="1"/>
    <col min="24" max="257" width="8.75" style="33" customWidth="1"/>
    <col min="258" max="258" width="4" style="33" customWidth="1"/>
    <col min="259" max="259" width="3.75" style="33" customWidth="1"/>
    <col min="260" max="260" width="4.375" style="33" customWidth="1"/>
    <col min="261" max="261" width="8.625" style="33" customWidth="1"/>
    <col min="262" max="262" width="2.25" style="33" customWidth="1"/>
    <col min="263" max="263" width="7.125" style="33" customWidth="1"/>
    <col min="264" max="264" width="5.625" style="33" customWidth="1"/>
    <col min="265" max="265" width="5.125" style="33" customWidth="1"/>
    <col min="266" max="266" width="13.875" style="33" customWidth="1"/>
    <col min="267" max="267" width="9.375" style="33" customWidth="1"/>
    <col min="268" max="268" width="13.875" style="33" customWidth="1"/>
    <col min="269" max="269" width="11" style="33" customWidth="1"/>
    <col min="270" max="270" width="6.75" style="33" customWidth="1"/>
    <col min="271" max="271" width="4.375" style="33" customWidth="1"/>
    <col min="272" max="272" width="4.125" style="33" customWidth="1"/>
    <col min="273" max="273" width="3.25" style="33" customWidth="1"/>
    <col min="274" max="274" width="5.75" style="33" customWidth="1"/>
    <col min="275" max="275" width="2.75" style="33" customWidth="1"/>
    <col min="276" max="276" width="5.75" style="33" customWidth="1"/>
    <col min="277" max="277" width="8.875" style="33" customWidth="1"/>
    <col min="278" max="278" width="2.25" style="33" customWidth="1"/>
    <col min="279" max="279" width="6.625" style="33" customWidth="1"/>
    <col min="280" max="513" width="8.75" style="33" customWidth="1"/>
    <col min="514" max="514" width="4" style="33" customWidth="1"/>
    <col min="515" max="515" width="3.75" style="33" customWidth="1"/>
    <col min="516" max="516" width="4.375" style="33" customWidth="1"/>
    <col min="517" max="517" width="8.625" style="33" customWidth="1"/>
    <col min="518" max="518" width="2.25" style="33" customWidth="1"/>
    <col min="519" max="519" width="7.125" style="33" customWidth="1"/>
    <col min="520" max="520" width="5.625" style="33" customWidth="1"/>
    <col min="521" max="521" width="5.125" style="33" customWidth="1"/>
    <col min="522" max="522" width="13.875" style="33" customWidth="1"/>
    <col min="523" max="523" width="9.375" style="33" customWidth="1"/>
    <col min="524" max="524" width="13.875" style="33" customWidth="1"/>
    <col min="525" max="525" width="11" style="33" customWidth="1"/>
    <col min="526" max="526" width="6.75" style="33" customWidth="1"/>
    <col min="527" max="527" width="4.375" style="33" customWidth="1"/>
    <col min="528" max="528" width="4.125" style="33" customWidth="1"/>
    <col min="529" max="529" width="3.25" style="33" customWidth="1"/>
    <col min="530" max="530" width="5.75" style="33" customWidth="1"/>
    <col min="531" max="531" width="2.75" style="33" customWidth="1"/>
    <col min="532" max="532" width="5.75" style="33" customWidth="1"/>
    <col min="533" max="533" width="8.875" style="33" customWidth="1"/>
    <col min="534" max="534" width="2.25" style="33" customWidth="1"/>
    <col min="535" max="535" width="6.625" style="33" customWidth="1"/>
    <col min="536" max="769" width="8.75" style="33" customWidth="1"/>
    <col min="770" max="770" width="4" style="33" customWidth="1"/>
    <col min="771" max="771" width="3.75" style="33" customWidth="1"/>
    <col min="772" max="772" width="4.375" style="33" customWidth="1"/>
    <col min="773" max="773" width="8.625" style="33" customWidth="1"/>
    <col min="774" max="774" width="2.25" style="33" customWidth="1"/>
    <col min="775" max="775" width="7.125" style="33" customWidth="1"/>
    <col min="776" max="776" width="5.625" style="33" customWidth="1"/>
    <col min="777" max="777" width="5.125" style="33" customWidth="1"/>
    <col min="778" max="778" width="13.875" style="33" customWidth="1"/>
    <col min="779" max="779" width="9.375" style="33" customWidth="1"/>
    <col min="780" max="780" width="13.875" style="33" customWidth="1"/>
    <col min="781" max="781" width="11" style="33" customWidth="1"/>
    <col min="782" max="782" width="6.75" style="33" customWidth="1"/>
    <col min="783" max="783" width="4.375" style="33" customWidth="1"/>
    <col min="784" max="784" width="4.125" style="33" customWidth="1"/>
    <col min="785" max="785" width="3.25" style="33" customWidth="1"/>
    <col min="786" max="786" width="5.75" style="33" customWidth="1"/>
    <col min="787" max="787" width="2.75" style="33" customWidth="1"/>
    <col min="788" max="788" width="5.75" style="33" customWidth="1"/>
    <col min="789" max="789" width="8.875" style="33" customWidth="1"/>
    <col min="790" max="790" width="2.25" style="33" customWidth="1"/>
    <col min="791" max="791" width="6.625" style="33" customWidth="1"/>
    <col min="792" max="1025" width="8.75" style="33" customWidth="1"/>
    <col min="1026" max="1026" width="4" style="33" customWidth="1"/>
    <col min="1027" max="1027" width="3.75" style="33" customWidth="1"/>
    <col min="1028" max="1028" width="4.375" style="33" customWidth="1"/>
    <col min="1029" max="1029" width="8.625" style="33" customWidth="1"/>
    <col min="1030" max="1030" width="2.25" style="33" customWidth="1"/>
    <col min="1031" max="1031" width="7.125" style="33" customWidth="1"/>
    <col min="1032" max="1032" width="5.625" style="33" customWidth="1"/>
    <col min="1033" max="1033" width="5.125" style="33" customWidth="1"/>
    <col min="1034" max="1034" width="13.875" style="33" customWidth="1"/>
    <col min="1035" max="1035" width="9.375" style="33" customWidth="1"/>
    <col min="1036" max="1036" width="13.875" style="33" customWidth="1"/>
    <col min="1037" max="1037" width="11" style="33" customWidth="1"/>
    <col min="1038" max="1038" width="6.75" style="33" customWidth="1"/>
    <col min="1039" max="1039" width="4.375" style="33" customWidth="1"/>
    <col min="1040" max="1040" width="4.125" style="33" customWidth="1"/>
    <col min="1041" max="1041" width="3.25" style="33" customWidth="1"/>
    <col min="1042" max="1042" width="5.75" style="33" customWidth="1"/>
    <col min="1043" max="1043" width="2.75" style="33" customWidth="1"/>
    <col min="1044" max="1044" width="5.75" style="33" customWidth="1"/>
    <col min="1045" max="1045" width="8.875" style="33" customWidth="1"/>
    <col min="1046" max="1046" width="2.25" style="33" customWidth="1"/>
    <col min="1047" max="1047" width="6.625" style="33" customWidth="1"/>
    <col min="1048" max="1281" width="8.75" style="33" customWidth="1"/>
    <col min="1282" max="1282" width="4" style="33" customWidth="1"/>
    <col min="1283" max="1283" width="3.75" style="33" customWidth="1"/>
    <col min="1284" max="1284" width="4.375" style="33" customWidth="1"/>
    <col min="1285" max="1285" width="8.625" style="33" customWidth="1"/>
    <col min="1286" max="1286" width="2.25" style="33" customWidth="1"/>
    <col min="1287" max="1287" width="7.125" style="33" customWidth="1"/>
    <col min="1288" max="1288" width="5.625" style="33" customWidth="1"/>
    <col min="1289" max="1289" width="5.125" style="33" customWidth="1"/>
    <col min="1290" max="1290" width="13.875" style="33" customWidth="1"/>
    <col min="1291" max="1291" width="9.375" style="33" customWidth="1"/>
    <col min="1292" max="1292" width="13.875" style="33" customWidth="1"/>
    <col min="1293" max="1293" width="11" style="33" customWidth="1"/>
    <col min="1294" max="1294" width="6.75" style="33" customWidth="1"/>
    <col min="1295" max="1295" width="4.375" style="33" customWidth="1"/>
    <col min="1296" max="1296" width="4.125" style="33" customWidth="1"/>
    <col min="1297" max="1297" width="3.25" style="33" customWidth="1"/>
    <col min="1298" max="1298" width="5.75" style="33" customWidth="1"/>
    <col min="1299" max="1299" width="2.75" style="33" customWidth="1"/>
    <col min="1300" max="1300" width="5.75" style="33" customWidth="1"/>
    <col min="1301" max="1301" width="8.875" style="33" customWidth="1"/>
    <col min="1302" max="1302" width="2.25" style="33" customWidth="1"/>
    <col min="1303" max="1303" width="6.625" style="33" customWidth="1"/>
    <col min="1304" max="1537" width="8.75" style="33" customWidth="1"/>
    <col min="1538" max="1538" width="4" style="33" customWidth="1"/>
    <col min="1539" max="1539" width="3.75" style="33" customWidth="1"/>
    <col min="1540" max="1540" width="4.375" style="33" customWidth="1"/>
    <col min="1541" max="1541" width="8.625" style="33" customWidth="1"/>
    <col min="1542" max="1542" width="2.25" style="33" customWidth="1"/>
    <col min="1543" max="1543" width="7.125" style="33" customWidth="1"/>
    <col min="1544" max="1544" width="5.625" style="33" customWidth="1"/>
    <col min="1545" max="1545" width="5.125" style="33" customWidth="1"/>
    <col min="1546" max="1546" width="13.875" style="33" customWidth="1"/>
    <col min="1547" max="1547" width="9.375" style="33" customWidth="1"/>
    <col min="1548" max="1548" width="13.875" style="33" customWidth="1"/>
    <col min="1549" max="1549" width="11" style="33" customWidth="1"/>
    <col min="1550" max="1550" width="6.75" style="33" customWidth="1"/>
    <col min="1551" max="1551" width="4.375" style="33" customWidth="1"/>
    <col min="1552" max="1552" width="4.125" style="33" customWidth="1"/>
    <col min="1553" max="1553" width="3.25" style="33" customWidth="1"/>
    <col min="1554" max="1554" width="5.75" style="33" customWidth="1"/>
    <col min="1555" max="1555" width="2.75" style="33" customWidth="1"/>
    <col min="1556" max="1556" width="5.75" style="33" customWidth="1"/>
    <col min="1557" max="1557" width="8.875" style="33" customWidth="1"/>
    <col min="1558" max="1558" width="2.25" style="33" customWidth="1"/>
    <col min="1559" max="1559" width="6.625" style="33" customWidth="1"/>
    <col min="1560" max="1793" width="8.75" style="33" customWidth="1"/>
    <col min="1794" max="1794" width="4" style="33" customWidth="1"/>
    <col min="1795" max="1795" width="3.75" style="33" customWidth="1"/>
    <col min="1796" max="1796" width="4.375" style="33" customWidth="1"/>
    <col min="1797" max="1797" width="8.625" style="33" customWidth="1"/>
    <col min="1798" max="1798" width="2.25" style="33" customWidth="1"/>
    <col min="1799" max="1799" width="7.125" style="33" customWidth="1"/>
    <col min="1800" max="1800" width="5.625" style="33" customWidth="1"/>
    <col min="1801" max="1801" width="5.125" style="33" customWidth="1"/>
    <col min="1802" max="1802" width="13.875" style="33" customWidth="1"/>
    <col min="1803" max="1803" width="9.375" style="33" customWidth="1"/>
    <col min="1804" max="1804" width="13.875" style="33" customWidth="1"/>
    <col min="1805" max="1805" width="11" style="33" customWidth="1"/>
    <col min="1806" max="1806" width="6.75" style="33" customWidth="1"/>
    <col min="1807" max="1807" width="4.375" style="33" customWidth="1"/>
    <col min="1808" max="1808" width="4.125" style="33" customWidth="1"/>
    <col min="1809" max="1809" width="3.25" style="33" customWidth="1"/>
    <col min="1810" max="1810" width="5.75" style="33" customWidth="1"/>
    <col min="1811" max="1811" width="2.75" style="33" customWidth="1"/>
    <col min="1812" max="1812" width="5.75" style="33" customWidth="1"/>
    <col min="1813" max="1813" width="8.875" style="33" customWidth="1"/>
    <col min="1814" max="1814" width="2.25" style="33" customWidth="1"/>
    <col min="1815" max="1815" width="6.625" style="33" customWidth="1"/>
    <col min="1816" max="2049" width="8.75" style="33" customWidth="1"/>
    <col min="2050" max="2050" width="4" style="33" customWidth="1"/>
    <col min="2051" max="2051" width="3.75" style="33" customWidth="1"/>
    <col min="2052" max="2052" width="4.375" style="33" customWidth="1"/>
    <col min="2053" max="2053" width="8.625" style="33" customWidth="1"/>
    <col min="2054" max="2054" width="2.25" style="33" customWidth="1"/>
    <col min="2055" max="2055" width="7.125" style="33" customWidth="1"/>
    <col min="2056" max="2056" width="5.625" style="33" customWidth="1"/>
    <col min="2057" max="2057" width="5.125" style="33" customWidth="1"/>
    <col min="2058" max="2058" width="13.875" style="33" customWidth="1"/>
    <col min="2059" max="2059" width="9.375" style="33" customWidth="1"/>
    <col min="2060" max="2060" width="13.875" style="33" customWidth="1"/>
    <col min="2061" max="2061" width="11" style="33" customWidth="1"/>
    <col min="2062" max="2062" width="6.75" style="33" customWidth="1"/>
    <col min="2063" max="2063" width="4.375" style="33" customWidth="1"/>
    <col min="2064" max="2064" width="4.125" style="33" customWidth="1"/>
    <col min="2065" max="2065" width="3.25" style="33" customWidth="1"/>
    <col min="2066" max="2066" width="5.75" style="33" customWidth="1"/>
    <col min="2067" max="2067" width="2.75" style="33" customWidth="1"/>
    <col min="2068" max="2068" width="5.75" style="33" customWidth="1"/>
    <col min="2069" max="2069" width="8.875" style="33" customWidth="1"/>
    <col min="2070" max="2070" width="2.25" style="33" customWidth="1"/>
    <col min="2071" max="2071" width="6.625" style="33" customWidth="1"/>
    <col min="2072" max="2305" width="8.75" style="33" customWidth="1"/>
    <col min="2306" max="2306" width="4" style="33" customWidth="1"/>
    <col min="2307" max="2307" width="3.75" style="33" customWidth="1"/>
    <col min="2308" max="2308" width="4.375" style="33" customWidth="1"/>
    <col min="2309" max="2309" width="8.625" style="33" customWidth="1"/>
    <col min="2310" max="2310" width="2.25" style="33" customWidth="1"/>
    <col min="2311" max="2311" width="7.125" style="33" customWidth="1"/>
    <col min="2312" max="2312" width="5.625" style="33" customWidth="1"/>
    <col min="2313" max="2313" width="5.125" style="33" customWidth="1"/>
    <col min="2314" max="2314" width="13.875" style="33" customWidth="1"/>
    <col min="2315" max="2315" width="9.375" style="33" customWidth="1"/>
    <col min="2316" max="2316" width="13.875" style="33" customWidth="1"/>
    <col min="2317" max="2317" width="11" style="33" customWidth="1"/>
    <col min="2318" max="2318" width="6.75" style="33" customWidth="1"/>
    <col min="2319" max="2319" width="4.375" style="33" customWidth="1"/>
    <col min="2320" max="2320" width="4.125" style="33" customWidth="1"/>
    <col min="2321" max="2321" width="3.25" style="33" customWidth="1"/>
    <col min="2322" max="2322" width="5.75" style="33" customWidth="1"/>
    <col min="2323" max="2323" width="2.75" style="33" customWidth="1"/>
    <col min="2324" max="2324" width="5.75" style="33" customWidth="1"/>
    <col min="2325" max="2325" width="8.875" style="33" customWidth="1"/>
    <col min="2326" max="2326" width="2.25" style="33" customWidth="1"/>
    <col min="2327" max="2327" width="6.625" style="33" customWidth="1"/>
    <col min="2328" max="2561" width="8.75" style="33" customWidth="1"/>
    <col min="2562" max="2562" width="4" style="33" customWidth="1"/>
    <col min="2563" max="2563" width="3.75" style="33" customWidth="1"/>
    <col min="2564" max="2564" width="4.375" style="33" customWidth="1"/>
    <col min="2565" max="2565" width="8.625" style="33" customWidth="1"/>
    <col min="2566" max="2566" width="2.25" style="33" customWidth="1"/>
    <col min="2567" max="2567" width="7.125" style="33" customWidth="1"/>
    <col min="2568" max="2568" width="5.625" style="33" customWidth="1"/>
    <col min="2569" max="2569" width="5.125" style="33" customWidth="1"/>
    <col min="2570" max="2570" width="13.875" style="33" customWidth="1"/>
    <col min="2571" max="2571" width="9.375" style="33" customWidth="1"/>
    <col min="2572" max="2572" width="13.875" style="33" customWidth="1"/>
    <col min="2573" max="2573" width="11" style="33" customWidth="1"/>
    <col min="2574" max="2574" width="6.75" style="33" customWidth="1"/>
    <col min="2575" max="2575" width="4.375" style="33" customWidth="1"/>
    <col min="2576" max="2576" width="4.125" style="33" customWidth="1"/>
    <col min="2577" max="2577" width="3.25" style="33" customWidth="1"/>
    <col min="2578" max="2578" width="5.75" style="33" customWidth="1"/>
    <col min="2579" max="2579" width="2.75" style="33" customWidth="1"/>
    <col min="2580" max="2580" width="5.75" style="33" customWidth="1"/>
    <col min="2581" max="2581" width="8.875" style="33" customWidth="1"/>
    <col min="2582" max="2582" width="2.25" style="33" customWidth="1"/>
    <col min="2583" max="2583" width="6.625" style="33" customWidth="1"/>
    <col min="2584" max="2817" width="8.75" style="33" customWidth="1"/>
    <col min="2818" max="2818" width="4" style="33" customWidth="1"/>
    <col min="2819" max="2819" width="3.75" style="33" customWidth="1"/>
    <col min="2820" max="2820" width="4.375" style="33" customWidth="1"/>
    <col min="2821" max="2821" width="8.625" style="33" customWidth="1"/>
    <col min="2822" max="2822" width="2.25" style="33" customWidth="1"/>
    <col min="2823" max="2823" width="7.125" style="33" customWidth="1"/>
    <col min="2824" max="2824" width="5.625" style="33" customWidth="1"/>
    <col min="2825" max="2825" width="5.125" style="33" customWidth="1"/>
    <col min="2826" max="2826" width="13.875" style="33" customWidth="1"/>
    <col min="2827" max="2827" width="9.375" style="33" customWidth="1"/>
    <col min="2828" max="2828" width="13.875" style="33" customWidth="1"/>
    <col min="2829" max="2829" width="11" style="33" customWidth="1"/>
    <col min="2830" max="2830" width="6.75" style="33" customWidth="1"/>
    <col min="2831" max="2831" width="4.375" style="33" customWidth="1"/>
    <col min="2832" max="2832" width="4.125" style="33" customWidth="1"/>
    <col min="2833" max="2833" width="3.25" style="33" customWidth="1"/>
    <col min="2834" max="2834" width="5.75" style="33" customWidth="1"/>
    <col min="2835" max="2835" width="2.75" style="33" customWidth="1"/>
    <col min="2836" max="2836" width="5.75" style="33" customWidth="1"/>
    <col min="2837" max="2837" width="8.875" style="33" customWidth="1"/>
    <col min="2838" max="2838" width="2.25" style="33" customWidth="1"/>
    <col min="2839" max="2839" width="6.625" style="33" customWidth="1"/>
    <col min="2840" max="3073" width="8.75" style="33" customWidth="1"/>
    <col min="3074" max="3074" width="4" style="33" customWidth="1"/>
    <col min="3075" max="3075" width="3.75" style="33" customWidth="1"/>
    <col min="3076" max="3076" width="4.375" style="33" customWidth="1"/>
    <col min="3077" max="3077" width="8.625" style="33" customWidth="1"/>
    <col min="3078" max="3078" width="2.25" style="33" customWidth="1"/>
    <col min="3079" max="3079" width="7.125" style="33" customWidth="1"/>
    <col min="3080" max="3080" width="5.625" style="33" customWidth="1"/>
    <col min="3081" max="3081" width="5.125" style="33" customWidth="1"/>
    <col min="3082" max="3082" width="13.875" style="33" customWidth="1"/>
    <col min="3083" max="3083" width="9.375" style="33" customWidth="1"/>
    <col min="3084" max="3084" width="13.875" style="33" customWidth="1"/>
    <col min="3085" max="3085" width="11" style="33" customWidth="1"/>
    <col min="3086" max="3086" width="6.75" style="33" customWidth="1"/>
    <col min="3087" max="3087" width="4.375" style="33" customWidth="1"/>
    <col min="3088" max="3088" width="4.125" style="33" customWidth="1"/>
    <col min="3089" max="3089" width="3.25" style="33" customWidth="1"/>
    <col min="3090" max="3090" width="5.75" style="33" customWidth="1"/>
    <col min="3091" max="3091" width="2.75" style="33" customWidth="1"/>
    <col min="3092" max="3092" width="5.75" style="33" customWidth="1"/>
    <col min="3093" max="3093" width="8.875" style="33" customWidth="1"/>
    <col min="3094" max="3094" width="2.25" style="33" customWidth="1"/>
    <col min="3095" max="3095" width="6.625" style="33" customWidth="1"/>
    <col min="3096" max="3329" width="8.75" style="33" customWidth="1"/>
    <col min="3330" max="3330" width="4" style="33" customWidth="1"/>
    <col min="3331" max="3331" width="3.75" style="33" customWidth="1"/>
    <col min="3332" max="3332" width="4.375" style="33" customWidth="1"/>
    <col min="3333" max="3333" width="8.625" style="33" customWidth="1"/>
    <col min="3334" max="3334" width="2.25" style="33" customWidth="1"/>
    <col min="3335" max="3335" width="7.125" style="33" customWidth="1"/>
    <col min="3336" max="3336" width="5.625" style="33" customWidth="1"/>
    <col min="3337" max="3337" width="5.125" style="33" customWidth="1"/>
    <col min="3338" max="3338" width="13.875" style="33" customWidth="1"/>
    <col min="3339" max="3339" width="9.375" style="33" customWidth="1"/>
    <col min="3340" max="3340" width="13.875" style="33" customWidth="1"/>
    <col min="3341" max="3341" width="11" style="33" customWidth="1"/>
    <col min="3342" max="3342" width="6.75" style="33" customWidth="1"/>
    <col min="3343" max="3343" width="4.375" style="33" customWidth="1"/>
    <col min="3344" max="3344" width="4.125" style="33" customWidth="1"/>
    <col min="3345" max="3345" width="3.25" style="33" customWidth="1"/>
    <col min="3346" max="3346" width="5.75" style="33" customWidth="1"/>
    <col min="3347" max="3347" width="2.75" style="33" customWidth="1"/>
    <col min="3348" max="3348" width="5.75" style="33" customWidth="1"/>
    <col min="3349" max="3349" width="8.875" style="33" customWidth="1"/>
    <col min="3350" max="3350" width="2.25" style="33" customWidth="1"/>
    <col min="3351" max="3351" width="6.625" style="33" customWidth="1"/>
    <col min="3352" max="3585" width="8.75" style="33" customWidth="1"/>
    <col min="3586" max="3586" width="4" style="33" customWidth="1"/>
    <col min="3587" max="3587" width="3.75" style="33" customWidth="1"/>
    <col min="3588" max="3588" width="4.375" style="33" customWidth="1"/>
    <col min="3589" max="3589" width="8.625" style="33" customWidth="1"/>
    <col min="3590" max="3590" width="2.25" style="33" customWidth="1"/>
    <col min="3591" max="3591" width="7.125" style="33" customWidth="1"/>
    <col min="3592" max="3592" width="5.625" style="33" customWidth="1"/>
    <col min="3593" max="3593" width="5.125" style="33" customWidth="1"/>
    <col min="3594" max="3594" width="13.875" style="33" customWidth="1"/>
    <col min="3595" max="3595" width="9.375" style="33" customWidth="1"/>
    <col min="3596" max="3596" width="13.875" style="33" customWidth="1"/>
    <col min="3597" max="3597" width="11" style="33" customWidth="1"/>
    <col min="3598" max="3598" width="6.75" style="33" customWidth="1"/>
    <col min="3599" max="3599" width="4.375" style="33" customWidth="1"/>
    <col min="3600" max="3600" width="4.125" style="33" customWidth="1"/>
    <col min="3601" max="3601" width="3.25" style="33" customWidth="1"/>
    <col min="3602" max="3602" width="5.75" style="33" customWidth="1"/>
    <col min="3603" max="3603" width="2.75" style="33" customWidth="1"/>
    <col min="3604" max="3604" width="5.75" style="33" customWidth="1"/>
    <col min="3605" max="3605" width="8.875" style="33" customWidth="1"/>
    <col min="3606" max="3606" width="2.25" style="33" customWidth="1"/>
    <col min="3607" max="3607" width="6.625" style="33" customWidth="1"/>
    <col min="3608" max="3841" width="8.75" style="33" customWidth="1"/>
    <col min="3842" max="3842" width="4" style="33" customWidth="1"/>
    <col min="3843" max="3843" width="3.75" style="33" customWidth="1"/>
    <col min="3844" max="3844" width="4.375" style="33" customWidth="1"/>
    <col min="3845" max="3845" width="8.625" style="33" customWidth="1"/>
    <col min="3846" max="3846" width="2.25" style="33" customWidth="1"/>
    <col min="3847" max="3847" width="7.125" style="33" customWidth="1"/>
    <col min="3848" max="3848" width="5.625" style="33" customWidth="1"/>
    <col min="3849" max="3849" width="5.125" style="33" customWidth="1"/>
    <col min="3850" max="3850" width="13.875" style="33" customWidth="1"/>
    <col min="3851" max="3851" width="9.375" style="33" customWidth="1"/>
    <col min="3852" max="3852" width="13.875" style="33" customWidth="1"/>
    <col min="3853" max="3853" width="11" style="33" customWidth="1"/>
    <col min="3854" max="3854" width="6.75" style="33" customWidth="1"/>
    <col min="3855" max="3855" width="4.375" style="33" customWidth="1"/>
    <col min="3856" max="3856" width="4.125" style="33" customWidth="1"/>
    <col min="3857" max="3857" width="3.25" style="33" customWidth="1"/>
    <col min="3858" max="3858" width="5.75" style="33" customWidth="1"/>
    <col min="3859" max="3859" width="2.75" style="33" customWidth="1"/>
    <col min="3860" max="3860" width="5.75" style="33" customWidth="1"/>
    <col min="3861" max="3861" width="8.875" style="33" customWidth="1"/>
    <col min="3862" max="3862" width="2.25" style="33" customWidth="1"/>
    <col min="3863" max="3863" width="6.625" style="33" customWidth="1"/>
    <col min="3864" max="4097" width="8.75" style="33" customWidth="1"/>
    <col min="4098" max="4098" width="4" style="33" customWidth="1"/>
    <col min="4099" max="4099" width="3.75" style="33" customWidth="1"/>
    <col min="4100" max="4100" width="4.375" style="33" customWidth="1"/>
    <col min="4101" max="4101" width="8.625" style="33" customWidth="1"/>
    <col min="4102" max="4102" width="2.25" style="33" customWidth="1"/>
    <col min="4103" max="4103" width="7.125" style="33" customWidth="1"/>
    <col min="4104" max="4104" width="5.625" style="33" customWidth="1"/>
    <col min="4105" max="4105" width="5.125" style="33" customWidth="1"/>
    <col min="4106" max="4106" width="13.875" style="33" customWidth="1"/>
    <col min="4107" max="4107" width="9.375" style="33" customWidth="1"/>
    <col min="4108" max="4108" width="13.875" style="33" customWidth="1"/>
    <col min="4109" max="4109" width="11" style="33" customWidth="1"/>
    <col min="4110" max="4110" width="6.75" style="33" customWidth="1"/>
    <col min="4111" max="4111" width="4.375" style="33" customWidth="1"/>
    <col min="4112" max="4112" width="4.125" style="33" customWidth="1"/>
    <col min="4113" max="4113" width="3.25" style="33" customWidth="1"/>
    <col min="4114" max="4114" width="5.75" style="33" customWidth="1"/>
    <col min="4115" max="4115" width="2.75" style="33" customWidth="1"/>
    <col min="4116" max="4116" width="5.75" style="33" customWidth="1"/>
    <col min="4117" max="4117" width="8.875" style="33" customWidth="1"/>
    <col min="4118" max="4118" width="2.25" style="33" customWidth="1"/>
    <col min="4119" max="4119" width="6.625" style="33" customWidth="1"/>
    <col min="4120" max="4353" width="8.75" style="33" customWidth="1"/>
    <col min="4354" max="4354" width="4" style="33" customWidth="1"/>
    <col min="4355" max="4355" width="3.75" style="33" customWidth="1"/>
    <col min="4356" max="4356" width="4.375" style="33" customWidth="1"/>
    <col min="4357" max="4357" width="8.625" style="33" customWidth="1"/>
    <col min="4358" max="4358" width="2.25" style="33" customWidth="1"/>
    <col min="4359" max="4359" width="7.125" style="33" customWidth="1"/>
    <col min="4360" max="4360" width="5.625" style="33" customWidth="1"/>
    <col min="4361" max="4361" width="5.125" style="33" customWidth="1"/>
    <col min="4362" max="4362" width="13.875" style="33" customWidth="1"/>
    <col min="4363" max="4363" width="9.375" style="33" customWidth="1"/>
    <col min="4364" max="4364" width="13.875" style="33" customWidth="1"/>
    <col min="4365" max="4365" width="11" style="33" customWidth="1"/>
    <col min="4366" max="4366" width="6.75" style="33" customWidth="1"/>
    <col min="4367" max="4367" width="4.375" style="33" customWidth="1"/>
    <col min="4368" max="4368" width="4.125" style="33" customWidth="1"/>
    <col min="4369" max="4369" width="3.25" style="33" customWidth="1"/>
    <col min="4370" max="4370" width="5.75" style="33" customWidth="1"/>
    <col min="4371" max="4371" width="2.75" style="33" customWidth="1"/>
    <col min="4372" max="4372" width="5.75" style="33" customWidth="1"/>
    <col min="4373" max="4373" width="8.875" style="33" customWidth="1"/>
    <col min="4374" max="4374" width="2.25" style="33" customWidth="1"/>
    <col min="4375" max="4375" width="6.625" style="33" customWidth="1"/>
    <col min="4376" max="4609" width="8.75" style="33" customWidth="1"/>
    <col min="4610" max="4610" width="4" style="33" customWidth="1"/>
    <col min="4611" max="4611" width="3.75" style="33" customWidth="1"/>
    <col min="4612" max="4612" width="4.375" style="33" customWidth="1"/>
    <col min="4613" max="4613" width="8.625" style="33" customWidth="1"/>
    <col min="4614" max="4614" width="2.25" style="33" customWidth="1"/>
    <col min="4615" max="4615" width="7.125" style="33" customWidth="1"/>
    <col min="4616" max="4616" width="5.625" style="33" customWidth="1"/>
    <col min="4617" max="4617" width="5.125" style="33" customWidth="1"/>
    <col min="4618" max="4618" width="13.875" style="33" customWidth="1"/>
    <col min="4619" max="4619" width="9.375" style="33" customWidth="1"/>
    <col min="4620" max="4620" width="13.875" style="33" customWidth="1"/>
    <col min="4621" max="4621" width="11" style="33" customWidth="1"/>
    <col min="4622" max="4622" width="6.75" style="33" customWidth="1"/>
    <col min="4623" max="4623" width="4.375" style="33" customWidth="1"/>
    <col min="4624" max="4624" width="4.125" style="33" customWidth="1"/>
    <col min="4625" max="4625" width="3.25" style="33" customWidth="1"/>
    <col min="4626" max="4626" width="5.75" style="33" customWidth="1"/>
    <col min="4627" max="4627" width="2.75" style="33" customWidth="1"/>
    <col min="4628" max="4628" width="5.75" style="33" customWidth="1"/>
    <col min="4629" max="4629" width="8.875" style="33" customWidth="1"/>
    <col min="4630" max="4630" width="2.25" style="33" customWidth="1"/>
    <col min="4631" max="4631" width="6.625" style="33" customWidth="1"/>
    <col min="4632" max="4865" width="8.75" style="33" customWidth="1"/>
    <col min="4866" max="4866" width="4" style="33" customWidth="1"/>
    <col min="4867" max="4867" width="3.75" style="33" customWidth="1"/>
    <col min="4868" max="4868" width="4.375" style="33" customWidth="1"/>
    <col min="4869" max="4869" width="8.625" style="33" customWidth="1"/>
    <col min="4870" max="4870" width="2.25" style="33" customWidth="1"/>
    <col min="4871" max="4871" width="7.125" style="33" customWidth="1"/>
    <col min="4872" max="4872" width="5.625" style="33" customWidth="1"/>
    <col min="4873" max="4873" width="5.125" style="33" customWidth="1"/>
    <col min="4874" max="4874" width="13.875" style="33" customWidth="1"/>
    <col min="4875" max="4875" width="9.375" style="33" customWidth="1"/>
    <col min="4876" max="4876" width="13.875" style="33" customWidth="1"/>
    <col min="4877" max="4877" width="11" style="33" customWidth="1"/>
    <col min="4878" max="4878" width="6.75" style="33" customWidth="1"/>
    <col min="4879" max="4879" width="4.375" style="33" customWidth="1"/>
    <col min="4880" max="4880" width="4.125" style="33" customWidth="1"/>
    <col min="4881" max="4881" width="3.25" style="33" customWidth="1"/>
    <col min="4882" max="4882" width="5.75" style="33" customWidth="1"/>
    <col min="4883" max="4883" width="2.75" style="33" customWidth="1"/>
    <col min="4884" max="4884" width="5.75" style="33" customWidth="1"/>
    <col min="4885" max="4885" width="8.875" style="33" customWidth="1"/>
    <col min="4886" max="4886" width="2.25" style="33" customWidth="1"/>
    <col min="4887" max="4887" width="6.625" style="33" customWidth="1"/>
    <col min="4888" max="5121" width="8.75" style="33" customWidth="1"/>
    <col min="5122" max="5122" width="4" style="33" customWidth="1"/>
    <col min="5123" max="5123" width="3.75" style="33" customWidth="1"/>
    <col min="5124" max="5124" width="4.375" style="33" customWidth="1"/>
    <col min="5125" max="5125" width="8.625" style="33" customWidth="1"/>
    <col min="5126" max="5126" width="2.25" style="33" customWidth="1"/>
    <col min="5127" max="5127" width="7.125" style="33" customWidth="1"/>
    <col min="5128" max="5128" width="5.625" style="33" customWidth="1"/>
    <col min="5129" max="5129" width="5.125" style="33" customWidth="1"/>
    <col min="5130" max="5130" width="13.875" style="33" customWidth="1"/>
    <col min="5131" max="5131" width="9.375" style="33" customWidth="1"/>
    <col min="5132" max="5132" width="13.875" style="33" customWidth="1"/>
    <col min="5133" max="5133" width="11" style="33" customWidth="1"/>
    <col min="5134" max="5134" width="6.75" style="33" customWidth="1"/>
    <col min="5135" max="5135" width="4.375" style="33" customWidth="1"/>
    <col min="5136" max="5136" width="4.125" style="33" customWidth="1"/>
    <col min="5137" max="5137" width="3.25" style="33" customWidth="1"/>
    <col min="5138" max="5138" width="5.75" style="33" customWidth="1"/>
    <col min="5139" max="5139" width="2.75" style="33" customWidth="1"/>
    <col min="5140" max="5140" width="5.75" style="33" customWidth="1"/>
    <col min="5141" max="5141" width="8.875" style="33" customWidth="1"/>
    <col min="5142" max="5142" width="2.25" style="33" customWidth="1"/>
    <col min="5143" max="5143" width="6.625" style="33" customWidth="1"/>
    <col min="5144" max="5377" width="8.75" style="33" customWidth="1"/>
    <col min="5378" max="5378" width="4" style="33" customWidth="1"/>
    <col min="5379" max="5379" width="3.75" style="33" customWidth="1"/>
    <col min="5380" max="5380" width="4.375" style="33" customWidth="1"/>
    <col min="5381" max="5381" width="8.625" style="33" customWidth="1"/>
    <col min="5382" max="5382" width="2.25" style="33" customWidth="1"/>
    <col min="5383" max="5383" width="7.125" style="33" customWidth="1"/>
    <col min="5384" max="5384" width="5.625" style="33" customWidth="1"/>
    <col min="5385" max="5385" width="5.125" style="33" customWidth="1"/>
    <col min="5386" max="5386" width="13.875" style="33" customWidth="1"/>
    <col min="5387" max="5387" width="9.375" style="33" customWidth="1"/>
    <col min="5388" max="5388" width="13.875" style="33" customWidth="1"/>
    <col min="5389" max="5389" width="11" style="33" customWidth="1"/>
    <col min="5390" max="5390" width="6.75" style="33" customWidth="1"/>
    <col min="5391" max="5391" width="4.375" style="33" customWidth="1"/>
    <col min="5392" max="5392" width="4.125" style="33" customWidth="1"/>
    <col min="5393" max="5393" width="3.25" style="33" customWidth="1"/>
    <col min="5394" max="5394" width="5.75" style="33" customWidth="1"/>
    <col min="5395" max="5395" width="2.75" style="33" customWidth="1"/>
    <col min="5396" max="5396" width="5.75" style="33" customWidth="1"/>
    <col min="5397" max="5397" width="8.875" style="33" customWidth="1"/>
    <col min="5398" max="5398" width="2.25" style="33" customWidth="1"/>
    <col min="5399" max="5399" width="6.625" style="33" customWidth="1"/>
    <col min="5400" max="5633" width="8.75" style="33" customWidth="1"/>
    <col min="5634" max="5634" width="4" style="33" customWidth="1"/>
    <col min="5635" max="5635" width="3.75" style="33" customWidth="1"/>
    <col min="5636" max="5636" width="4.375" style="33" customWidth="1"/>
    <col min="5637" max="5637" width="8.625" style="33" customWidth="1"/>
    <col min="5638" max="5638" width="2.25" style="33" customWidth="1"/>
    <col min="5639" max="5639" width="7.125" style="33" customWidth="1"/>
    <col min="5640" max="5640" width="5.625" style="33" customWidth="1"/>
    <col min="5641" max="5641" width="5.125" style="33" customWidth="1"/>
    <col min="5642" max="5642" width="13.875" style="33" customWidth="1"/>
    <col min="5643" max="5643" width="9.375" style="33" customWidth="1"/>
    <col min="5644" max="5644" width="13.875" style="33" customWidth="1"/>
    <col min="5645" max="5645" width="11" style="33" customWidth="1"/>
    <col min="5646" max="5646" width="6.75" style="33" customWidth="1"/>
    <col min="5647" max="5647" width="4.375" style="33" customWidth="1"/>
    <col min="5648" max="5648" width="4.125" style="33" customWidth="1"/>
    <col min="5649" max="5649" width="3.25" style="33" customWidth="1"/>
    <col min="5650" max="5650" width="5.75" style="33" customWidth="1"/>
    <col min="5651" max="5651" width="2.75" style="33" customWidth="1"/>
    <col min="5652" max="5652" width="5.75" style="33" customWidth="1"/>
    <col min="5653" max="5653" width="8.875" style="33" customWidth="1"/>
    <col min="5654" max="5654" width="2.25" style="33" customWidth="1"/>
    <col min="5655" max="5655" width="6.625" style="33" customWidth="1"/>
    <col min="5656" max="5889" width="8.75" style="33" customWidth="1"/>
    <col min="5890" max="5890" width="4" style="33" customWidth="1"/>
    <col min="5891" max="5891" width="3.75" style="33" customWidth="1"/>
    <col min="5892" max="5892" width="4.375" style="33" customWidth="1"/>
    <col min="5893" max="5893" width="8.625" style="33" customWidth="1"/>
    <col min="5894" max="5894" width="2.25" style="33" customWidth="1"/>
    <col min="5895" max="5895" width="7.125" style="33" customWidth="1"/>
    <col min="5896" max="5896" width="5.625" style="33" customWidth="1"/>
    <col min="5897" max="5897" width="5.125" style="33" customWidth="1"/>
    <col min="5898" max="5898" width="13.875" style="33" customWidth="1"/>
    <col min="5899" max="5899" width="9.375" style="33" customWidth="1"/>
    <col min="5900" max="5900" width="13.875" style="33" customWidth="1"/>
    <col min="5901" max="5901" width="11" style="33" customWidth="1"/>
    <col min="5902" max="5902" width="6.75" style="33" customWidth="1"/>
    <col min="5903" max="5903" width="4.375" style="33" customWidth="1"/>
    <col min="5904" max="5904" width="4.125" style="33" customWidth="1"/>
    <col min="5905" max="5905" width="3.25" style="33" customWidth="1"/>
    <col min="5906" max="5906" width="5.75" style="33" customWidth="1"/>
    <col min="5907" max="5907" width="2.75" style="33" customWidth="1"/>
    <col min="5908" max="5908" width="5.75" style="33" customWidth="1"/>
    <col min="5909" max="5909" width="8.875" style="33" customWidth="1"/>
    <col min="5910" max="5910" width="2.25" style="33" customWidth="1"/>
    <col min="5911" max="5911" width="6.625" style="33" customWidth="1"/>
    <col min="5912" max="6145" width="8.75" style="33" customWidth="1"/>
    <col min="6146" max="6146" width="4" style="33" customWidth="1"/>
    <col min="6147" max="6147" width="3.75" style="33" customWidth="1"/>
    <col min="6148" max="6148" width="4.375" style="33" customWidth="1"/>
    <col min="6149" max="6149" width="8.625" style="33" customWidth="1"/>
    <col min="6150" max="6150" width="2.25" style="33" customWidth="1"/>
    <col min="6151" max="6151" width="7.125" style="33" customWidth="1"/>
    <col min="6152" max="6152" width="5.625" style="33" customWidth="1"/>
    <col min="6153" max="6153" width="5.125" style="33" customWidth="1"/>
    <col min="6154" max="6154" width="13.875" style="33" customWidth="1"/>
    <col min="6155" max="6155" width="9.375" style="33" customWidth="1"/>
    <col min="6156" max="6156" width="13.875" style="33" customWidth="1"/>
    <col min="6157" max="6157" width="11" style="33" customWidth="1"/>
    <col min="6158" max="6158" width="6.75" style="33" customWidth="1"/>
    <col min="6159" max="6159" width="4.375" style="33" customWidth="1"/>
    <col min="6160" max="6160" width="4.125" style="33" customWidth="1"/>
    <col min="6161" max="6161" width="3.25" style="33" customWidth="1"/>
    <col min="6162" max="6162" width="5.75" style="33" customWidth="1"/>
    <col min="6163" max="6163" width="2.75" style="33" customWidth="1"/>
    <col min="6164" max="6164" width="5.75" style="33" customWidth="1"/>
    <col min="6165" max="6165" width="8.875" style="33" customWidth="1"/>
    <col min="6166" max="6166" width="2.25" style="33" customWidth="1"/>
    <col min="6167" max="6167" width="6.625" style="33" customWidth="1"/>
    <col min="6168" max="6401" width="8.75" style="33" customWidth="1"/>
    <col min="6402" max="6402" width="4" style="33" customWidth="1"/>
    <col min="6403" max="6403" width="3.75" style="33" customWidth="1"/>
    <col min="6404" max="6404" width="4.375" style="33" customWidth="1"/>
    <col min="6405" max="6405" width="8.625" style="33" customWidth="1"/>
    <col min="6406" max="6406" width="2.25" style="33" customWidth="1"/>
    <col min="6407" max="6407" width="7.125" style="33" customWidth="1"/>
    <col min="6408" max="6408" width="5.625" style="33" customWidth="1"/>
    <col min="6409" max="6409" width="5.125" style="33" customWidth="1"/>
    <col min="6410" max="6410" width="13.875" style="33" customWidth="1"/>
    <col min="6411" max="6411" width="9.375" style="33" customWidth="1"/>
    <col min="6412" max="6412" width="13.875" style="33" customWidth="1"/>
    <col min="6413" max="6413" width="11" style="33" customWidth="1"/>
    <col min="6414" max="6414" width="6.75" style="33" customWidth="1"/>
    <col min="6415" max="6415" width="4.375" style="33" customWidth="1"/>
    <col min="6416" max="6416" width="4.125" style="33" customWidth="1"/>
    <col min="6417" max="6417" width="3.25" style="33" customWidth="1"/>
    <col min="6418" max="6418" width="5.75" style="33" customWidth="1"/>
    <col min="6419" max="6419" width="2.75" style="33" customWidth="1"/>
    <col min="6420" max="6420" width="5.75" style="33" customWidth="1"/>
    <col min="6421" max="6421" width="8.875" style="33" customWidth="1"/>
    <col min="6422" max="6422" width="2.25" style="33" customWidth="1"/>
    <col min="6423" max="6423" width="6.625" style="33" customWidth="1"/>
    <col min="6424" max="6657" width="8.75" style="33" customWidth="1"/>
    <col min="6658" max="6658" width="4" style="33" customWidth="1"/>
    <col min="6659" max="6659" width="3.75" style="33" customWidth="1"/>
    <col min="6660" max="6660" width="4.375" style="33" customWidth="1"/>
    <col min="6661" max="6661" width="8.625" style="33" customWidth="1"/>
    <col min="6662" max="6662" width="2.25" style="33" customWidth="1"/>
    <col min="6663" max="6663" width="7.125" style="33" customWidth="1"/>
    <col min="6664" max="6664" width="5.625" style="33" customWidth="1"/>
    <col min="6665" max="6665" width="5.125" style="33" customWidth="1"/>
    <col min="6666" max="6666" width="13.875" style="33" customWidth="1"/>
    <col min="6667" max="6667" width="9.375" style="33" customWidth="1"/>
    <col min="6668" max="6668" width="13.875" style="33" customWidth="1"/>
    <col min="6669" max="6669" width="11" style="33" customWidth="1"/>
    <col min="6670" max="6670" width="6.75" style="33" customWidth="1"/>
    <col min="6671" max="6671" width="4.375" style="33" customWidth="1"/>
    <col min="6672" max="6672" width="4.125" style="33" customWidth="1"/>
    <col min="6673" max="6673" width="3.25" style="33" customWidth="1"/>
    <col min="6674" max="6674" width="5.75" style="33" customWidth="1"/>
    <col min="6675" max="6675" width="2.75" style="33" customWidth="1"/>
    <col min="6676" max="6676" width="5.75" style="33" customWidth="1"/>
    <col min="6677" max="6677" width="8.875" style="33" customWidth="1"/>
    <col min="6678" max="6678" width="2.25" style="33" customWidth="1"/>
    <col min="6679" max="6679" width="6.625" style="33" customWidth="1"/>
    <col min="6680" max="6913" width="8.75" style="33" customWidth="1"/>
    <col min="6914" max="6914" width="4" style="33" customWidth="1"/>
    <col min="6915" max="6915" width="3.75" style="33" customWidth="1"/>
    <col min="6916" max="6916" width="4.375" style="33" customWidth="1"/>
    <col min="6917" max="6917" width="8.625" style="33" customWidth="1"/>
    <col min="6918" max="6918" width="2.25" style="33" customWidth="1"/>
    <col min="6919" max="6919" width="7.125" style="33" customWidth="1"/>
    <col min="6920" max="6920" width="5.625" style="33" customWidth="1"/>
    <col min="6921" max="6921" width="5.125" style="33" customWidth="1"/>
    <col min="6922" max="6922" width="13.875" style="33" customWidth="1"/>
    <col min="6923" max="6923" width="9.375" style="33" customWidth="1"/>
    <col min="6924" max="6924" width="13.875" style="33" customWidth="1"/>
    <col min="6925" max="6925" width="11" style="33" customWidth="1"/>
    <col min="6926" max="6926" width="6.75" style="33" customWidth="1"/>
    <col min="6927" max="6927" width="4.375" style="33" customWidth="1"/>
    <col min="6928" max="6928" width="4.125" style="33" customWidth="1"/>
    <col min="6929" max="6929" width="3.25" style="33" customWidth="1"/>
    <col min="6930" max="6930" width="5.75" style="33" customWidth="1"/>
    <col min="6931" max="6931" width="2.75" style="33" customWidth="1"/>
    <col min="6932" max="6932" width="5.75" style="33" customWidth="1"/>
    <col min="6933" max="6933" width="8.875" style="33" customWidth="1"/>
    <col min="6934" max="6934" width="2.25" style="33" customWidth="1"/>
    <col min="6935" max="6935" width="6.625" style="33" customWidth="1"/>
    <col min="6936" max="7169" width="8.75" style="33" customWidth="1"/>
    <col min="7170" max="7170" width="4" style="33" customWidth="1"/>
    <col min="7171" max="7171" width="3.75" style="33" customWidth="1"/>
    <col min="7172" max="7172" width="4.375" style="33" customWidth="1"/>
    <col min="7173" max="7173" width="8.625" style="33" customWidth="1"/>
    <col min="7174" max="7174" width="2.25" style="33" customWidth="1"/>
    <col min="7175" max="7175" width="7.125" style="33" customWidth="1"/>
    <col min="7176" max="7176" width="5.625" style="33" customWidth="1"/>
    <col min="7177" max="7177" width="5.125" style="33" customWidth="1"/>
    <col min="7178" max="7178" width="13.875" style="33" customWidth="1"/>
    <col min="7179" max="7179" width="9.375" style="33" customWidth="1"/>
    <col min="7180" max="7180" width="13.875" style="33" customWidth="1"/>
    <col min="7181" max="7181" width="11" style="33" customWidth="1"/>
    <col min="7182" max="7182" width="6.75" style="33" customWidth="1"/>
    <col min="7183" max="7183" width="4.375" style="33" customWidth="1"/>
    <col min="7184" max="7184" width="4.125" style="33" customWidth="1"/>
    <col min="7185" max="7185" width="3.25" style="33" customWidth="1"/>
    <col min="7186" max="7186" width="5.75" style="33" customWidth="1"/>
    <col min="7187" max="7187" width="2.75" style="33" customWidth="1"/>
    <col min="7188" max="7188" width="5.75" style="33" customWidth="1"/>
    <col min="7189" max="7189" width="8.875" style="33" customWidth="1"/>
    <col min="7190" max="7190" width="2.25" style="33" customWidth="1"/>
    <col min="7191" max="7191" width="6.625" style="33" customWidth="1"/>
    <col min="7192" max="7425" width="8.75" style="33" customWidth="1"/>
    <col min="7426" max="7426" width="4" style="33" customWidth="1"/>
    <col min="7427" max="7427" width="3.75" style="33" customWidth="1"/>
    <col min="7428" max="7428" width="4.375" style="33" customWidth="1"/>
    <col min="7429" max="7429" width="8.625" style="33" customWidth="1"/>
    <col min="7430" max="7430" width="2.25" style="33" customWidth="1"/>
    <col min="7431" max="7431" width="7.125" style="33" customWidth="1"/>
    <col min="7432" max="7432" width="5.625" style="33" customWidth="1"/>
    <col min="7433" max="7433" width="5.125" style="33" customWidth="1"/>
    <col min="7434" max="7434" width="13.875" style="33" customWidth="1"/>
    <col min="7435" max="7435" width="9.375" style="33" customWidth="1"/>
    <col min="7436" max="7436" width="13.875" style="33" customWidth="1"/>
    <col min="7437" max="7437" width="11" style="33" customWidth="1"/>
    <col min="7438" max="7438" width="6.75" style="33" customWidth="1"/>
    <col min="7439" max="7439" width="4.375" style="33" customWidth="1"/>
    <col min="7440" max="7440" width="4.125" style="33" customWidth="1"/>
    <col min="7441" max="7441" width="3.25" style="33" customWidth="1"/>
    <col min="7442" max="7442" width="5.75" style="33" customWidth="1"/>
    <col min="7443" max="7443" width="2.75" style="33" customWidth="1"/>
    <col min="7444" max="7444" width="5.75" style="33" customWidth="1"/>
    <col min="7445" max="7445" width="8.875" style="33" customWidth="1"/>
    <col min="7446" max="7446" width="2.25" style="33" customWidth="1"/>
    <col min="7447" max="7447" width="6.625" style="33" customWidth="1"/>
    <col min="7448" max="7681" width="8.75" style="33" customWidth="1"/>
    <col min="7682" max="7682" width="4" style="33" customWidth="1"/>
    <col min="7683" max="7683" width="3.75" style="33" customWidth="1"/>
    <col min="7684" max="7684" width="4.375" style="33" customWidth="1"/>
    <col min="7685" max="7685" width="8.625" style="33" customWidth="1"/>
    <col min="7686" max="7686" width="2.25" style="33" customWidth="1"/>
    <col min="7687" max="7687" width="7.125" style="33" customWidth="1"/>
    <col min="7688" max="7688" width="5.625" style="33" customWidth="1"/>
    <col min="7689" max="7689" width="5.125" style="33" customWidth="1"/>
    <col min="7690" max="7690" width="13.875" style="33" customWidth="1"/>
    <col min="7691" max="7691" width="9.375" style="33" customWidth="1"/>
    <col min="7692" max="7692" width="13.875" style="33" customWidth="1"/>
    <col min="7693" max="7693" width="11" style="33" customWidth="1"/>
    <col min="7694" max="7694" width="6.75" style="33" customWidth="1"/>
    <col min="7695" max="7695" width="4.375" style="33" customWidth="1"/>
    <col min="7696" max="7696" width="4.125" style="33" customWidth="1"/>
    <col min="7697" max="7697" width="3.25" style="33" customWidth="1"/>
    <col min="7698" max="7698" width="5.75" style="33" customWidth="1"/>
    <col min="7699" max="7699" width="2.75" style="33" customWidth="1"/>
    <col min="7700" max="7700" width="5.75" style="33" customWidth="1"/>
    <col min="7701" max="7701" width="8.875" style="33" customWidth="1"/>
    <col min="7702" max="7702" width="2.25" style="33" customWidth="1"/>
    <col min="7703" max="7703" width="6.625" style="33" customWidth="1"/>
    <col min="7704" max="7937" width="8.75" style="33" customWidth="1"/>
    <col min="7938" max="7938" width="4" style="33" customWidth="1"/>
    <col min="7939" max="7939" width="3.75" style="33" customWidth="1"/>
    <col min="7940" max="7940" width="4.375" style="33" customWidth="1"/>
    <col min="7941" max="7941" width="8.625" style="33" customWidth="1"/>
    <col min="7942" max="7942" width="2.25" style="33" customWidth="1"/>
    <col min="7943" max="7943" width="7.125" style="33" customWidth="1"/>
    <col min="7944" max="7944" width="5.625" style="33" customWidth="1"/>
    <col min="7945" max="7945" width="5.125" style="33" customWidth="1"/>
    <col min="7946" max="7946" width="13.875" style="33" customWidth="1"/>
    <col min="7947" max="7947" width="9.375" style="33" customWidth="1"/>
    <col min="7948" max="7948" width="13.875" style="33" customWidth="1"/>
    <col min="7949" max="7949" width="11" style="33" customWidth="1"/>
    <col min="7950" max="7950" width="6.75" style="33" customWidth="1"/>
    <col min="7951" max="7951" width="4.375" style="33" customWidth="1"/>
    <col min="7952" max="7952" width="4.125" style="33" customWidth="1"/>
    <col min="7953" max="7953" width="3.25" style="33" customWidth="1"/>
    <col min="7954" max="7954" width="5.75" style="33" customWidth="1"/>
    <col min="7955" max="7955" width="2.75" style="33" customWidth="1"/>
    <col min="7956" max="7956" width="5.75" style="33" customWidth="1"/>
    <col min="7957" max="7957" width="8.875" style="33" customWidth="1"/>
    <col min="7958" max="7958" width="2.25" style="33" customWidth="1"/>
    <col min="7959" max="7959" width="6.625" style="33" customWidth="1"/>
    <col min="7960" max="8193" width="8.75" style="33" customWidth="1"/>
    <col min="8194" max="8194" width="4" style="33" customWidth="1"/>
    <col min="8195" max="8195" width="3.75" style="33" customWidth="1"/>
    <col min="8196" max="8196" width="4.375" style="33" customWidth="1"/>
    <col min="8197" max="8197" width="8.625" style="33" customWidth="1"/>
    <col min="8198" max="8198" width="2.25" style="33" customWidth="1"/>
    <col min="8199" max="8199" width="7.125" style="33" customWidth="1"/>
    <col min="8200" max="8200" width="5.625" style="33" customWidth="1"/>
    <col min="8201" max="8201" width="5.125" style="33" customWidth="1"/>
    <col min="8202" max="8202" width="13.875" style="33" customWidth="1"/>
    <col min="8203" max="8203" width="9.375" style="33" customWidth="1"/>
    <col min="8204" max="8204" width="13.875" style="33" customWidth="1"/>
    <col min="8205" max="8205" width="11" style="33" customWidth="1"/>
    <col min="8206" max="8206" width="6.75" style="33" customWidth="1"/>
    <col min="8207" max="8207" width="4.375" style="33" customWidth="1"/>
    <col min="8208" max="8208" width="4.125" style="33" customWidth="1"/>
    <col min="8209" max="8209" width="3.25" style="33" customWidth="1"/>
    <col min="8210" max="8210" width="5.75" style="33" customWidth="1"/>
    <col min="8211" max="8211" width="2.75" style="33" customWidth="1"/>
    <col min="8212" max="8212" width="5.75" style="33" customWidth="1"/>
    <col min="8213" max="8213" width="8.875" style="33" customWidth="1"/>
    <col min="8214" max="8214" width="2.25" style="33" customWidth="1"/>
    <col min="8215" max="8215" width="6.625" style="33" customWidth="1"/>
    <col min="8216" max="8449" width="8.75" style="33" customWidth="1"/>
    <col min="8450" max="8450" width="4" style="33" customWidth="1"/>
    <col min="8451" max="8451" width="3.75" style="33" customWidth="1"/>
    <col min="8452" max="8452" width="4.375" style="33" customWidth="1"/>
    <col min="8453" max="8453" width="8.625" style="33" customWidth="1"/>
    <col min="8454" max="8454" width="2.25" style="33" customWidth="1"/>
    <col min="8455" max="8455" width="7.125" style="33" customWidth="1"/>
    <col min="8456" max="8456" width="5.625" style="33" customWidth="1"/>
    <col min="8457" max="8457" width="5.125" style="33" customWidth="1"/>
    <col min="8458" max="8458" width="13.875" style="33" customWidth="1"/>
    <col min="8459" max="8459" width="9.375" style="33" customWidth="1"/>
    <col min="8460" max="8460" width="13.875" style="33" customWidth="1"/>
    <col min="8461" max="8461" width="11" style="33" customWidth="1"/>
    <col min="8462" max="8462" width="6.75" style="33" customWidth="1"/>
    <col min="8463" max="8463" width="4.375" style="33" customWidth="1"/>
    <col min="8464" max="8464" width="4.125" style="33" customWidth="1"/>
    <col min="8465" max="8465" width="3.25" style="33" customWidth="1"/>
    <col min="8466" max="8466" width="5.75" style="33" customWidth="1"/>
    <col min="8467" max="8467" width="2.75" style="33" customWidth="1"/>
    <col min="8468" max="8468" width="5.75" style="33" customWidth="1"/>
    <col min="8469" max="8469" width="8.875" style="33" customWidth="1"/>
    <col min="8470" max="8470" width="2.25" style="33" customWidth="1"/>
    <col min="8471" max="8471" width="6.625" style="33" customWidth="1"/>
    <col min="8472" max="8705" width="8.75" style="33" customWidth="1"/>
    <col min="8706" max="8706" width="4" style="33" customWidth="1"/>
    <col min="8707" max="8707" width="3.75" style="33" customWidth="1"/>
    <col min="8708" max="8708" width="4.375" style="33" customWidth="1"/>
    <col min="8709" max="8709" width="8.625" style="33" customWidth="1"/>
    <col min="8710" max="8710" width="2.25" style="33" customWidth="1"/>
    <col min="8711" max="8711" width="7.125" style="33" customWidth="1"/>
    <col min="8712" max="8712" width="5.625" style="33" customWidth="1"/>
    <col min="8713" max="8713" width="5.125" style="33" customWidth="1"/>
    <col min="8714" max="8714" width="13.875" style="33" customWidth="1"/>
    <col min="8715" max="8715" width="9.375" style="33" customWidth="1"/>
    <col min="8716" max="8716" width="13.875" style="33" customWidth="1"/>
    <col min="8717" max="8717" width="11" style="33" customWidth="1"/>
    <col min="8718" max="8718" width="6.75" style="33" customWidth="1"/>
    <col min="8719" max="8719" width="4.375" style="33" customWidth="1"/>
    <col min="8720" max="8720" width="4.125" style="33" customWidth="1"/>
    <col min="8721" max="8721" width="3.25" style="33" customWidth="1"/>
    <col min="8722" max="8722" width="5.75" style="33" customWidth="1"/>
    <col min="8723" max="8723" width="2.75" style="33" customWidth="1"/>
    <col min="8724" max="8724" width="5.75" style="33" customWidth="1"/>
    <col min="8725" max="8725" width="8.875" style="33" customWidth="1"/>
    <col min="8726" max="8726" width="2.25" style="33" customWidth="1"/>
    <col min="8727" max="8727" width="6.625" style="33" customWidth="1"/>
    <col min="8728" max="8961" width="8.75" style="33" customWidth="1"/>
    <col min="8962" max="8962" width="4" style="33" customWidth="1"/>
    <col min="8963" max="8963" width="3.75" style="33" customWidth="1"/>
    <col min="8964" max="8964" width="4.375" style="33" customWidth="1"/>
    <col min="8965" max="8965" width="8.625" style="33" customWidth="1"/>
    <col min="8966" max="8966" width="2.25" style="33" customWidth="1"/>
    <col min="8967" max="8967" width="7.125" style="33" customWidth="1"/>
    <col min="8968" max="8968" width="5.625" style="33" customWidth="1"/>
    <col min="8969" max="8969" width="5.125" style="33" customWidth="1"/>
    <col min="8970" max="8970" width="13.875" style="33" customWidth="1"/>
    <col min="8971" max="8971" width="9.375" style="33" customWidth="1"/>
    <col min="8972" max="8972" width="13.875" style="33" customWidth="1"/>
    <col min="8973" max="8973" width="11" style="33" customWidth="1"/>
    <col min="8974" max="8974" width="6.75" style="33" customWidth="1"/>
    <col min="8975" max="8975" width="4.375" style="33" customWidth="1"/>
    <col min="8976" max="8976" width="4.125" style="33" customWidth="1"/>
    <col min="8977" max="8977" width="3.25" style="33" customWidth="1"/>
    <col min="8978" max="8978" width="5.75" style="33" customWidth="1"/>
    <col min="8979" max="8979" width="2.75" style="33" customWidth="1"/>
    <col min="8980" max="8980" width="5.75" style="33" customWidth="1"/>
    <col min="8981" max="8981" width="8.875" style="33" customWidth="1"/>
    <col min="8982" max="8982" width="2.25" style="33" customWidth="1"/>
    <col min="8983" max="8983" width="6.625" style="33" customWidth="1"/>
    <col min="8984" max="9217" width="8.75" style="33" customWidth="1"/>
    <col min="9218" max="9218" width="4" style="33" customWidth="1"/>
    <col min="9219" max="9219" width="3.75" style="33" customWidth="1"/>
    <col min="9220" max="9220" width="4.375" style="33" customWidth="1"/>
    <col min="9221" max="9221" width="8.625" style="33" customWidth="1"/>
    <col min="9222" max="9222" width="2.25" style="33" customWidth="1"/>
    <col min="9223" max="9223" width="7.125" style="33" customWidth="1"/>
    <col min="9224" max="9224" width="5.625" style="33" customWidth="1"/>
    <col min="9225" max="9225" width="5.125" style="33" customWidth="1"/>
    <col min="9226" max="9226" width="13.875" style="33" customWidth="1"/>
    <col min="9227" max="9227" width="9.375" style="33" customWidth="1"/>
    <col min="9228" max="9228" width="13.875" style="33" customWidth="1"/>
    <col min="9229" max="9229" width="11" style="33" customWidth="1"/>
    <col min="9230" max="9230" width="6.75" style="33" customWidth="1"/>
    <col min="9231" max="9231" width="4.375" style="33" customWidth="1"/>
    <col min="9232" max="9232" width="4.125" style="33" customWidth="1"/>
    <col min="9233" max="9233" width="3.25" style="33" customWidth="1"/>
    <col min="9234" max="9234" width="5.75" style="33" customWidth="1"/>
    <col min="9235" max="9235" width="2.75" style="33" customWidth="1"/>
    <col min="9236" max="9236" width="5.75" style="33" customWidth="1"/>
    <col min="9237" max="9237" width="8.875" style="33" customWidth="1"/>
    <col min="9238" max="9238" width="2.25" style="33" customWidth="1"/>
    <col min="9239" max="9239" width="6.625" style="33" customWidth="1"/>
    <col min="9240" max="9473" width="8.75" style="33" customWidth="1"/>
    <col min="9474" max="9474" width="4" style="33" customWidth="1"/>
    <col min="9475" max="9475" width="3.75" style="33" customWidth="1"/>
    <col min="9476" max="9476" width="4.375" style="33" customWidth="1"/>
    <col min="9477" max="9477" width="8.625" style="33" customWidth="1"/>
    <col min="9478" max="9478" width="2.25" style="33" customWidth="1"/>
    <col min="9479" max="9479" width="7.125" style="33" customWidth="1"/>
    <col min="9480" max="9480" width="5.625" style="33" customWidth="1"/>
    <col min="9481" max="9481" width="5.125" style="33" customWidth="1"/>
    <col min="9482" max="9482" width="13.875" style="33" customWidth="1"/>
    <col min="9483" max="9483" width="9.375" style="33" customWidth="1"/>
    <col min="9484" max="9484" width="13.875" style="33" customWidth="1"/>
    <col min="9485" max="9485" width="11" style="33" customWidth="1"/>
    <col min="9486" max="9486" width="6.75" style="33" customWidth="1"/>
    <col min="9487" max="9487" width="4.375" style="33" customWidth="1"/>
    <col min="9488" max="9488" width="4.125" style="33" customWidth="1"/>
    <col min="9489" max="9489" width="3.25" style="33" customWidth="1"/>
    <col min="9490" max="9490" width="5.75" style="33" customWidth="1"/>
    <col min="9491" max="9491" width="2.75" style="33" customWidth="1"/>
    <col min="9492" max="9492" width="5.75" style="33" customWidth="1"/>
    <col min="9493" max="9493" width="8.875" style="33" customWidth="1"/>
    <col min="9494" max="9494" width="2.25" style="33" customWidth="1"/>
    <col min="9495" max="9495" width="6.625" style="33" customWidth="1"/>
    <col min="9496" max="9729" width="8.75" style="33" customWidth="1"/>
    <col min="9730" max="9730" width="4" style="33" customWidth="1"/>
    <col min="9731" max="9731" width="3.75" style="33" customWidth="1"/>
    <col min="9732" max="9732" width="4.375" style="33" customWidth="1"/>
    <col min="9733" max="9733" width="8.625" style="33" customWidth="1"/>
    <col min="9734" max="9734" width="2.25" style="33" customWidth="1"/>
    <col min="9735" max="9735" width="7.125" style="33" customWidth="1"/>
    <col min="9736" max="9736" width="5.625" style="33" customWidth="1"/>
    <col min="9737" max="9737" width="5.125" style="33" customWidth="1"/>
    <col min="9738" max="9738" width="13.875" style="33" customWidth="1"/>
    <col min="9739" max="9739" width="9.375" style="33" customWidth="1"/>
    <col min="9740" max="9740" width="13.875" style="33" customWidth="1"/>
    <col min="9741" max="9741" width="11" style="33" customWidth="1"/>
    <col min="9742" max="9742" width="6.75" style="33" customWidth="1"/>
    <col min="9743" max="9743" width="4.375" style="33" customWidth="1"/>
    <col min="9744" max="9744" width="4.125" style="33" customWidth="1"/>
    <col min="9745" max="9745" width="3.25" style="33" customWidth="1"/>
    <col min="9746" max="9746" width="5.75" style="33" customWidth="1"/>
    <col min="9747" max="9747" width="2.75" style="33" customWidth="1"/>
    <col min="9748" max="9748" width="5.75" style="33" customWidth="1"/>
    <col min="9749" max="9749" width="8.875" style="33" customWidth="1"/>
    <col min="9750" max="9750" width="2.25" style="33" customWidth="1"/>
    <col min="9751" max="9751" width="6.625" style="33" customWidth="1"/>
    <col min="9752" max="9985" width="8.75" style="33" customWidth="1"/>
    <col min="9986" max="9986" width="4" style="33" customWidth="1"/>
    <col min="9987" max="9987" width="3.75" style="33" customWidth="1"/>
    <col min="9988" max="9988" width="4.375" style="33" customWidth="1"/>
    <col min="9989" max="9989" width="8.625" style="33" customWidth="1"/>
    <col min="9990" max="9990" width="2.25" style="33" customWidth="1"/>
    <col min="9991" max="9991" width="7.125" style="33" customWidth="1"/>
    <col min="9992" max="9992" width="5.625" style="33" customWidth="1"/>
    <col min="9993" max="9993" width="5.125" style="33" customWidth="1"/>
    <col min="9994" max="9994" width="13.875" style="33" customWidth="1"/>
    <col min="9995" max="9995" width="9.375" style="33" customWidth="1"/>
    <col min="9996" max="9996" width="13.875" style="33" customWidth="1"/>
    <col min="9997" max="9997" width="11" style="33" customWidth="1"/>
    <col min="9998" max="9998" width="6.75" style="33" customWidth="1"/>
    <col min="9999" max="9999" width="4.375" style="33" customWidth="1"/>
    <col min="10000" max="10000" width="4.125" style="33" customWidth="1"/>
    <col min="10001" max="10001" width="3.25" style="33" customWidth="1"/>
    <col min="10002" max="10002" width="5.75" style="33" customWidth="1"/>
    <col min="10003" max="10003" width="2.75" style="33" customWidth="1"/>
    <col min="10004" max="10004" width="5.75" style="33" customWidth="1"/>
    <col min="10005" max="10005" width="8.875" style="33" customWidth="1"/>
    <col min="10006" max="10006" width="2.25" style="33" customWidth="1"/>
    <col min="10007" max="10007" width="6.625" style="33" customWidth="1"/>
    <col min="10008" max="10241" width="8.75" style="33" customWidth="1"/>
    <col min="10242" max="10242" width="4" style="33" customWidth="1"/>
    <col min="10243" max="10243" width="3.75" style="33" customWidth="1"/>
    <col min="10244" max="10244" width="4.375" style="33" customWidth="1"/>
    <col min="10245" max="10245" width="8.625" style="33" customWidth="1"/>
    <col min="10246" max="10246" width="2.25" style="33" customWidth="1"/>
    <col min="10247" max="10247" width="7.125" style="33" customWidth="1"/>
    <col min="10248" max="10248" width="5.625" style="33" customWidth="1"/>
    <col min="10249" max="10249" width="5.125" style="33" customWidth="1"/>
    <col min="10250" max="10250" width="13.875" style="33" customWidth="1"/>
    <col min="10251" max="10251" width="9.375" style="33" customWidth="1"/>
    <col min="10252" max="10252" width="13.875" style="33" customWidth="1"/>
    <col min="10253" max="10253" width="11" style="33" customWidth="1"/>
    <col min="10254" max="10254" width="6.75" style="33" customWidth="1"/>
    <col min="10255" max="10255" width="4.375" style="33" customWidth="1"/>
    <col min="10256" max="10256" width="4.125" style="33" customWidth="1"/>
    <col min="10257" max="10257" width="3.25" style="33" customWidth="1"/>
    <col min="10258" max="10258" width="5.75" style="33" customWidth="1"/>
    <col min="10259" max="10259" width="2.75" style="33" customWidth="1"/>
    <col min="10260" max="10260" width="5.75" style="33" customWidth="1"/>
    <col min="10261" max="10261" width="8.875" style="33" customWidth="1"/>
    <col min="10262" max="10262" width="2.25" style="33" customWidth="1"/>
    <col min="10263" max="10263" width="6.625" style="33" customWidth="1"/>
    <col min="10264" max="10497" width="8.75" style="33" customWidth="1"/>
    <col min="10498" max="10498" width="4" style="33" customWidth="1"/>
    <col min="10499" max="10499" width="3.75" style="33" customWidth="1"/>
    <col min="10500" max="10500" width="4.375" style="33" customWidth="1"/>
    <col min="10501" max="10501" width="8.625" style="33" customWidth="1"/>
    <col min="10502" max="10502" width="2.25" style="33" customWidth="1"/>
    <col min="10503" max="10503" width="7.125" style="33" customWidth="1"/>
    <col min="10504" max="10504" width="5.625" style="33" customWidth="1"/>
    <col min="10505" max="10505" width="5.125" style="33" customWidth="1"/>
    <col min="10506" max="10506" width="13.875" style="33" customWidth="1"/>
    <col min="10507" max="10507" width="9.375" style="33" customWidth="1"/>
    <col min="10508" max="10508" width="13.875" style="33" customWidth="1"/>
    <col min="10509" max="10509" width="11" style="33" customWidth="1"/>
    <col min="10510" max="10510" width="6.75" style="33" customWidth="1"/>
    <col min="10511" max="10511" width="4.375" style="33" customWidth="1"/>
    <col min="10512" max="10512" width="4.125" style="33" customWidth="1"/>
    <col min="10513" max="10513" width="3.25" style="33" customWidth="1"/>
    <col min="10514" max="10514" width="5.75" style="33" customWidth="1"/>
    <col min="10515" max="10515" width="2.75" style="33" customWidth="1"/>
    <col min="10516" max="10516" width="5.75" style="33" customWidth="1"/>
    <col min="10517" max="10517" width="8.875" style="33" customWidth="1"/>
    <col min="10518" max="10518" width="2.25" style="33" customWidth="1"/>
    <col min="10519" max="10519" width="6.625" style="33" customWidth="1"/>
    <col min="10520" max="10753" width="8.75" style="33" customWidth="1"/>
    <col min="10754" max="10754" width="4" style="33" customWidth="1"/>
    <col min="10755" max="10755" width="3.75" style="33" customWidth="1"/>
    <col min="10756" max="10756" width="4.375" style="33" customWidth="1"/>
    <col min="10757" max="10757" width="8.625" style="33" customWidth="1"/>
    <col min="10758" max="10758" width="2.25" style="33" customWidth="1"/>
    <col min="10759" max="10759" width="7.125" style="33" customWidth="1"/>
    <col min="10760" max="10760" width="5.625" style="33" customWidth="1"/>
    <col min="10761" max="10761" width="5.125" style="33" customWidth="1"/>
    <col min="10762" max="10762" width="13.875" style="33" customWidth="1"/>
    <col min="10763" max="10763" width="9.375" style="33" customWidth="1"/>
    <col min="10764" max="10764" width="13.875" style="33" customWidth="1"/>
    <col min="10765" max="10765" width="11" style="33" customWidth="1"/>
    <col min="10766" max="10766" width="6.75" style="33" customWidth="1"/>
    <col min="10767" max="10767" width="4.375" style="33" customWidth="1"/>
    <col min="10768" max="10768" width="4.125" style="33" customWidth="1"/>
    <col min="10769" max="10769" width="3.25" style="33" customWidth="1"/>
    <col min="10770" max="10770" width="5.75" style="33" customWidth="1"/>
    <col min="10771" max="10771" width="2.75" style="33" customWidth="1"/>
    <col min="10772" max="10772" width="5.75" style="33" customWidth="1"/>
    <col min="10773" max="10773" width="8.875" style="33" customWidth="1"/>
    <col min="10774" max="10774" width="2.25" style="33" customWidth="1"/>
    <col min="10775" max="10775" width="6.625" style="33" customWidth="1"/>
    <col min="10776" max="11009" width="8.75" style="33" customWidth="1"/>
    <col min="11010" max="11010" width="4" style="33" customWidth="1"/>
    <col min="11011" max="11011" width="3.75" style="33" customWidth="1"/>
    <col min="11012" max="11012" width="4.375" style="33" customWidth="1"/>
    <col min="11013" max="11013" width="8.625" style="33" customWidth="1"/>
    <col min="11014" max="11014" width="2.25" style="33" customWidth="1"/>
    <col min="11015" max="11015" width="7.125" style="33" customWidth="1"/>
    <col min="11016" max="11016" width="5.625" style="33" customWidth="1"/>
    <col min="11017" max="11017" width="5.125" style="33" customWidth="1"/>
    <col min="11018" max="11018" width="13.875" style="33" customWidth="1"/>
    <col min="11019" max="11019" width="9.375" style="33" customWidth="1"/>
    <col min="11020" max="11020" width="13.875" style="33" customWidth="1"/>
    <col min="11021" max="11021" width="11" style="33" customWidth="1"/>
    <col min="11022" max="11022" width="6.75" style="33" customWidth="1"/>
    <col min="11023" max="11023" width="4.375" style="33" customWidth="1"/>
    <col min="11024" max="11024" width="4.125" style="33" customWidth="1"/>
    <col min="11025" max="11025" width="3.25" style="33" customWidth="1"/>
    <col min="11026" max="11026" width="5.75" style="33" customWidth="1"/>
    <col min="11027" max="11027" width="2.75" style="33" customWidth="1"/>
    <col min="11028" max="11028" width="5.75" style="33" customWidth="1"/>
    <col min="11029" max="11029" width="8.875" style="33" customWidth="1"/>
    <col min="11030" max="11030" width="2.25" style="33" customWidth="1"/>
    <col min="11031" max="11031" width="6.625" style="33" customWidth="1"/>
    <col min="11032" max="11265" width="8.75" style="33" customWidth="1"/>
    <col min="11266" max="11266" width="4" style="33" customWidth="1"/>
    <col min="11267" max="11267" width="3.75" style="33" customWidth="1"/>
    <col min="11268" max="11268" width="4.375" style="33" customWidth="1"/>
    <col min="11269" max="11269" width="8.625" style="33" customWidth="1"/>
    <col min="11270" max="11270" width="2.25" style="33" customWidth="1"/>
    <col min="11271" max="11271" width="7.125" style="33" customWidth="1"/>
    <col min="11272" max="11272" width="5.625" style="33" customWidth="1"/>
    <col min="11273" max="11273" width="5.125" style="33" customWidth="1"/>
    <col min="11274" max="11274" width="13.875" style="33" customWidth="1"/>
    <col min="11275" max="11275" width="9.375" style="33" customWidth="1"/>
    <col min="11276" max="11276" width="13.875" style="33" customWidth="1"/>
    <col min="11277" max="11277" width="11" style="33" customWidth="1"/>
    <col min="11278" max="11278" width="6.75" style="33" customWidth="1"/>
    <col min="11279" max="11279" width="4.375" style="33" customWidth="1"/>
    <col min="11280" max="11280" width="4.125" style="33" customWidth="1"/>
    <col min="11281" max="11281" width="3.25" style="33" customWidth="1"/>
    <col min="11282" max="11282" width="5.75" style="33" customWidth="1"/>
    <col min="11283" max="11283" width="2.75" style="33" customWidth="1"/>
    <col min="11284" max="11284" width="5.75" style="33" customWidth="1"/>
    <col min="11285" max="11285" width="8.875" style="33" customWidth="1"/>
    <col min="11286" max="11286" width="2.25" style="33" customWidth="1"/>
    <col min="11287" max="11287" width="6.625" style="33" customWidth="1"/>
    <col min="11288" max="11521" width="8.75" style="33" customWidth="1"/>
    <col min="11522" max="11522" width="4" style="33" customWidth="1"/>
    <col min="11523" max="11523" width="3.75" style="33" customWidth="1"/>
    <col min="11524" max="11524" width="4.375" style="33" customWidth="1"/>
    <col min="11525" max="11525" width="8.625" style="33" customWidth="1"/>
    <col min="11526" max="11526" width="2.25" style="33" customWidth="1"/>
    <col min="11527" max="11527" width="7.125" style="33" customWidth="1"/>
    <col min="11528" max="11528" width="5.625" style="33" customWidth="1"/>
    <col min="11529" max="11529" width="5.125" style="33" customWidth="1"/>
    <col min="11530" max="11530" width="13.875" style="33" customWidth="1"/>
    <col min="11531" max="11531" width="9.375" style="33" customWidth="1"/>
    <col min="11532" max="11532" width="13.875" style="33" customWidth="1"/>
    <col min="11533" max="11533" width="11" style="33" customWidth="1"/>
    <col min="11534" max="11534" width="6.75" style="33" customWidth="1"/>
    <col min="11535" max="11535" width="4.375" style="33" customWidth="1"/>
    <col min="11536" max="11536" width="4.125" style="33" customWidth="1"/>
    <col min="11537" max="11537" width="3.25" style="33" customWidth="1"/>
    <col min="11538" max="11538" width="5.75" style="33" customWidth="1"/>
    <col min="11539" max="11539" width="2.75" style="33" customWidth="1"/>
    <col min="11540" max="11540" width="5.75" style="33" customWidth="1"/>
    <col min="11541" max="11541" width="8.875" style="33" customWidth="1"/>
    <col min="11542" max="11542" width="2.25" style="33" customWidth="1"/>
    <col min="11543" max="11543" width="6.625" style="33" customWidth="1"/>
    <col min="11544" max="11777" width="8.75" style="33" customWidth="1"/>
    <col min="11778" max="11778" width="4" style="33" customWidth="1"/>
    <col min="11779" max="11779" width="3.75" style="33" customWidth="1"/>
    <col min="11780" max="11780" width="4.375" style="33" customWidth="1"/>
    <col min="11781" max="11781" width="8.625" style="33" customWidth="1"/>
    <col min="11782" max="11782" width="2.25" style="33" customWidth="1"/>
    <col min="11783" max="11783" width="7.125" style="33" customWidth="1"/>
    <col min="11784" max="11784" width="5.625" style="33" customWidth="1"/>
    <col min="11785" max="11785" width="5.125" style="33" customWidth="1"/>
    <col min="11786" max="11786" width="13.875" style="33" customWidth="1"/>
    <col min="11787" max="11787" width="9.375" style="33" customWidth="1"/>
    <col min="11788" max="11788" width="13.875" style="33" customWidth="1"/>
    <col min="11789" max="11789" width="11" style="33" customWidth="1"/>
    <col min="11790" max="11790" width="6.75" style="33" customWidth="1"/>
    <col min="11791" max="11791" width="4.375" style="33" customWidth="1"/>
    <col min="11792" max="11792" width="4.125" style="33" customWidth="1"/>
    <col min="11793" max="11793" width="3.25" style="33" customWidth="1"/>
    <col min="11794" max="11794" width="5.75" style="33" customWidth="1"/>
    <col min="11795" max="11795" width="2.75" style="33" customWidth="1"/>
    <col min="11796" max="11796" width="5.75" style="33" customWidth="1"/>
    <col min="11797" max="11797" width="8.875" style="33" customWidth="1"/>
    <col min="11798" max="11798" width="2.25" style="33" customWidth="1"/>
    <col min="11799" max="11799" width="6.625" style="33" customWidth="1"/>
    <col min="11800" max="12033" width="8.75" style="33" customWidth="1"/>
    <col min="12034" max="12034" width="4" style="33" customWidth="1"/>
    <col min="12035" max="12035" width="3.75" style="33" customWidth="1"/>
    <col min="12036" max="12036" width="4.375" style="33" customWidth="1"/>
    <col min="12037" max="12037" width="8.625" style="33" customWidth="1"/>
    <col min="12038" max="12038" width="2.25" style="33" customWidth="1"/>
    <col min="12039" max="12039" width="7.125" style="33" customWidth="1"/>
    <col min="12040" max="12040" width="5.625" style="33" customWidth="1"/>
    <col min="12041" max="12041" width="5.125" style="33" customWidth="1"/>
    <col min="12042" max="12042" width="13.875" style="33" customWidth="1"/>
    <col min="12043" max="12043" width="9.375" style="33" customWidth="1"/>
    <col min="12044" max="12044" width="13.875" style="33" customWidth="1"/>
    <col min="12045" max="12045" width="11" style="33" customWidth="1"/>
    <col min="12046" max="12046" width="6.75" style="33" customWidth="1"/>
    <col min="12047" max="12047" width="4.375" style="33" customWidth="1"/>
    <col min="12048" max="12048" width="4.125" style="33" customWidth="1"/>
    <col min="12049" max="12049" width="3.25" style="33" customWidth="1"/>
    <col min="12050" max="12050" width="5.75" style="33" customWidth="1"/>
    <col min="12051" max="12051" width="2.75" style="33" customWidth="1"/>
    <col min="12052" max="12052" width="5.75" style="33" customWidth="1"/>
    <col min="12053" max="12053" width="8.875" style="33" customWidth="1"/>
    <col min="12054" max="12054" width="2.25" style="33" customWidth="1"/>
    <col min="12055" max="12055" width="6.625" style="33" customWidth="1"/>
    <col min="12056" max="12289" width="8.75" style="33" customWidth="1"/>
    <col min="12290" max="12290" width="4" style="33" customWidth="1"/>
    <col min="12291" max="12291" width="3.75" style="33" customWidth="1"/>
    <col min="12292" max="12292" width="4.375" style="33" customWidth="1"/>
    <col min="12293" max="12293" width="8.625" style="33" customWidth="1"/>
    <col min="12294" max="12294" width="2.25" style="33" customWidth="1"/>
    <col min="12295" max="12295" width="7.125" style="33" customWidth="1"/>
    <col min="12296" max="12296" width="5.625" style="33" customWidth="1"/>
    <col min="12297" max="12297" width="5.125" style="33" customWidth="1"/>
    <col min="12298" max="12298" width="13.875" style="33" customWidth="1"/>
    <col min="12299" max="12299" width="9.375" style="33" customWidth="1"/>
    <col min="12300" max="12300" width="13.875" style="33" customWidth="1"/>
    <col min="12301" max="12301" width="11" style="33" customWidth="1"/>
    <col min="12302" max="12302" width="6.75" style="33" customWidth="1"/>
    <col min="12303" max="12303" width="4.375" style="33" customWidth="1"/>
    <col min="12304" max="12304" width="4.125" style="33" customWidth="1"/>
    <col min="12305" max="12305" width="3.25" style="33" customWidth="1"/>
    <col min="12306" max="12306" width="5.75" style="33" customWidth="1"/>
    <col min="12307" max="12307" width="2.75" style="33" customWidth="1"/>
    <col min="12308" max="12308" width="5.75" style="33" customWidth="1"/>
    <col min="12309" max="12309" width="8.875" style="33" customWidth="1"/>
    <col min="12310" max="12310" width="2.25" style="33" customWidth="1"/>
    <col min="12311" max="12311" width="6.625" style="33" customWidth="1"/>
    <col min="12312" max="12545" width="8.75" style="33" customWidth="1"/>
    <col min="12546" max="12546" width="4" style="33" customWidth="1"/>
    <col min="12547" max="12547" width="3.75" style="33" customWidth="1"/>
    <col min="12548" max="12548" width="4.375" style="33" customWidth="1"/>
    <col min="12549" max="12549" width="8.625" style="33" customWidth="1"/>
    <col min="12550" max="12550" width="2.25" style="33" customWidth="1"/>
    <col min="12551" max="12551" width="7.125" style="33" customWidth="1"/>
    <col min="12552" max="12552" width="5.625" style="33" customWidth="1"/>
    <col min="12553" max="12553" width="5.125" style="33" customWidth="1"/>
    <col min="12554" max="12554" width="13.875" style="33" customWidth="1"/>
    <col min="12555" max="12555" width="9.375" style="33" customWidth="1"/>
    <col min="12556" max="12556" width="13.875" style="33" customWidth="1"/>
    <col min="12557" max="12557" width="11" style="33" customWidth="1"/>
    <col min="12558" max="12558" width="6.75" style="33" customWidth="1"/>
    <col min="12559" max="12559" width="4.375" style="33" customWidth="1"/>
    <col min="12560" max="12560" width="4.125" style="33" customWidth="1"/>
    <col min="12561" max="12561" width="3.25" style="33" customWidth="1"/>
    <col min="12562" max="12562" width="5.75" style="33" customWidth="1"/>
    <col min="12563" max="12563" width="2.75" style="33" customWidth="1"/>
    <col min="12564" max="12564" width="5.75" style="33" customWidth="1"/>
    <col min="12565" max="12565" width="8.875" style="33" customWidth="1"/>
    <col min="12566" max="12566" width="2.25" style="33" customWidth="1"/>
    <col min="12567" max="12567" width="6.625" style="33" customWidth="1"/>
    <col min="12568" max="12801" width="8.75" style="33" customWidth="1"/>
    <col min="12802" max="12802" width="4" style="33" customWidth="1"/>
    <col min="12803" max="12803" width="3.75" style="33" customWidth="1"/>
    <col min="12804" max="12804" width="4.375" style="33" customWidth="1"/>
    <col min="12805" max="12805" width="8.625" style="33" customWidth="1"/>
    <col min="12806" max="12806" width="2.25" style="33" customWidth="1"/>
    <col min="12807" max="12807" width="7.125" style="33" customWidth="1"/>
    <col min="12808" max="12808" width="5.625" style="33" customWidth="1"/>
    <col min="12809" max="12809" width="5.125" style="33" customWidth="1"/>
    <col min="12810" max="12810" width="13.875" style="33" customWidth="1"/>
    <col min="12811" max="12811" width="9.375" style="33" customWidth="1"/>
    <col min="12812" max="12812" width="13.875" style="33" customWidth="1"/>
    <col min="12813" max="12813" width="11" style="33" customWidth="1"/>
    <col min="12814" max="12814" width="6.75" style="33" customWidth="1"/>
    <col min="12815" max="12815" width="4.375" style="33" customWidth="1"/>
    <col min="12816" max="12816" width="4.125" style="33" customWidth="1"/>
    <col min="12817" max="12817" width="3.25" style="33" customWidth="1"/>
    <col min="12818" max="12818" width="5.75" style="33" customWidth="1"/>
    <col min="12819" max="12819" width="2.75" style="33" customWidth="1"/>
    <col min="12820" max="12820" width="5.75" style="33" customWidth="1"/>
    <col min="12821" max="12821" width="8.875" style="33" customWidth="1"/>
    <col min="12822" max="12822" width="2.25" style="33" customWidth="1"/>
    <col min="12823" max="12823" width="6.625" style="33" customWidth="1"/>
    <col min="12824" max="13057" width="8.75" style="33" customWidth="1"/>
    <col min="13058" max="13058" width="4" style="33" customWidth="1"/>
    <col min="13059" max="13059" width="3.75" style="33" customWidth="1"/>
    <col min="13060" max="13060" width="4.375" style="33" customWidth="1"/>
    <col min="13061" max="13061" width="8.625" style="33" customWidth="1"/>
    <col min="13062" max="13062" width="2.25" style="33" customWidth="1"/>
    <col min="13063" max="13063" width="7.125" style="33" customWidth="1"/>
    <col min="13064" max="13064" width="5.625" style="33" customWidth="1"/>
    <col min="13065" max="13065" width="5.125" style="33" customWidth="1"/>
    <col min="13066" max="13066" width="13.875" style="33" customWidth="1"/>
    <col min="13067" max="13067" width="9.375" style="33" customWidth="1"/>
    <col min="13068" max="13068" width="13.875" style="33" customWidth="1"/>
    <col min="13069" max="13069" width="11" style="33" customWidth="1"/>
    <col min="13070" max="13070" width="6.75" style="33" customWidth="1"/>
    <col min="13071" max="13071" width="4.375" style="33" customWidth="1"/>
    <col min="13072" max="13072" width="4.125" style="33" customWidth="1"/>
    <col min="13073" max="13073" width="3.25" style="33" customWidth="1"/>
    <col min="13074" max="13074" width="5.75" style="33" customWidth="1"/>
    <col min="13075" max="13075" width="2.75" style="33" customWidth="1"/>
    <col min="13076" max="13076" width="5.75" style="33" customWidth="1"/>
    <col min="13077" max="13077" width="8.875" style="33" customWidth="1"/>
    <col min="13078" max="13078" width="2.25" style="33" customWidth="1"/>
    <col min="13079" max="13079" width="6.625" style="33" customWidth="1"/>
    <col min="13080" max="13313" width="8.75" style="33" customWidth="1"/>
    <col min="13314" max="13314" width="4" style="33" customWidth="1"/>
    <col min="13315" max="13315" width="3.75" style="33" customWidth="1"/>
    <col min="13316" max="13316" width="4.375" style="33" customWidth="1"/>
    <col min="13317" max="13317" width="8.625" style="33" customWidth="1"/>
    <col min="13318" max="13318" width="2.25" style="33" customWidth="1"/>
    <col min="13319" max="13319" width="7.125" style="33" customWidth="1"/>
    <col min="13320" max="13320" width="5.625" style="33" customWidth="1"/>
    <col min="13321" max="13321" width="5.125" style="33" customWidth="1"/>
    <col min="13322" max="13322" width="13.875" style="33" customWidth="1"/>
    <col min="13323" max="13323" width="9.375" style="33" customWidth="1"/>
    <col min="13324" max="13324" width="13.875" style="33" customWidth="1"/>
    <col min="13325" max="13325" width="11" style="33" customWidth="1"/>
    <col min="13326" max="13326" width="6.75" style="33" customWidth="1"/>
    <col min="13327" max="13327" width="4.375" style="33" customWidth="1"/>
    <col min="13328" max="13328" width="4.125" style="33" customWidth="1"/>
    <col min="13329" max="13329" width="3.25" style="33" customWidth="1"/>
    <col min="13330" max="13330" width="5.75" style="33" customWidth="1"/>
    <col min="13331" max="13331" width="2.75" style="33" customWidth="1"/>
    <col min="13332" max="13332" width="5.75" style="33" customWidth="1"/>
    <col min="13333" max="13333" width="8.875" style="33" customWidth="1"/>
    <col min="13334" max="13334" width="2.25" style="33" customWidth="1"/>
    <col min="13335" max="13335" width="6.625" style="33" customWidth="1"/>
    <col min="13336" max="13569" width="8.75" style="33" customWidth="1"/>
    <col min="13570" max="13570" width="4" style="33" customWidth="1"/>
    <col min="13571" max="13571" width="3.75" style="33" customWidth="1"/>
    <col min="13572" max="13572" width="4.375" style="33" customWidth="1"/>
    <col min="13573" max="13573" width="8.625" style="33" customWidth="1"/>
    <col min="13574" max="13574" width="2.25" style="33" customWidth="1"/>
    <col min="13575" max="13575" width="7.125" style="33" customWidth="1"/>
    <col min="13576" max="13576" width="5.625" style="33" customWidth="1"/>
    <col min="13577" max="13577" width="5.125" style="33" customWidth="1"/>
    <col min="13578" max="13578" width="13.875" style="33" customWidth="1"/>
    <col min="13579" max="13579" width="9.375" style="33" customWidth="1"/>
    <col min="13580" max="13580" width="13.875" style="33" customWidth="1"/>
    <col min="13581" max="13581" width="11" style="33" customWidth="1"/>
    <col min="13582" max="13582" width="6.75" style="33" customWidth="1"/>
    <col min="13583" max="13583" width="4.375" style="33" customWidth="1"/>
    <col min="13584" max="13584" width="4.125" style="33" customWidth="1"/>
    <col min="13585" max="13585" width="3.25" style="33" customWidth="1"/>
    <col min="13586" max="13586" width="5.75" style="33" customWidth="1"/>
    <col min="13587" max="13587" width="2.75" style="33" customWidth="1"/>
    <col min="13588" max="13588" width="5.75" style="33" customWidth="1"/>
    <col min="13589" max="13589" width="8.875" style="33" customWidth="1"/>
    <col min="13590" max="13590" width="2.25" style="33" customWidth="1"/>
    <col min="13591" max="13591" width="6.625" style="33" customWidth="1"/>
    <col min="13592" max="13825" width="8.75" style="33" customWidth="1"/>
    <col min="13826" max="13826" width="4" style="33" customWidth="1"/>
    <col min="13827" max="13827" width="3.75" style="33" customWidth="1"/>
    <col min="13828" max="13828" width="4.375" style="33" customWidth="1"/>
    <col min="13829" max="13829" width="8.625" style="33" customWidth="1"/>
    <col min="13830" max="13830" width="2.25" style="33" customWidth="1"/>
    <col min="13831" max="13831" width="7.125" style="33" customWidth="1"/>
    <col min="13832" max="13832" width="5.625" style="33" customWidth="1"/>
    <col min="13833" max="13833" width="5.125" style="33" customWidth="1"/>
    <col min="13834" max="13834" width="13.875" style="33" customWidth="1"/>
    <col min="13835" max="13835" width="9.375" style="33" customWidth="1"/>
    <col min="13836" max="13836" width="13.875" style="33" customWidth="1"/>
    <col min="13837" max="13837" width="11" style="33" customWidth="1"/>
    <col min="13838" max="13838" width="6.75" style="33" customWidth="1"/>
    <col min="13839" max="13839" width="4.375" style="33" customWidth="1"/>
    <col min="13840" max="13840" width="4.125" style="33" customWidth="1"/>
    <col min="13841" max="13841" width="3.25" style="33" customWidth="1"/>
    <col min="13842" max="13842" width="5.75" style="33" customWidth="1"/>
    <col min="13843" max="13843" width="2.75" style="33" customWidth="1"/>
    <col min="13844" max="13844" width="5.75" style="33" customWidth="1"/>
    <col min="13845" max="13845" width="8.875" style="33" customWidth="1"/>
    <col min="13846" max="13846" width="2.25" style="33" customWidth="1"/>
    <col min="13847" max="13847" width="6.625" style="33" customWidth="1"/>
    <col min="13848" max="14081" width="8.75" style="33" customWidth="1"/>
    <col min="14082" max="14082" width="4" style="33" customWidth="1"/>
    <col min="14083" max="14083" width="3.75" style="33" customWidth="1"/>
    <col min="14084" max="14084" width="4.375" style="33" customWidth="1"/>
    <col min="14085" max="14085" width="8.625" style="33" customWidth="1"/>
    <col min="14086" max="14086" width="2.25" style="33" customWidth="1"/>
    <col min="14087" max="14087" width="7.125" style="33" customWidth="1"/>
    <col min="14088" max="14088" width="5.625" style="33" customWidth="1"/>
    <col min="14089" max="14089" width="5.125" style="33" customWidth="1"/>
    <col min="14090" max="14090" width="13.875" style="33" customWidth="1"/>
    <col min="14091" max="14091" width="9.375" style="33" customWidth="1"/>
    <col min="14092" max="14092" width="13.875" style="33" customWidth="1"/>
    <col min="14093" max="14093" width="11" style="33" customWidth="1"/>
    <col min="14094" max="14094" width="6.75" style="33" customWidth="1"/>
    <col min="14095" max="14095" width="4.375" style="33" customWidth="1"/>
    <col min="14096" max="14096" width="4.125" style="33" customWidth="1"/>
    <col min="14097" max="14097" width="3.25" style="33" customWidth="1"/>
    <col min="14098" max="14098" width="5.75" style="33" customWidth="1"/>
    <col min="14099" max="14099" width="2.75" style="33" customWidth="1"/>
    <col min="14100" max="14100" width="5.75" style="33" customWidth="1"/>
    <col min="14101" max="14101" width="8.875" style="33" customWidth="1"/>
    <col min="14102" max="14102" width="2.25" style="33" customWidth="1"/>
    <col min="14103" max="14103" width="6.625" style="33" customWidth="1"/>
    <col min="14104" max="14337" width="8.75" style="33" customWidth="1"/>
    <col min="14338" max="14338" width="4" style="33" customWidth="1"/>
    <col min="14339" max="14339" width="3.75" style="33" customWidth="1"/>
    <col min="14340" max="14340" width="4.375" style="33" customWidth="1"/>
    <col min="14341" max="14341" width="8.625" style="33" customWidth="1"/>
    <col min="14342" max="14342" width="2.25" style="33" customWidth="1"/>
    <col min="14343" max="14343" width="7.125" style="33" customWidth="1"/>
    <col min="14344" max="14344" width="5.625" style="33" customWidth="1"/>
    <col min="14345" max="14345" width="5.125" style="33" customWidth="1"/>
    <col min="14346" max="14346" width="13.875" style="33" customWidth="1"/>
    <col min="14347" max="14347" width="9.375" style="33" customWidth="1"/>
    <col min="14348" max="14348" width="13.875" style="33" customWidth="1"/>
    <col min="14349" max="14349" width="11" style="33" customWidth="1"/>
    <col min="14350" max="14350" width="6.75" style="33" customWidth="1"/>
    <col min="14351" max="14351" width="4.375" style="33" customWidth="1"/>
    <col min="14352" max="14352" width="4.125" style="33" customWidth="1"/>
    <col min="14353" max="14353" width="3.25" style="33" customWidth="1"/>
    <col min="14354" max="14354" width="5.75" style="33" customWidth="1"/>
    <col min="14355" max="14355" width="2.75" style="33" customWidth="1"/>
    <col min="14356" max="14356" width="5.75" style="33" customWidth="1"/>
    <col min="14357" max="14357" width="8.875" style="33" customWidth="1"/>
    <col min="14358" max="14358" width="2.25" style="33" customWidth="1"/>
    <col min="14359" max="14359" width="6.625" style="33" customWidth="1"/>
    <col min="14360" max="14593" width="8.75" style="33" customWidth="1"/>
    <col min="14594" max="14594" width="4" style="33" customWidth="1"/>
    <col min="14595" max="14595" width="3.75" style="33" customWidth="1"/>
    <col min="14596" max="14596" width="4.375" style="33" customWidth="1"/>
    <col min="14597" max="14597" width="8.625" style="33" customWidth="1"/>
    <col min="14598" max="14598" width="2.25" style="33" customWidth="1"/>
    <col min="14599" max="14599" width="7.125" style="33" customWidth="1"/>
    <col min="14600" max="14600" width="5.625" style="33" customWidth="1"/>
    <col min="14601" max="14601" width="5.125" style="33" customWidth="1"/>
    <col min="14602" max="14602" width="13.875" style="33" customWidth="1"/>
    <col min="14603" max="14603" width="9.375" style="33" customWidth="1"/>
    <col min="14604" max="14604" width="13.875" style="33" customWidth="1"/>
    <col min="14605" max="14605" width="11" style="33" customWidth="1"/>
    <col min="14606" max="14606" width="6.75" style="33" customWidth="1"/>
    <col min="14607" max="14607" width="4.375" style="33" customWidth="1"/>
    <col min="14608" max="14608" width="4.125" style="33" customWidth="1"/>
    <col min="14609" max="14609" width="3.25" style="33" customWidth="1"/>
    <col min="14610" max="14610" width="5.75" style="33" customWidth="1"/>
    <col min="14611" max="14611" width="2.75" style="33" customWidth="1"/>
    <col min="14612" max="14612" width="5.75" style="33" customWidth="1"/>
    <col min="14613" max="14613" width="8.875" style="33" customWidth="1"/>
    <col min="14614" max="14614" width="2.25" style="33" customWidth="1"/>
    <col min="14615" max="14615" width="6.625" style="33" customWidth="1"/>
    <col min="14616" max="14849" width="8.75" style="33" customWidth="1"/>
    <col min="14850" max="14850" width="4" style="33" customWidth="1"/>
    <col min="14851" max="14851" width="3.75" style="33" customWidth="1"/>
    <col min="14852" max="14852" width="4.375" style="33" customWidth="1"/>
    <col min="14853" max="14853" width="8.625" style="33" customWidth="1"/>
    <col min="14854" max="14854" width="2.25" style="33" customWidth="1"/>
    <col min="14855" max="14855" width="7.125" style="33" customWidth="1"/>
    <col min="14856" max="14856" width="5.625" style="33" customWidth="1"/>
    <col min="14857" max="14857" width="5.125" style="33" customWidth="1"/>
    <col min="14858" max="14858" width="13.875" style="33" customWidth="1"/>
    <col min="14859" max="14859" width="9.375" style="33" customWidth="1"/>
    <col min="14860" max="14860" width="13.875" style="33" customWidth="1"/>
    <col min="14861" max="14861" width="11" style="33" customWidth="1"/>
    <col min="14862" max="14862" width="6.75" style="33" customWidth="1"/>
    <col min="14863" max="14863" width="4.375" style="33" customWidth="1"/>
    <col min="14864" max="14864" width="4.125" style="33" customWidth="1"/>
    <col min="14865" max="14865" width="3.25" style="33" customWidth="1"/>
    <col min="14866" max="14866" width="5.75" style="33" customWidth="1"/>
    <col min="14867" max="14867" width="2.75" style="33" customWidth="1"/>
    <col min="14868" max="14868" width="5.75" style="33" customWidth="1"/>
    <col min="14869" max="14869" width="8.875" style="33" customWidth="1"/>
    <col min="14870" max="14870" width="2.25" style="33" customWidth="1"/>
    <col min="14871" max="14871" width="6.625" style="33" customWidth="1"/>
    <col min="14872" max="15105" width="8.75" style="33" customWidth="1"/>
    <col min="15106" max="15106" width="4" style="33" customWidth="1"/>
    <col min="15107" max="15107" width="3.75" style="33" customWidth="1"/>
    <col min="15108" max="15108" width="4.375" style="33" customWidth="1"/>
    <col min="15109" max="15109" width="8.625" style="33" customWidth="1"/>
    <col min="15110" max="15110" width="2.25" style="33" customWidth="1"/>
    <col min="15111" max="15111" width="7.125" style="33" customWidth="1"/>
    <col min="15112" max="15112" width="5.625" style="33" customWidth="1"/>
    <col min="15113" max="15113" width="5.125" style="33" customWidth="1"/>
    <col min="15114" max="15114" width="13.875" style="33" customWidth="1"/>
    <col min="15115" max="15115" width="9.375" style="33" customWidth="1"/>
    <col min="15116" max="15116" width="13.875" style="33" customWidth="1"/>
    <col min="15117" max="15117" width="11" style="33" customWidth="1"/>
    <col min="15118" max="15118" width="6.75" style="33" customWidth="1"/>
    <col min="15119" max="15119" width="4.375" style="33" customWidth="1"/>
    <col min="15120" max="15120" width="4.125" style="33" customWidth="1"/>
    <col min="15121" max="15121" width="3.25" style="33" customWidth="1"/>
    <col min="15122" max="15122" width="5.75" style="33" customWidth="1"/>
    <col min="15123" max="15123" width="2.75" style="33" customWidth="1"/>
    <col min="15124" max="15124" width="5.75" style="33" customWidth="1"/>
    <col min="15125" max="15125" width="8.875" style="33" customWidth="1"/>
    <col min="15126" max="15126" width="2.25" style="33" customWidth="1"/>
    <col min="15127" max="15127" width="6.625" style="33" customWidth="1"/>
    <col min="15128" max="15361" width="8.75" style="33" customWidth="1"/>
    <col min="15362" max="15362" width="4" style="33" customWidth="1"/>
    <col min="15363" max="15363" width="3.75" style="33" customWidth="1"/>
    <col min="15364" max="15364" width="4.375" style="33" customWidth="1"/>
    <col min="15365" max="15365" width="8.625" style="33" customWidth="1"/>
    <col min="15366" max="15366" width="2.25" style="33" customWidth="1"/>
    <col min="15367" max="15367" width="7.125" style="33" customWidth="1"/>
    <col min="15368" max="15368" width="5.625" style="33" customWidth="1"/>
    <col min="15369" max="15369" width="5.125" style="33" customWidth="1"/>
    <col min="15370" max="15370" width="13.875" style="33" customWidth="1"/>
    <col min="15371" max="15371" width="9.375" style="33" customWidth="1"/>
    <col min="15372" max="15372" width="13.875" style="33" customWidth="1"/>
    <col min="15373" max="15373" width="11" style="33" customWidth="1"/>
    <col min="15374" max="15374" width="6.75" style="33" customWidth="1"/>
    <col min="15375" max="15375" width="4.375" style="33" customWidth="1"/>
    <col min="15376" max="15376" width="4.125" style="33" customWidth="1"/>
    <col min="15377" max="15377" width="3.25" style="33" customWidth="1"/>
    <col min="15378" max="15378" width="5.75" style="33" customWidth="1"/>
    <col min="15379" max="15379" width="2.75" style="33" customWidth="1"/>
    <col min="15380" max="15380" width="5.75" style="33" customWidth="1"/>
    <col min="15381" max="15381" width="8.875" style="33" customWidth="1"/>
    <col min="15382" max="15382" width="2.25" style="33" customWidth="1"/>
    <col min="15383" max="15383" width="6.625" style="33" customWidth="1"/>
    <col min="15384" max="15617" width="8.75" style="33" customWidth="1"/>
    <col min="15618" max="15618" width="4" style="33" customWidth="1"/>
    <col min="15619" max="15619" width="3.75" style="33" customWidth="1"/>
    <col min="15620" max="15620" width="4.375" style="33" customWidth="1"/>
    <col min="15621" max="15621" width="8.625" style="33" customWidth="1"/>
    <col min="15622" max="15622" width="2.25" style="33" customWidth="1"/>
    <col min="15623" max="15623" width="7.125" style="33" customWidth="1"/>
    <col min="15624" max="15624" width="5.625" style="33" customWidth="1"/>
    <col min="15625" max="15625" width="5.125" style="33" customWidth="1"/>
    <col min="15626" max="15626" width="13.875" style="33" customWidth="1"/>
    <col min="15627" max="15627" width="9.375" style="33" customWidth="1"/>
    <col min="15628" max="15628" width="13.875" style="33" customWidth="1"/>
    <col min="15629" max="15629" width="11" style="33" customWidth="1"/>
    <col min="15630" max="15630" width="6.75" style="33" customWidth="1"/>
    <col min="15631" max="15631" width="4.375" style="33" customWidth="1"/>
    <col min="15632" max="15632" width="4.125" style="33" customWidth="1"/>
    <col min="15633" max="15633" width="3.25" style="33" customWidth="1"/>
    <col min="15634" max="15634" width="5.75" style="33" customWidth="1"/>
    <col min="15635" max="15635" width="2.75" style="33" customWidth="1"/>
    <col min="15636" max="15636" width="5.75" style="33" customWidth="1"/>
    <col min="15637" max="15637" width="8.875" style="33" customWidth="1"/>
    <col min="15638" max="15638" width="2.25" style="33" customWidth="1"/>
    <col min="15639" max="15639" width="6.625" style="33" customWidth="1"/>
    <col min="15640" max="15873" width="8.75" style="33" customWidth="1"/>
    <col min="15874" max="15874" width="4" style="33" customWidth="1"/>
    <col min="15875" max="15875" width="3.75" style="33" customWidth="1"/>
    <col min="15876" max="15876" width="4.375" style="33" customWidth="1"/>
    <col min="15877" max="15877" width="8.625" style="33" customWidth="1"/>
    <col min="15878" max="15878" width="2.25" style="33" customWidth="1"/>
    <col min="15879" max="15879" width="7.125" style="33" customWidth="1"/>
    <col min="15880" max="15880" width="5.625" style="33" customWidth="1"/>
    <col min="15881" max="15881" width="5.125" style="33" customWidth="1"/>
    <col min="15882" max="15882" width="13.875" style="33" customWidth="1"/>
    <col min="15883" max="15883" width="9.375" style="33" customWidth="1"/>
    <col min="15884" max="15884" width="13.875" style="33" customWidth="1"/>
    <col min="15885" max="15885" width="11" style="33" customWidth="1"/>
    <col min="15886" max="15886" width="6.75" style="33" customWidth="1"/>
    <col min="15887" max="15887" width="4.375" style="33" customWidth="1"/>
    <col min="15888" max="15888" width="4.125" style="33" customWidth="1"/>
    <col min="15889" max="15889" width="3.25" style="33" customWidth="1"/>
    <col min="15890" max="15890" width="5.75" style="33" customWidth="1"/>
    <col min="15891" max="15891" width="2.75" style="33" customWidth="1"/>
    <col min="15892" max="15892" width="5.75" style="33" customWidth="1"/>
    <col min="15893" max="15893" width="8.875" style="33" customWidth="1"/>
    <col min="15894" max="15894" width="2.25" style="33" customWidth="1"/>
    <col min="15895" max="15895" width="6.625" style="33" customWidth="1"/>
    <col min="15896" max="16129" width="8.75" style="33" customWidth="1"/>
    <col min="16130" max="16130" width="4" style="33" customWidth="1"/>
    <col min="16131" max="16131" width="3.75" style="33" customWidth="1"/>
    <col min="16132" max="16132" width="4.375" style="33" customWidth="1"/>
    <col min="16133" max="16133" width="8.625" style="33" customWidth="1"/>
    <col min="16134" max="16134" width="2.25" style="33" customWidth="1"/>
    <col min="16135" max="16135" width="7.125" style="33" customWidth="1"/>
    <col min="16136" max="16136" width="5.625" style="33" customWidth="1"/>
    <col min="16137" max="16137" width="5.125" style="33" customWidth="1"/>
    <col min="16138" max="16138" width="13.875" style="33" customWidth="1"/>
    <col min="16139" max="16139" width="9.375" style="33" customWidth="1"/>
    <col min="16140" max="16140" width="13.875" style="33" customWidth="1"/>
    <col min="16141" max="16141" width="11" style="33" customWidth="1"/>
    <col min="16142" max="16142" width="6.75" style="33" customWidth="1"/>
    <col min="16143" max="16143" width="4.375" style="33" customWidth="1"/>
    <col min="16144" max="16144" width="4.125" style="33" customWidth="1"/>
    <col min="16145" max="16145" width="3.25" style="33" customWidth="1"/>
    <col min="16146" max="16146" width="5.75" style="33" customWidth="1"/>
    <col min="16147" max="16147" width="2.75" style="33" customWidth="1"/>
    <col min="16148" max="16148" width="5.75" style="33" customWidth="1"/>
    <col min="16149" max="16149" width="8.875" style="33" customWidth="1"/>
    <col min="16150" max="16150" width="2.25" style="33" customWidth="1"/>
    <col min="16151" max="16151" width="6.625" style="33" customWidth="1"/>
    <col min="16152" max="16384" width="8.75" style="33" customWidth="1"/>
  </cols>
  <sheetData>
    <row r="1" ht="15.75" customHeight="1" spans="1:23" x14ac:dyDescent="0.25">
      <c r="A1" s="36" t="s">
        <v>13</v>
      </c>
      <c r="B1" s="37"/>
      <c r="C1" s="38"/>
      <c r="D1" s="38"/>
      <c r="E1" s="38"/>
      <c r="F1" s="38"/>
      <c r="G1" s="39" t="s">
        <v>0</v>
      </c>
      <c r="H1" s="40"/>
      <c r="I1" s="40"/>
      <c r="J1" s="40"/>
      <c r="K1" s="40"/>
      <c r="L1" s="40"/>
      <c r="M1" s="40"/>
      <c r="N1" s="40"/>
      <c r="O1" s="41"/>
      <c r="P1" s="42" t="s">
        <v>14</v>
      </c>
      <c r="Q1" s="43" t="s">
        <v>15</v>
      </c>
      <c r="R1" s="43"/>
      <c r="S1" s="37" t="s">
        <v>16</v>
      </c>
      <c r="T1" s="37"/>
      <c r="U1" s="37"/>
      <c r="V1" s="37" t="s">
        <v>17</v>
      </c>
      <c r="W1" s="44"/>
    </row>
    <row r="2" ht="15.75" customHeight="1" spans="1:23" x14ac:dyDescent="0.25">
      <c r="A2" s="45"/>
      <c r="B2" s="46"/>
      <c r="C2" s="47"/>
      <c r="D2" s="47"/>
      <c r="E2" s="47"/>
      <c r="F2" s="47"/>
      <c r="G2" s="48"/>
      <c r="H2" s="49"/>
      <c r="I2" s="49"/>
      <c r="J2" s="49"/>
      <c r="K2" s="49"/>
      <c r="L2" s="49"/>
      <c r="M2" s="49"/>
      <c r="N2" s="49"/>
      <c r="O2" s="50"/>
      <c r="P2" s="51"/>
      <c r="Q2" s="47"/>
      <c r="R2" s="47"/>
      <c r="S2" s="47"/>
      <c r="T2" s="47"/>
      <c r="U2" s="47"/>
      <c r="V2" s="47"/>
      <c r="W2" s="52"/>
    </row>
    <row r="3" ht="15.75" customHeight="1" spans="1:23" x14ac:dyDescent="0.25">
      <c r="A3" s="53" t="s">
        <v>18</v>
      </c>
      <c r="B3" s="46" t="s">
        <v>19</v>
      </c>
      <c r="C3" s="46"/>
      <c r="D3" s="46" t="s">
        <v>20</v>
      </c>
      <c r="E3" s="46" t="s">
        <v>17</v>
      </c>
      <c r="F3" s="46"/>
      <c r="G3" s="48"/>
      <c r="H3" s="49"/>
      <c r="I3" s="49"/>
      <c r="J3" s="49"/>
      <c r="K3" s="49"/>
      <c r="L3" s="49"/>
      <c r="M3" s="49"/>
      <c r="N3" s="49"/>
      <c r="O3" s="50"/>
      <c r="P3" s="51"/>
      <c r="Q3" s="47"/>
      <c r="R3" s="47"/>
      <c r="S3" s="47"/>
      <c r="T3" s="47"/>
      <c r="U3" s="47"/>
      <c r="V3" s="47"/>
      <c r="W3" s="52"/>
    </row>
    <row r="4" ht="15.75" customHeight="1" spans="1:23" x14ac:dyDescent="0.25">
      <c r="A4" s="53"/>
      <c r="B4" s="47"/>
      <c r="C4" s="47"/>
      <c r="D4" s="47"/>
      <c r="E4" s="47"/>
      <c r="F4" s="47"/>
      <c r="G4" s="48"/>
      <c r="H4" s="49"/>
      <c r="I4" s="49"/>
      <c r="J4" s="49"/>
      <c r="K4" s="49"/>
      <c r="L4" s="49"/>
      <c r="M4" s="49"/>
      <c r="N4" s="49"/>
      <c r="O4" s="50"/>
      <c r="P4" s="51"/>
      <c r="Q4" s="54"/>
      <c r="R4" s="54"/>
      <c r="S4" s="54"/>
      <c r="T4" s="54"/>
      <c r="U4" s="55"/>
      <c r="V4" s="54"/>
      <c r="W4" s="56"/>
    </row>
    <row r="5" ht="15.75" customHeight="1" spans="1:23" x14ac:dyDescent="0.25">
      <c r="A5" s="53"/>
      <c r="B5" s="47"/>
      <c r="C5" s="47"/>
      <c r="D5" s="47"/>
      <c r="E5" s="47"/>
      <c r="F5" s="47"/>
      <c r="G5" s="48"/>
      <c r="H5" s="49"/>
      <c r="I5" s="49"/>
      <c r="J5" s="49"/>
      <c r="K5" s="49"/>
      <c r="L5" s="49"/>
      <c r="M5" s="49"/>
      <c r="N5" s="49"/>
      <c r="O5" s="50"/>
      <c r="P5" s="51"/>
      <c r="Q5" s="47"/>
      <c r="R5" s="47"/>
      <c r="S5" s="47"/>
      <c r="T5" s="47"/>
      <c r="U5" s="47"/>
      <c r="V5" s="47"/>
      <c r="W5" s="52"/>
    </row>
    <row r="6" ht="19.9" customHeight="1" spans="1:23" x14ac:dyDescent="0.25">
      <c r="A6" s="53"/>
      <c r="B6" s="47"/>
      <c r="C6" s="47"/>
      <c r="D6" s="47"/>
      <c r="E6" s="47"/>
      <c r="F6" s="47"/>
      <c r="G6" s="48"/>
      <c r="H6" s="49"/>
      <c r="I6" s="49"/>
      <c r="J6" s="49"/>
      <c r="K6" s="49"/>
      <c r="L6" s="49"/>
      <c r="M6" s="49"/>
      <c r="N6" s="49"/>
      <c r="O6" s="50"/>
      <c r="P6" s="51"/>
      <c r="Q6" s="47"/>
      <c r="R6" s="47"/>
      <c r="S6" s="47"/>
      <c r="T6" s="47"/>
      <c r="U6" s="47"/>
      <c r="V6" s="47"/>
      <c r="W6" s="52"/>
    </row>
    <row r="7" ht="16.15" customHeight="1" spans="1:23" x14ac:dyDescent="0.25">
      <c r="A7" s="57"/>
      <c r="B7" s="58"/>
      <c r="C7" s="58"/>
      <c r="D7" s="59"/>
      <c r="E7" s="58"/>
      <c r="F7" s="58"/>
      <c r="G7" s="60"/>
      <c r="H7" s="61"/>
      <c r="I7" s="61"/>
      <c r="J7" s="61"/>
      <c r="K7" s="61"/>
      <c r="L7" s="61"/>
      <c r="M7" s="61"/>
      <c r="N7" s="61"/>
      <c r="O7" s="62"/>
      <c r="P7" s="63"/>
      <c r="Q7" s="58"/>
      <c r="R7" s="58"/>
      <c r="S7" s="58"/>
      <c r="T7" s="58"/>
      <c r="U7" s="59"/>
      <c r="V7" s="58"/>
      <c r="W7" s="64"/>
    </row>
    <row r="8" ht="20.1" customHeight="1" spans="1:23" x14ac:dyDescent="0.25">
      <c r="A8" s="65" t="s">
        <v>21</v>
      </c>
      <c r="B8" s="66"/>
      <c r="C8" s="66" t="s">
        <v>22</v>
      </c>
      <c r="D8" s="66"/>
      <c r="E8" s="66"/>
      <c r="F8" s="66" t="s">
        <v>23</v>
      </c>
      <c r="G8" s="66"/>
      <c r="H8" s="66" t="s">
        <v>24</v>
      </c>
      <c r="I8" s="66" t="s">
        <v>25</v>
      </c>
      <c r="J8" s="66"/>
      <c r="K8" s="66"/>
      <c r="L8" s="66" t="s">
        <v>26</v>
      </c>
      <c r="M8" s="67"/>
      <c r="N8" s="66"/>
      <c r="O8" s="66"/>
      <c r="P8" s="66" t="s">
        <v>27</v>
      </c>
      <c r="Q8" s="66"/>
      <c r="R8" s="66" t="s">
        <v>28</v>
      </c>
      <c r="S8" s="66"/>
      <c r="T8" s="66" t="s">
        <v>29</v>
      </c>
      <c r="U8" s="66"/>
      <c r="V8" s="66"/>
      <c r="W8" s="68" t="s">
        <v>17</v>
      </c>
    </row>
    <row r="9" ht="20.1" customHeight="1" spans="1:23" x14ac:dyDescent="0.25">
      <c r="A9" s="45"/>
      <c r="B9" s="46"/>
      <c r="C9" s="69"/>
      <c r="D9" s="69"/>
      <c r="E9" s="69"/>
      <c r="F9" s="46"/>
      <c r="G9" s="46"/>
      <c r="H9" s="46"/>
      <c r="I9" s="46" t="s">
        <v>30</v>
      </c>
      <c r="J9" s="46" t="s">
        <v>31</v>
      </c>
      <c r="K9" s="46" t="s">
        <v>32</v>
      </c>
      <c r="L9" s="70" t="s">
        <v>33</v>
      </c>
      <c r="M9" s="71" t="s">
        <v>34</v>
      </c>
      <c r="N9" s="72" t="s">
        <v>35</v>
      </c>
      <c r="O9" s="46"/>
      <c r="P9" s="46"/>
      <c r="Q9" s="46"/>
      <c r="R9" s="46"/>
      <c r="S9" s="46"/>
      <c r="T9" s="46"/>
      <c r="U9" s="46"/>
      <c r="V9" s="46"/>
      <c r="W9" s="73" t="s">
        <v>36</v>
      </c>
    </row>
    <row r="10" ht="20.1" customHeight="1" spans="1:23" x14ac:dyDescent="0.25">
      <c r="A10" s="74"/>
      <c r="B10" s="75"/>
      <c r="C10" s="76" t="str">
        <f>'발주수량 검토'!H6</f>
        <v>04.조적공사</v>
      </c>
      <c r="D10" s="77"/>
      <c r="E10" s="77"/>
      <c r="F10" s="78"/>
      <c r="G10" s="79"/>
      <c r="H10" s="80"/>
      <c r="I10" s="81"/>
      <c r="J10" s="82"/>
      <c r="K10" s="82"/>
      <c r="L10" s="83"/>
      <c r="M10" s="84"/>
      <c r="N10" s="85"/>
      <c r="O10" s="86"/>
      <c r="P10" s="87"/>
      <c r="Q10" s="88"/>
      <c r="R10" s="89"/>
      <c r="S10" s="90"/>
      <c r="T10" s="91"/>
      <c r="U10" s="92"/>
      <c r="V10" s="92"/>
      <c r="W10" s="93"/>
    </row>
    <row r="11" ht="20.1" customHeight="1" spans="1:23" x14ac:dyDescent="0.25">
      <c r="A11" s="94"/>
      <c r="B11" s="95"/>
      <c r="C11" s="96" t="str">
        <f>'발주수량 검토'!B8</f>
        <v>단열재</v>
      </c>
      <c r="D11" s="97"/>
      <c r="E11" s="98"/>
      <c r="F11" s="99" t="str">
        <f>'발주수량 검토'!C8</f>
        <v>T150 비드법보온판 2종2호</v>
      </c>
      <c r="G11" s="100"/>
      <c r="H11" s="101" t="str">
        <f>'발주수량 검토'!D8</f>
        <v>M2</v>
      </c>
      <c r="I11" s="102">
        <f>'발주수량 검토'!G8</f>
        <v>85</v>
      </c>
      <c r="J11" s="103"/>
      <c r="K11" s="103">
        <f t="shared" ref="K11:K26" si="0">I11*J11</f>
        <v>0</v>
      </c>
      <c r="L11" s="104">
        <v>0</v>
      </c>
      <c r="M11" s="105">
        <f t="shared" ref="M11:M19" si="1">N11-L11</f>
        <v>0</v>
      </c>
      <c r="N11" s="106">
        <v>0</v>
      </c>
      <c r="O11" s="107"/>
      <c r="P11" s="104">
        <f t="shared" ref="P11:P19" si="2">N11-I11</f>
        <v>-85</v>
      </c>
      <c r="Q11" s="107"/>
      <c r="R11" s="108"/>
      <c r="S11" s="109"/>
      <c r="T11" s="110"/>
      <c r="U11" s="111"/>
      <c r="V11" s="111"/>
      <c r="W11" s="112"/>
    </row>
    <row r="12" ht="20.1" customHeight="1" spans="1:23" x14ac:dyDescent="0.25">
      <c r="A12" s="113"/>
      <c r="B12" s="114"/>
      <c r="C12" s="96" t="str">
        <f>'발주수량 검토'!H8</f>
        <v>단열재</v>
      </c>
      <c r="D12" s="97"/>
      <c r="E12" s="98"/>
      <c r="F12" s="115" t="str">
        <f>'발주수량 검토'!I8</f>
        <v>T55 비드법보온판 2종2호</v>
      </c>
      <c r="G12" s="116"/>
      <c r="H12" s="101" t="str">
        <f>'발주수량 검토'!J8</f>
        <v>M2</v>
      </c>
      <c r="I12" s="102">
        <v>0</v>
      </c>
      <c r="J12" s="103"/>
      <c r="K12" s="103">
        <f t="shared" si="0"/>
        <v>0</v>
      </c>
      <c r="L12" s="104">
        <f t="shared" ref="L12:L26" si="3">I12</f>
        <v>0</v>
      </c>
      <c r="M12" s="105">
        <f t="shared" si="1"/>
        <v>85</v>
      </c>
      <c r="N12" s="106">
        <f>'발주수량 검토'!M9</f>
        <v>85</v>
      </c>
      <c r="O12" s="107"/>
      <c r="P12" s="104">
        <f t="shared" si="2"/>
        <v>85</v>
      </c>
      <c r="Q12" s="107"/>
      <c r="R12" s="108"/>
      <c r="S12" s="109"/>
      <c r="T12" s="110"/>
      <c r="U12" s="111"/>
      <c r="V12" s="111"/>
      <c r="W12" s="112"/>
    </row>
    <row r="13" ht="20.1" customHeight="1" spans="1:23" x14ac:dyDescent="0.25">
      <c r="A13" s="117"/>
      <c r="B13" s="118"/>
      <c r="C13" s="96" t="str">
        <f>'발주수량 검토'!H9</f>
        <v>단열재</v>
      </c>
      <c r="D13" s="97"/>
      <c r="E13" s="98"/>
      <c r="F13" s="115" t="str">
        <f>'발주수량 검토'!I9</f>
        <v>T95 비드법보온판 2종2호</v>
      </c>
      <c r="G13" s="116"/>
      <c r="H13" s="101" t="str">
        <f>'발주수량 검토'!J9</f>
        <v>M2</v>
      </c>
      <c r="I13" s="102">
        <v>0</v>
      </c>
      <c r="J13" s="119"/>
      <c r="K13" s="103">
        <f t="shared" si="0"/>
        <v>0</v>
      </c>
      <c r="L13" s="104">
        <f t="shared" si="3"/>
        <v>0</v>
      </c>
      <c r="M13" s="105">
        <f t="shared" si="1"/>
        <v>85</v>
      </c>
      <c r="N13" s="106">
        <f>'발주수량 검토'!M9</f>
        <v>85</v>
      </c>
      <c r="O13" s="107"/>
      <c r="P13" s="104">
        <f t="shared" si="2"/>
        <v>85</v>
      </c>
      <c r="Q13" s="107"/>
      <c r="R13" s="120"/>
      <c r="S13" s="121"/>
      <c r="T13" s="122"/>
      <c r="U13" s="123"/>
      <c r="V13" s="123"/>
      <c r="W13" s="124"/>
    </row>
    <row r="14" ht="20.1" customHeight="1" spans="1:23" x14ac:dyDescent="0.25">
      <c r="A14" s="125"/>
      <c r="B14" s="126"/>
      <c r="C14" s="96" t="str">
        <f>'발주수량 검토'!B10</f>
        <v>단열재</v>
      </c>
      <c r="D14" s="97"/>
      <c r="E14" s="98"/>
      <c r="F14" s="99" t="str">
        <f>'발주수량 검토'!C10</f>
        <v>T110 압출법 1호</v>
      </c>
      <c r="G14" s="100"/>
      <c r="H14" s="101" t="str">
        <f>'발주수량 검토'!D10</f>
        <v>M2</v>
      </c>
      <c r="I14" s="102">
        <f>'발주수량 검토'!G10</f>
        <v>228</v>
      </c>
      <c r="J14" s="119"/>
      <c r="K14" s="103">
        <f t="shared" si="0"/>
        <v>0</v>
      </c>
      <c r="L14" s="104">
        <v>0</v>
      </c>
      <c r="M14" s="105">
        <f t="shared" si="1"/>
        <v>0</v>
      </c>
      <c r="N14" s="106">
        <v>0</v>
      </c>
      <c r="O14" s="107"/>
      <c r="P14" s="104">
        <f t="shared" si="2"/>
        <v>-228</v>
      </c>
      <c r="Q14" s="107"/>
      <c r="R14" s="120"/>
      <c r="S14" s="121"/>
      <c r="T14" s="110"/>
      <c r="U14" s="111"/>
      <c r="V14" s="111"/>
      <c r="W14" s="124"/>
    </row>
    <row r="15" ht="20.1" customHeight="1" spans="1:23" x14ac:dyDescent="0.25">
      <c r="A15" s="125"/>
      <c r="B15" s="126"/>
      <c r="C15" s="96" t="str">
        <f>'발주수량 검토'!H10</f>
        <v>단열재</v>
      </c>
      <c r="D15" s="97"/>
      <c r="E15" s="98"/>
      <c r="F15" s="115" t="str">
        <f>'발주수량 검토'!I10</f>
        <v>T55 압출법 1호</v>
      </c>
      <c r="G15" s="116"/>
      <c r="H15" s="101" t="str">
        <f>'발주수량 검토'!J10</f>
        <v>M2</v>
      </c>
      <c r="I15" s="102">
        <v>0</v>
      </c>
      <c r="J15" s="119"/>
      <c r="K15" s="103">
        <f t="shared" si="0"/>
        <v>0</v>
      </c>
      <c r="L15" s="104">
        <v>0</v>
      </c>
      <c r="M15" s="105">
        <f t="shared" si="1"/>
        <v>228</v>
      </c>
      <c r="N15" s="106">
        <f>'발주수량 검토'!M10</f>
        <v>228</v>
      </c>
      <c r="O15" s="107"/>
      <c r="P15" s="104">
        <f t="shared" si="2"/>
        <v>228</v>
      </c>
      <c r="Q15" s="107"/>
      <c r="R15" s="120"/>
      <c r="S15" s="121"/>
      <c r="T15" s="122"/>
      <c r="U15" s="123"/>
      <c r="V15" s="123"/>
      <c r="W15" s="124"/>
    </row>
    <row r="16" ht="20.1" customHeight="1" spans="1:23" x14ac:dyDescent="0.25">
      <c r="A16" s="125"/>
      <c r="B16" s="126"/>
      <c r="C16" s="96" t="str">
        <f>'발주수량 검토'!H11</f>
        <v>단열재</v>
      </c>
      <c r="D16" s="97"/>
      <c r="E16" s="98"/>
      <c r="F16" s="115" t="str">
        <f>'발주수량 검토'!I11</f>
        <v>T55 압출법 1호</v>
      </c>
      <c r="G16" s="116"/>
      <c r="H16" s="101" t="str">
        <f>'발주수량 검토'!J11</f>
        <v>M2</v>
      </c>
      <c r="I16" s="102">
        <v>0</v>
      </c>
      <c r="J16" s="119"/>
      <c r="K16" s="103">
        <f t="shared" si="0"/>
        <v>0</v>
      </c>
      <c r="L16" s="104">
        <f t="shared" si="3"/>
        <v>0</v>
      </c>
      <c r="M16" s="105">
        <f t="shared" si="1"/>
        <v>228</v>
      </c>
      <c r="N16" s="106">
        <f>'발주수량 검토'!M11</f>
        <v>228</v>
      </c>
      <c r="O16" s="107"/>
      <c r="P16" s="104">
        <f t="shared" si="2"/>
        <v>228</v>
      </c>
      <c r="Q16" s="107"/>
      <c r="R16" s="120"/>
      <c r="S16" s="121"/>
      <c r="T16" s="122"/>
      <c r="U16" s="123"/>
      <c r="V16" s="123"/>
      <c r="W16" s="124"/>
    </row>
    <row r="17" ht="20.1" customHeight="1" spans="1:23" x14ac:dyDescent="0.25">
      <c r="A17" s="125"/>
      <c r="B17" s="126"/>
      <c r="C17" s="96" t="str">
        <f>'발주수량 검토'!B12</f>
        <v>단열재</v>
      </c>
      <c r="D17" s="97"/>
      <c r="E17" s="98"/>
      <c r="F17" s="99" t="str">
        <f>'발주수량 검토'!C12</f>
        <v>T150 압출법 1호</v>
      </c>
      <c r="G17" s="100"/>
      <c r="H17" s="101" t="str">
        <f>'발주수량 검토'!D12</f>
        <v>M2</v>
      </c>
      <c r="I17" s="102">
        <f>'발주수량 검토'!G12</f>
        <v>605</v>
      </c>
      <c r="J17" s="119"/>
      <c r="K17" s="103">
        <f t="shared" si="0"/>
        <v>0</v>
      </c>
      <c r="L17" s="104">
        <v>0</v>
      </c>
      <c r="M17" s="105">
        <f t="shared" si="1"/>
        <v>0</v>
      </c>
      <c r="N17" s="106">
        <f>'발주수량 검토'!M14</f>
        <v>0</v>
      </c>
      <c r="O17" s="107"/>
      <c r="P17" s="104">
        <f t="shared" si="2"/>
        <v>-605</v>
      </c>
      <c r="Q17" s="107"/>
      <c r="R17" s="120"/>
      <c r="S17" s="121"/>
      <c r="T17" s="110"/>
      <c r="U17" s="111"/>
      <c r="V17" s="111"/>
      <c r="W17" s="124"/>
    </row>
    <row r="18" ht="20.1" customHeight="1" spans="1:23" x14ac:dyDescent="0.25">
      <c r="A18" s="125"/>
      <c r="B18" s="126"/>
      <c r="C18" s="96" t="str">
        <f>'발주수량 검토'!H12</f>
        <v>단열재</v>
      </c>
      <c r="D18" s="97"/>
      <c r="E18" s="98"/>
      <c r="F18" s="115" t="str">
        <f>'발주수량 검토'!I12</f>
        <v>T55 압출법 1호</v>
      </c>
      <c r="G18" s="116"/>
      <c r="H18" s="101" t="str">
        <f>'발주수량 검토'!J12</f>
        <v>M2</v>
      </c>
      <c r="I18" s="102">
        <v>0</v>
      </c>
      <c r="J18" s="119"/>
      <c r="K18" s="103">
        <f t="shared" si="0"/>
        <v>0</v>
      </c>
      <c r="L18" s="104">
        <v>0</v>
      </c>
      <c r="M18" s="105">
        <f t="shared" si="1"/>
        <v>605</v>
      </c>
      <c r="N18" s="106">
        <f>'발주수량 검토'!M12</f>
        <v>605</v>
      </c>
      <c r="O18" s="107"/>
      <c r="P18" s="104">
        <f t="shared" si="2"/>
        <v>605</v>
      </c>
      <c r="Q18" s="107"/>
      <c r="R18" s="120"/>
      <c r="S18" s="121"/>
      <c r="T18" s="122"/>
      <c r="U18" s="123"/>
      <c r="V18" s="123"/>
      <c r="W18" s="124"/>
    </row>
    <row r="19" ht="20.1" customHeight="1" spans="1:23" x14ac:dyDescent="0.25">
      <c r="A19" s="125"/>
      <c r="B19" s="126"/>
      <c r="C19" s="96" t="str">
        <f>'발주수량 검토'!H13</f>
        <v>단열재</v>
      </c>
      <c r="D19" s="97"/>
      <c r="E19" s="98"/>
      <c r="F19" s="115" t="str">
        <f>'발주수량 검토'!I13</f>
        <v>T95 압출법 1호</v>
      </c>
      <c r="G19" s="116"/>
      <c r="H19" s="101" t="str">
        <f>'발주수량 검토'!J13</f>
        <v>M2</v>
      </c>
      <c r="I19" s="102">
        <v>0</v>
      </c>
      <c r="J19" s="119"/>
      <c r="K19" s="103">
        <f t="shared" si="0"/>
        <v>0</v>
      </c>
      <c r="L19" s="104">
        <f t="shared" si="3"/>
        <v>0</v>
      </c>
      <c r="M19" s="105">
        <f t="shared" si="1"/>
        <v>605</v>
      </c>
      <c r="N19" s="106">
        <f>'발주수량 검토'!M13</f>
        <v>605</v>
      </c>
      <c r="O19" s="107"/>
      <c r="P19" s="104">
        <f t="shared" si="2"/>
        <v>605</v>
      </c>
      <c r="Q19" s="107"/>
      <c r="R19" s="120"/>
      <c r="S19" s="121"/>
      <c r="T19" s="122"/>
      <c r="U19" s="123"/>
      <c r="V19" s="123"/>
      <c r="W19" s="124"/>
    </row>
    <row r="20" ht="20.1" customHeight="1" spans="1:23" x14ac:dyDescent="0.25">
      <c r="A20" s="94"/>
      <c r="B20" s="95"/>
      <c r="C20" s="127" t="str">
        <f>'발주수량 검토'!H14</f>
        <v>06.미장공사</v>
      </c>
      <c r="D20" s="128"/>
      <c r="E20" s="128"/>
      <c r="F20" s="115"/>
      <c r="G20" s="116"/>
      <c r="H20" s="101"/>
      <c r="I20" s="102"/>
      <c r="J20" s="103"/>
      <c r="K20" s="103"/>
      <c r="L20" s="104"/>
      <c r="M20" s="105"/>
      <c r="N20" s="106"/>
      <c r="O20" s="107"/>
      <c r="P20" s="104"/>
      <c r="Q20" s="107"/>
      <c r="R20" s="108"/>
      <c r="S20" s="109"/>
      <c r="T20" s="129"/>
      <c r="U20" s="130"/>
      <c r="V20" s="131"/>
      <c r="W20" s="112"/>
    </row>
    <row r="21" ht="20.1" customHeight="1" spans="1:23" x14ac:dyDescent="0.25">
      <c r="A21" s="94"/>
      <c r="B21" s="95"/>
      <c r="C21" s="132" t="str">
        <f>'발주수량 검토'!H16</f>
        <v>단열재</v>
      </c>
      <c r="D21" s="133"/>
      <c r="E21" s="133"/>
      <c r="F21" s="115" t="str">
        <f>'발주수량 검토'!I16</f>
        <v>T: 60, PF보드</v>
      </c>
      <c r="G21" s="116"/>
      <c r="H21" s="101" t="str">
        <f>'발주수량 검토'!D16</f>
        <v>M2</v>
      </c>
      <c r="I21" s="102">
        <f>'발주수량 검토'!G16</f>
        <v>1733</v>
      </c>
      <c r="J21" s="103"/>
      <c r="K21" s="103">
        <f t="shared" si="0"/>
        <v>0</v>
      </c>
      <c r="L21" s="104">
        <v>0</v>
      </c>
      <c r="M21" s="105">
        <f t="shared" ref="M21:M26" si="4">N21-L21</f>
        <v>1733</v>
      </c>
      <c r="N21" s="106">
        <f>'발주수량 검토'!M16</f>
        <v>1733</v>
      </c>
      <c r="O21" s="107"/>
      <c r="P21" s="104">
        <f t="shared" ref="P21:P25" si="5">N21-I21</f>
        <v>0</v>
      </c>
      <c r="Q21" s="107"/>
      <c r="R21" s="108"/>
      <c r="S21" s="109"/>
      <c r="T21" s="129"/>
      <c r="U21" s="130"/>
      <c r="V21" s="131"/>
      <c r="W21" s="112"/>
    </row>
    <row r="22" ht="20.1" customHeight="1" spans="1:23" x14ac:dyDescent="0.25">
      <c r="A22" s="94"/>
      <c r="B22" s="95"/>
      <c r="C22" s="132" t="str">
        <f>'발주수량 검토'!H17</f>
        <v>단열재</v>
      </c>
      <c r="D22" s="133"/>
      <c r="E22" s="133"/>
      <c r="F22" s="115" t="str">
        <f>'발주수량 검토'!I17</f>
        <v>T: 90, PF보드</v>
      </c>
      <c r="G22" s="116"/>
      <c r="H22" s="101" t="str">
        <f>'발주수량 검토'!D17</f>
        <v>M2</v>
      </c>
      <c r="I22" s="102">
        <f>'발주수량 검토'!G17</f>
        <v>356</v>
      </c>
      <c r="J22" s="103"/>
      <c r="K22" s="103">
        <f t="shared" si="0"/>
        <v>0</v>
      </c>
      <c r="L22" s="104">
        <v>0</v>
      </c>
      <c r="M22" s="105">
        <f t="shared" si="4"/>
        <v>356</v>
      </c>
      <c r="N22" s="106">
        <f>'발주수량 검토'!M17</f>
        <v>356</v>
      </c>
      <c r="O22" s="107"/>
      <c r="P22" s="104">
        <f t="shared" si="5"/>
        <v>0</v>
      </c>
      <c r="Q22" s="107"/>
      <c r="R22" s="108"/>
      <c r="S22" s="109"/>
      <c r="T22" s="129"/>
      <c r="U22" s="130"/>
      <c r="V22" s="131"/>
      <c r="W22" s="112"/>
    </row>
    <row r="23" ht="20.1" customHeight="1" spans="1:23" x14ac:dyDescent="0.25">
      <c r="A23" s="94"/>
      <c r="B23" s="95"/>
      <c r="C23" s="132" t="str">
        <f>'발주수량 검토'!H18</f>
        <v>단열재</v>
      </c>
      <c r="D23" s="133"/>
      <c r="E23" s="133"/>
      <c r="F23" s="115" t="str">
        <f>'발주수량 검토'!I18</f>
        <v>T:110, PF보드</v>
      </c>
      <c r="G23" s="116"/>
      <c r="H23" s="101" t="str">
        <f>'발주수량 검토'!D18</f>
        <v>M2</v>
      </c>
      <c r="I23" s="102">
        <f>'발주수량 검토'!G18</f>
        <v>356</v>
      </c>
      <c r="J23" s="103"/>
      <c r="K23" s="103">
        <f t="shared" si="0"/>
        <v>0</v>
      </c>
      <c r="L23" s="104">
        <v>0</v>
      </c>
      <c r="M23" s="105">
        <f t="shared" si="4"/>
        <v>356</v>
      </c>
      <c r="N23" s="106">
        <f>'발주수량 검토'!M18</f>
        <v>356</v>
      </c>
      <c r="O23" s="107"/>
      <c r="P23" s="104">
        <f t="shared" si="5"/>
        <v>0</v>
      </c>
      <c r="Q23" s="107"/>
      <c r="R23" s="108"/>
      <c r="S23" s="109"/>
      <c r="T23" s="129"/>
      <c r="U23" s="130"/>
      <c r="V23" s="131"/>
      <c r="W23" s="112"/>
    </row>
    <row r="24" ht="20.1" customHeight="1" spans="1:23" x14ac:dyDescent="0.25">
      <c r="A24" s="113"/>
      <c r="B24" s="114"/>
      <c r="C24" s="127" t="str">
        <f>'발주수량 검토'!H19</f>
        <v>09.내장목공사</v>
      </c>
      <c r="D24" s="128"/>
      <c r="E24" s="128"/>
      <c r="F24" s="115"/>
      <c r="G24" s="116"/>
      <c r="H24" s="101"/>
      <c r="I24" s="102"/>
      <c r="J24" s="102"/>
      <c r="K24" s="103"/>
      <c r="L24" s="104"/>
      <c r="M24" s="105"/>
      <c r="N24" s="134"/>
      <c r="O24" s="107"/>
      <c r="P24" s="104"/>
      <c r="Q24" s="107"/>
      <c r="R24" s="108"/>
      <c r="S24" s="109"/>
      <c r="T24" s="129"/>
      <c r="U24" s="130"/>
      <c r="V24" s="131"/>
      <c r="W24" s="112"/>
    </row>
    <row r="25" ht="20.1" customHeight="1" spans="1:23" x14ac:dyDescent="0.25">
      <c r="A25" s="113"/>
      <c r="B25" s="114"/>
      <c r="C25" s="132" t="str">
        <f>'발주수량 검토'!B21</f>
        <v>단열재</v>
      </c>
      <c r="D25" s="133"/>
      <c r="E25" s="133"/>
      <c r="F25" s="115" t="str">
        <f>'발주수량 검토'!C21</f>
        <v>T:110 비드법보온판 2종2호</v>
      </c>
      <c r="G25" s="116"/>
      <c r="H25" s="101" t="str">
        <f>'발주수량 검토'!D21</f>
        <v>M2</v>
      </c>
      <c r="I25" s="102">
        <f>'발주수량 검토'!G21</f>
        <v>12885</v>
      </c>
      <c r="J25" s="102"/>
      <c r="K25" s="103">
        <f t="shared" si="0"/>
        <v>0</v>
      </c>
      <c r="L25" s="104">
        <v>0</v>
      </c>
      <c r="M25" s="105">
        <f t="shared" si="4"/>
        <v>0</v>
      </c>
      <c r="N25" s="106">
        <v>0</v>
      </c>
      <c r="O25" s="107"/>
      <c r="P25" s="104">
        <f t="shared" si="5"/>
        <v>-12885</v>
      </c>
      <c r="Q25" s="107"/>
      <c r="R25" s="108"/>
      <c r="S25" s="109"/>
      <c r="T25" s="129"/>
      <c r="U25" s="130"/>
      <c r="V25" s="131"/>
      <c r="W25" s="112"/>
    </row>
    <row r="26" ht="20.1" customHeight="1" spans="1:23" x14ac:dyDescent="0.25">
      <c r="A26" s="94"/>
      <c r="B26" s="95"/>
      <c r="C26" s="132" t="str">
        <f>'발주수량 검토'!H21</f>
        <v>단열재</v>
      </c>
      <c r="D26" s="133"/>
      <c r="E26" s="133"/>
      <c r="F26" s="115" t="str">
        <f>'발주수량 검토'!I21</f>
        <v>T:55 비드법보온판 2종2호</v>
      </c>
      <c r="G26" s="116"/>
      <c r="H26" s="101" t="str">
        <f>'발주수량 검토'!D23</f>
        <v>M2</v>
      </c>
      <c r="I26" s="102">
        <v>0</v>
      </c>
      <c r="J26" s="102"/>
      <c r="K26" s="103">
        <f t="shared" si="0"/>
        <v>0</v>
      </c>
      <c r="L26" s="104">
        <f t="shared" si="3"/>
        <v>0</v>
      </c>
      <c r="M26" s="105">
        <f t="shared" si="4"/>
        <v>12885</v>
      </c>
      <c r="N26" s="106">
        <f>'발주수량 검토'!M21</f>
        <v>12885</v>
      </c>
      <c r="O26" s="107"/>
      <c r="P26" s="104">
        <f t="shared" ref="P26:P30" si="6">N26-I26</f>
        <v>12885</v>
      </c>
      <c r="Q26" s="107"/>
      <c r="R26" s="108"/>
      <c r="S26" s="109"/>
      <c r="T26" s="129"/>
      <c r="U26" s="130"/>
      <c r="V26" s="131"/>
      <c r="W26" s="112"/>
    </row>
    <row r="27" ht="20.1" customHeight="1" spans="1:23" x14ac:dyDescent="0.25">
      <c r="A27" s="113"/>
      <c r="B27" s="114"/>
      <c r="C27" s="132" t="str">
        <f>'발주수량 검토'!H22</f>
        <v>단열재</v>
      </c>
      <c r="D27" s="133"/>
      <c r="E27" s="133"/>
      <c r="F27" s="115" t="str">
        <f>'발주수량 검토'!I22</f>
        <v>T:55 비드법보온판 2종2호</v>
      </c>
      <c r="G27" s="116"/>
      <c r="H27" s="101" t="str">
        <f>'발주수량 검토'!D23</f>
        <v>M2</v>
      </c>
      <c r="I27" s="102">
        <v>0</v>
      </c>
      <c r="J27" s="102"/>
      <c r="K27" s="103">
        <f t="shared" ref="K27:K28" si="7">I27*J27</f>
        <v>0</v>
      </c>
      <c r="L27" s="104">
        <f t="shared" ref="L27" si="8">I27</f>
        <v>0</v>
      </c>
      <c r="M27" s="105">
        <f t="shared" ref="M27:M28" si="9">N27-L27</f>
        <v>12885</v>
      </c>
      <c r="N27" s="106">
        <f>'발주수량 검토'!M22</f>
        <v>12885</v>
      </c>
      <c r="O27" s="107"/>
      <c r="P27" s="104">
        <f t="shared" si="6"/>
        <v>12885</v>
      </c>
      <c r="Q27" s="107"/>
      <c r="R27" s="108"/>
      <c r="S27" s="109"/>
      <c r="T27" s="129"/>
      <c r="U27" s="130"/>
      <c r="V27" s="131"/>
      <c r="W27" s="112"/>
    </row>
    <row r="28" ht="20.1" customHeight="1" spans="1:23" x14ac:dyDescent="0.25">
      <c r="A28" s="94"/>
      <c r="B28" s="95"/>
      <c r="C28" s="132" t="str">
        <f>'발주수량 검토'!B23</f>
        <v>단열재</v>
      </c>
      <c r="D28" s="133"/>
      <c r="E28" s="133"/>
      <c r="F28" s="115" t="str">
        <f>'발주수량 검토'!C23</f>
        <v>T:150 비드법보온판 2종2호</v>
      </c>
      <c r="G28" s="116"/>
      <c r="H28" s="101" t="str">
        <f>'발주수량 검토'!D23</f>
        <v>M2</v>
      </c>
      <c r="I28" s="102">
        <f>'발주수량 검토'!G23</f>
        <v>25617</v>
      </c>
      <c r="J28" s="102"/>
      <c r="K28" s="103">
        <f t="shared" si="7"/>
        <v>0</v>
      </c>
      <c r="L28" s="104">
        <v>0</v>
      </c>
      <c r="M28" s="105">
        <f t="shared" si="9"/>
        <v>0</v>
      </c>
      <c r="N28" s="106">
        <v>0</v>
      </c>
      <c r="O28" s="107"/>
      <c r="P28" s="104">
        <f t="shared" si="6"/>
        <v>-25617</v>
      </c>
      <c r="Q28" s="107"/>
      <c r="R28" s="108"/>
      <c r="S28" s="109"/>
      <c r="T28" s="129"/>
      <c r="U28" s="130"/>
      <c r="V28" s="131"/>
      <c r="W28" s="112"/>
    </row>
    <row r="29" ht="20.1" customHeight="1" spans="1:23" x14ac:dyDescent="0.25">
      <c r="A29" s="94"/>
      <c r="B29" s="95"/>
      <c r="C29" s="132" t="str">
        <f>'발주수량 검토'!H23</f>
        <v>단열재</v>
      </c>
      <c r="D29" s="133"/>
      <c r="E29" s="133"/>
      <c r="F29" s="115" t="str">
        <f>'발주수량 검토'!I23</f>
        <v>T:55 비드법보온판 2종2호</v>
      </c>
      <c r="G29" s="116"/>
      <c r="H29" s="101" t="str">
        <f>'발주수량 검토'!J23</f>
        <v>M2</v>
      </c>
      <c r="I29" s="102">
        <v>0</v>
      </c>
      <c r="J29" s="102"/>
      <c r="K29" s="103">
        <f t="shared" ref="K29" si="10">I29*J29</f>
        <v>0</v>
      </c>
      <c r="L29" s="104">
        <f t="shared" ref="L29" si="11">I29</f>
        <v>0</v>
      </c>
      <c r="M29" s="105">
        <f t="shared" ref="M29:M30" si="12">N29-L29</f>
        <v>25617</v>
      </c>
      <c r="N29" s="106">
        <f>'발주수량 검토'!M23</f>
        <v>25617</v>
      </c>
      <c r="O29" s="107"/>
      <c r="P29" s="104">
        <f t="shared" si="6"/>
        <v>25617</v>
      </c>
      <c r="Q29" s="107"/>
      <c r="R29" s="108"/>
      <c r="S29" s="109"/>
      <c r="T29" s="129"/>
      <c r="U29" s="130"/>
      <c r="V29" s="131"/>
      <c r="W29" s="112"/>
    </row>
    <row r="30" ht="20.1" customHeight="1" spans="1:257" x14ac:dyDescent="0.25">
      <c r="A30" s="135"/>
      <c r="B30" s="136"/>
      <c r="C30" s="137" t="str">
        <f>'발주수량 검토'!H24</f>
        <v>단열재</v>
      </c>
      <c r="D30" s="138"/>
      <c r="E30" s="138"/>
      <c r="F30" s="139" t="str">
        <f>'발주수량 검토'!I24</f>
        <v>T:95 비드법보온판 2종2호</v>
      </c>
      <c r="G30" s="140"/>
      <c r="H30" s="141" t="str">
        <f>'발주수량 검토'!J24</f>
        <v>M2</v>
      </c>
      <c r="I30" s="138">
        <v>0</v>
      </c>
      <c r="J30" s="142"/>
      <c r="K30" s="142"/>
      <c r="L30" s="143">
        <v>0</v>
      </c>
      <c r="M30" s="144">
        <f t="shared" si="12"/>
        <v>25617</v>
      </c>
      <c r="N30" s="145">
        <f>'발주수량 검토'!M24</f>
        <v>25617</v>
      </c>
      <c r="O30" s="146"/>
      <c r="P30" s="147">
        <f t="shared" si="6"/>
        <v>25617</v>
      </c>
      <c r="Q30" s="146"/>
      <c r="R30" s="148"/>
      <c r="S30" s="136"/>
      <c r="T30" s="148"/>
      <c r="U30" s="149"/>
      <c r="V30" s="136"/>
      <c r="W30" s="150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  <c r="BN30" s="151"/>
      <c r="BO30" s="151"/>
      <c r="BP30" s="151"/>
      <c r="BQ30" s="151"/>
      <c r="BR30" s="151"/>
      <c r="BS30" s="151"/>
      <c r="BT30" s="151"/>
      <c r="BU30" s="151"/>
      <c r="BV30" s="151"/>
      <c r="BW30" s="151"/>
      <c r="BX30" s="151"/>
      <c r="BY30" s="151"/>
      <c r="BZ30" s="151"/>
      <c r="CA30" s="151"/>
      <c r="CB30" s="151"/>
      <c r="CC30" s="151"/>
      <c r="CD30" s="151"/>
      <c r="CE30" s="151"/>
      <c r="CF30" s="151"/>
      <c r="CG30" s="151"/>
      <c r="CH30" s="151"/>
      <c r="CI30" s="151"/>
      <c r="CJ30" s="151"/>
      <c r="CK30" s="151"/>
      <c r="CL30" s="151"/>
      <c r="CM30" s="151"/>
      <c r="CN30" s="151"/>
      <c r="CO30" s="151"/>
      <c r="CP30" s="151"/>
      <c r="CQ30" s="151"/>
      <c r="CR30" s="151"/>
      <c r="CS30" s="151"/>
      <c r="CT30" s="151"/>
      <c r="CU30" s="151"/>
      <c r="CV30" s="151"/>
      <c r="CW30" s="151"/>
      <c r="CX30" s="151"/>
      <c r="CY30" s="151"/>
      <c r="CZ30" s="151"/>
      <c r="DA30" s="151"/>
      <c r="DB30" s="151"/>
      <c r="DC30" s="151"/>
      <c r="DD30" s="151"/>
      <c r="DE30" s="151"/>
      <c r="DF30" s="151"/>
      <c r="DG30" s="151"/>
      <c r="DH30" s="151"/>
      <c r="DI30" s="151"/>
      <c r="DJ30" s="151"/>
      <c r="DK30" s="151"/>
      <c r="DL30" s="151"/>
      <c r="DM30" s="151"/>
      <c r="DN30" s="151"/>
      <c r="DO30" s="151"/>
      <c r="DP30" s="151"/>
      <c r="DQ30" s="151"/>
      <c r="DR30" s="151"/>
      <c r="DS30" s="151"/>
      <c r="DT30" s="151"/>
      <c r="DU30" s="151"/>
      <c r="DV30" s="151"/>
      <c r="DW30" s="151"/>
      <c r="DX30" s="151"/>
      <c r="DY30" s="151"/>
      <c r="DZ30" s="151"/>
      <c r="EA30" s="151"/>
      <c r="EB30" s="151"/>
      <c r="EC30" s="151"/>
      <c r="ED30" s="151"/>
      <c r="EE30" s="151"/>
      <c r="EF30" s="151"/>
      <c r="EG30" s="151"/>
      <c r="EH30" s="151"/>
      <c r="EI30" s="151"/>
      <c r="EJ30" s="151"/>
      <c r="EK30" s="151"/>
      <c r="EL30" s="151"/>
      <c r="EM30" s="151"/>
      <c r="EN30" s="151"/>
      <c r="EO30" s="151"/>
      <c r="EP30" s="151"/>
      <c r="EQ30" s="151"/>
      <c r="ER30" s="151"/>
      <c r="ES30" s="151"/>
      <c r="ET30" s="151"/>
      <c r="EU30" s="151"/>
      <c r="EV30" s="151"/>
      <c r="EW30" s="151"/>
      <c r="EX30" s="151"/>
      <c r="EY30" s="151"/>
      <c r="EZ30" s="151"/>
      <c r="FA30" s="151"/>
      <c r="FB30" s="151"/>
      <c r="FC30" s="151"/>
      <c r="FD30" s="151"/>
      <c r="FE30" s="151"/>
      <c r="FF30" s="151"/>
      <c r="FG30" s="151"/>
      <c r="FH30" s="151"/>
      <c r="FI30" s="151"/>
      <c r="FJ30" s="151"/>
      <c r="FK30" s="151"/>
      <c r="FL30" s="151"/>
      <c r="FM30" s="151"/>
      <c r="FN30" s="151"/>
      <c r="FO30" s="151"/>
      <c r="FP30" s="151"/>
      <c r="FQ30" s="151"/>
      <c r="FR30" s="151"/>
      <c r="FS30" s="151"/>
      <c r="FT30" s="151"/>
      <c r="FU30" s="151"/>
      <c r="FV30" s="151"/>
      <c r="FW30" s="151"/>
      <c r="FX30" s="151"/>
      <c r="FY30" s="151"/>
      <c r="FZ30" s="151"/>
      <c r="GA30" s="151"/>
      <c r="GB30" s="151"/>
      <c r="GC30" s="151"/>
      <c r="GD30" s="151"/>
      <c r="GE30" s="151"/>
      <c r="GF30" s="151"/>
      <c r="GG30" s="151"/>
      <c r="GH30" s="151"/>
      <c r="GI30" s="151"/>
      <c r="GJ30" s="151"/>
      <c r="GK30" s="151"/>
      <c r="GL30" s="151"/>
      <c r="GM30" s="151"/>
      <c r="GN30" s="151"/>
      <c r="GO30" s="151"/>
      <c r="GP30" s="151"/>
      <c r="GQ30" s="151"/>
      <c r="GR30" s="151"/>
      <c r="GS30" s="151"/>
      <c r="GT30" s="151"/>
      <c r="GU30" s="151"/>
      <c r="GV30" s="151"/>
      <c r="GW30" s="151"/>
      <c r="GX30" s="151"/>
      <c r="GY30" s="151"/>
      <c r="GZ30" s="151"/>
      <c r="HA30" s="151"/>
      <c r="HB30" s="151"/>
      <c r="HC30" s="151"/>
      <c r="HD30" s="151"/>
      <c r="HE30" s="151"/>
      <c r="HF30" s="151"/>
      <c r="HG30" s="151"/>
      <c r="HH30" s="151"/>
      <c r="HI30" s="151"/>
      <c r="HJ30" s="151"/>
      <c r="HK30" s="151"/>
      <c r="HL30" s="151"/>
      <c r="HM30" s="151"/>
      <c r="HN30" s="151"/>
      <c r="HO30" s="151"/>
      <c r="HP30" s="151"/>
      <c r="HQ30" s="151"/>
      <c r="HR30" s="151"/>
      <c r="HS30" s="151"/>
      <c r="HT30" s="151"/>
      <c r="HU30" s="151"/>
      <c r="HV30" s="151"/>
      <c r="HW30" s="151"/>
      <c r="HX30" s="151"/>
      <c r="HY30" s="151"/>
      <c r="HZ30" s="151"/>
      <c r="IA30" s="151"/>
      <c r="IB30" s="151"/>
      <c r="IC30" s="151"/>
      <c r="ID30" s="151"/>
      <c r="IE30" s="151"/>
      <c r="IF30" s="151"/>
      <c r="IG30" s="151"/>
      <c r="IH30" s="151"/>
      <c r="II30" s="151"/>
      <c r="IJ30" s="151"/>
      <c r="IK30" s="151"/>
      <c r="IL30" s="151"/>
      <c r="IM30" s="151"/>
      <c r="IN30" s="151"/>
      <c r="IO30" s="151"/>
      <c r="IP30" s="151"/>
      <c r="IQ30" s="151"/>
      <c r="IR30" s="151"/>
      <c r="IS30" s="151"/>
      <c r="IT30" s="151"/>
      <c r="IU30" s="151"/>
      <c r="IV30" s="151"/>
      <c r="IW30" s="151"/>
    </row>
    <row r="31" spans="1:23" x14ac:dyDescent="0.25">
      <c r="A31" s="152" t="s">
        <v>37</v>
      </c>
      <c r="B31" s="152"/>
      <c r="C31" s="152"/>
      <c r="D31" s="152"/>
      <c r="E31" s="152"/>
      <c r="F31" s="34"/>
      <c r="G31" s="34"/>
      <c r="N31" s="34"/>
      <c r="O31" s="34"/>
      <c r="P31" s="34"/>
      <c r="Q31" s="34"/>
      <c r="R31" s="34"/>
      <c r="S31" s="34"/>
      <c r="T31" s="153" t="s">
        <v>38</v>
      </c>
      <c r="U31" s="153"/>
      <c r="V31" s="153"/>
      <c r="W31" s="153"/>
    </row>
  </sheetData>
  <mergeCells count="180">
    <mergeCell ref="A1:B2"/>
    <mergeCell ref="C1:F2"/>
    <mergeCell ref="G1:O7"/>
    <mergeCell ref="Q1:R1"/>
    <mergeCell ref="S1:U1"/>
    <mergeCell ref="V1:W1"/>
    <mergeCell ref="P1:P7"/>
    <mergeCell ref="Q2:R3"/>
    <mergeCell ref="S2:T3"/>
    <mergeCell ref="V2:W3"/>
    <mergeCell ref="B3:C3"/>
    <mergeCell ref="E3:F3"/>
    <mergeCell ref="U2:U3"/>
    <mergeCell ref="A3:A7"/>
    <mergeCell ref="B4:C6"/>
    <mergeCell ref="E4:F6"/>
    <mergeCell ref="Q4:R4"/>
    <mergeCell ref="S4:T4"/>
    <mergeCell ref="V4:W4"/>
    <mergeCell ref="D4:D6"/>
    <mergeCell ref="Q5:R6"/>
    <mergeCell ref="S5:T6"/>
    <mergeCell ref="V5:W6"/>
    <mergeCell ref="U5:U6"/>
    <mergeCell ref="B7:C7"/>
    <mergeCell ref="E7:F7"/>
    <mergeCell ref="Q7:R7"/>
    <mergeCell ref="S7:T7"/>
    <mergeCell ref="V7:W7"/>
    <mergeCell ref="A8:B9"/>
    <mergeCell ref="C8:E9"/>
    <mergeCell ref="F8:G9"/>
    <mergeCell ref="I8:K8"/>
    <mergeCell ref="L8:O8"/>
    <mergeCell ref="P8:Q9"/>
    <mergeCell ref="R8:S9"/>
    <mergeCell ref="T8:V9"/>
    <mergeCell ref="H8:H9"/>
    <mergeCell ref="N9:O9"/>
    <mergeCell ref="A10:B10"/>
    <mergeCell ref="C10:E10"/>
    <mergeCell ref="F10:G10"/>
    <mergeCell ref="N10:O10"/>
    <mergeCell ref="P10:Q10"/>
    <mergeCell ref="R10:S10"/>
    <mergeCell ref="T10:V10"/>
    <mergeCell ref="A11:B11"/>
    <mergeCell ref="C11:E11"/>
    <mergeCell ref="F11:G11"/>
    <mergeCell ref="N11:O11"/>
    <mergeCell ref="P11:Q11"/>
    <mergeCell ref="R11:S11"/>
    <mergeCell ref="T11:V11"/>
    <mergeCell ref="A12:B12"/>
    <mergeCell ref="C12:E12"/>
    <mergeCell ref="F12:G12"/>
    <mergeCell ref="N12:O12"/>
    <mergeCell ref="P12:Q12"/>
    <mergeCell ref="R12:S12"/>
    <mergeCell ref="T12:V12"/>
    <mergeCell ref="A13:B13"/>
    <mergeCell ref="C13:E13"/>
    <mergeCell ref="F13:G13"/>
    <mergeCell ref="N13:O13"/>
    <mergeCell ref="P13:Q13"/>
    <mergeCell ref="R13:S13"/>
    <mergeCell ref="T13:V13"/>
    <mergeCell ref="C14:E14"/>
    <mergeCell ref="F14:G14"/>
    <mergeCell ref="N14:O14"/>
    <mergeCell ref="P14:Q14"/>
    <mergeCell ref="T14:V14"/>
    <mergeCell ref="C15:E15"/>
    <mergeCell ref="F15:G15"/>
    <mergeCell ref="N15:O15"/>
    <mergeCell ref="P15:Q15"/>
    <mergeCell ref="T15:V15"/>
    <mergeCell ref="C16:E16"/>
    <mergeCell ref="F16:G16"/>
    <mergeCell ref="N16:O16"/>
    <mergeCell ref="P16:Q16"/>
    <mergeCell ref="T16:V16"/>
    <mergeCell ref="C17:E17"/>
    <mergeCell ref="F17:G17"/>
    <mergeCell ref="N17:O17"/>
    <mergeCell ref="P17:Q17"/>
    <mergeCell ref="T17:V17"/>
    <mergeCell ref="C18:E18"/>
    <mergeCell ref="F18:G18"/>
    <mergeCell ref="N18:O18"/>
    <mergeCell ref="P18:Q18"/>
    <mergeCell ref="T18:V18"/>
    <mergeCell ref="C19:E19"/>
    <mergeCell ref="F19:G19"/>
    <mergeCell ref="N19:O19"/>
    <mergeCell ref="P19:Q19"/>
    <mergeCell ref="T19:V19"/>
    <mergeCell ref="A20:B20"/>
    <mergeCell ref="C20:E20"/>
    <mergeCell ref="F20:G20"/>
    <mergeCell ref="N20:O20"/>
    <mergeCell ref="P20:Q20"/>
    <mergeCell ref="R20:S20"/>
    <mergeCell ref="T20:V20"/>
    <mergeCell ref="A21:B21"/>
    <mergeCell ref="C21:E21"/>
    <mergeCell ref="F21:G21"/>
    <mergeCell ref="N21:O21"/>
    <mergeCell ref="P21:Q21"/>
    <mergeCell ref="R21:S21"/>
    <mergeCell ref="T21:V21"/>
    <mergeCell ref="A22:B22"/>
    <mergeCell ref="C22:E22"/>
    <mergeCell ref="F22:G22"/>
    <mergeCell ref="N22:O22"/>
    <mergeCell ref="P22:Q22"/>
    <mergeCell ref="R22:S22"/>
    <mergeCell ref="T22:V22"/>
    <mergeCell ref="A23:B23"/>
    <mergeCell ref="C23:E23"/>
    <mergeCell ref="F23:G23"/>
    <mergeCell ref="N23:O23"/>
    <mergeCell ref="P23:Q23"/>
    <mergeCell ref="R23:S23"/>
    <mergeCell ref="T23:V23"/>
    <mergeCell ref="A24:B24"/>
    <mergeCell ref="C24:E24"/>
    <mergeCell ref="F24:G24"/>
    <mergeCell ref="N24:O24"/>
    <mergeCell ref="P24:Q24"/>
    <mergeCell ref="R24:S24"/>
    <mergeCell ref="T24:V24"/>
    <mergeCell ref="A25:B25"/>
    <mergeCell ref="C25:E25"/>
    <mergeCell ref="F25:G25"/>
    <mergeCell ref="N25:O25"/>
    <mergeCell ref="P25:Q25"/>
    <mergeCell ref="R25:S25"/>
    <mergeCell ref="T25:V25"/>
    <mergeCell ref="A26:B26"/>
    <mergeCell ref="C26:E26"/>
    <mergeCell ref="F26:G26"/>
    <mergeCell ref="N26:O26"/>
    <mergeCell ref="P26:Q26"/>
    <mergeCell ref="R26:S26"/>
    <mergeCell ref="T26:V26"/>
    <mergeCell ref="A27:B27"/>
    <mergeCell ref="C27:E27"/>
    <mergeCell ref="F27:G27"/>
    <mergeCell ref="N27:O27"/>
    <mergeCell ref="P27:Q27"/>
    <mergeCell ref="R27:S27"/>
    <mergeCell ref="T27:V27"/>
    <mergeCell ref="A28:B28"/>
    <mergeCell ref="C28:E28"/>
    <mergeCell ref="F28:G28"/>
    <mergeCell ref="N28:O28"/>
    <mergeCell ref="P28:Q28"/>
    <mergeCell ref="R28:S28"/>
    <mergeCell ref="T28:V28"/>
    <mergeCell ref="A29:B29"/>
    <mergeCell ref="C29:E29"/>
    <mergeCell ref="F29:G29"/>
    <mergeCell ref="N29:O29"/>
    <mergeCell ref="P29:Q29"/>
    <mergeCell ref="R29:S29"/>
    <mergeCell ref="T29:V29"/>
    <mergeCell ref="A30:B30"/>
    <mergeCell ref="C30:E30"/>
    <mergeCell ref="F30:G30"/>
    <mergeCell ref="N30:O30"/>
    <mergeCell ref="P30:Q30"/>
    <mergeCell ref="R30:S30"/>
    <mergeCell ref="T30:V30"/>
    <mergeCell ref="A31:E31"/>
    <mergeCell ref="F31:G31"/>
    <mergeCell ref="N31:O31"/>
    <mergeCell ref="P31:Q31"/>
    <mergeCell ref="R31:S31"/>
    <mergeCell ref="T31:W31"/>
  </mergeCells>
  <printOptions horizontalCentered="1"/>
  <pageMargins left="0.31496062992125984" right="0.31496062992125984" top="0.5905511811023623" bottom="0.3937007874015748" header="0.31496062992125984" footer="0.1968503937007874"/>
  <pageSetup paperSize="9" orientation="landscape" horizontalDpi="4294967295" verticalDpi="4294967295" scale="8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자재청구서</vt:lpstr>
      <vt:lpstr>발주수량 검토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:title/>
  <dc:subject/>
  <dc:description/>
  <cp:keywords/>
  <cp:category/>
  <cp:lastModifiedBy>김진욱1 대리</cp:lastModifiedBy>
  <cp:lastPrinted>2026-03-18T05:30:13Z</cp:lastPrinted>
  <cp:contentStatus/>
  <dcterms:created xsi:type="dcterms:W3CDTF">2018-05-04T01:15:53Z</dcterms:created>
  <dcterms:modified xsi:type="dcterms:W3CDTF">2026-10-27T02:17:40Z</dcterms:modified>
</cp:coreProperties>
</file>