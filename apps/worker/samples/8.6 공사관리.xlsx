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C116B937-C8C8-4F23-B21C-A07D27342B3E}" xr6:coauthVersionLast="37" xr6:coauthVersionMax="37" xr10:uidLastSave="{00000000-0000-0000-0000-000000000000}"/>
  <bookViews>
    <workbookView xWindow="0" yWindow="0" windowWidth="28800" windowHeight="12345" activeTab="9" xr2:uid="{00000000-000D-0000-FFFF-FFFF00000000}"/>
  </bookViews>
  <sheets>
    <sheet name="QA-8.6-1" sheetId="5" r:id="rId1"/>
    <sheet name="견본" sheetId="6" r:id="rId2"/>
    <sheet name="QA-8.6-2" sheetId="7" r:id="rId3"/>
    <sheet name="견본 (2)" sheetId="8" r:id="rId4"/>
    <sheet name="QA-8.6-3" sheetId="9" r:id="rId5"/>
    <sheet name="견본 (3)" sheetId="10" r:id="rId6"/>
    <sheet name="QA-8.6-4" sheetId="11" r:id="rId7"/>
    <sheet name="QA-8.6-5" sheetId="13" r:id="rId8"/>
    <sheet name="QA-8.6-6" sheetId="14" r:id="rId9"/>
    <sheet name="QA-8.6-7" sheetId="1" r:id="rId10"/>
    <sheet name="QA-8.6-8" sheetId="2" r:id="rId11"/>
  </sheets>
  <definedNames>
    <definedName name="_xlnm.Print_Area" localSheetId="0">'QA-8.6-1'!$A$1:$AX$81</definedName>
    <definedName name="_xlnm.Print_Area" localSheetId="2">'QA-8.6-2'!$A$1:$AO$32</definedName>
    <definedName name="_xlnm.Print_Area" localSheetId="4">'QA-8.6-3'!$A$1:$W$35</definedName>
    <definedName name="_xlnm.Print_Area" localSheetId="6">'QA-8.6-4'!$A$1:$Q$21</definedName>
    <definedName name="_xlnm.Print_Area" localSheetId="7">'QA-8.6-5'!$A$1:$N$27</definedName>
    <definedName name="_xlnm.Print_Area" localSheetId="8">'QA-8.6-6'!$A$1:$X$20</definedName>
    <definedName name="_xlnm.Print_Area" localSheetId="9">'QA-8.6-7'!$A$1:$L$21</definedName>
    <definedName name="_xlnm.Print_Area" localSheetId="10">'QA-8.6-8'!$A$1:$I$36</definedName>
    <definedName name="_xlnm.Print_Area" localSheetId="1">견본!$A$1:$AX$88</definedName>
    <definedName name="_xlnm.Print_Area" localSheetId="3">'견본 (2)'!$A$1:$AQ$39</definedName>
    <definedName name="_xlnm.Print_Area" localSheetId="5">'견본 (3)'!$A$1:$W$38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V84" i="6" l="1"/>
  <c r="AV86" i="6" s="1"/>
  <c r="AS84" i="6"/>
  <c r="AS86" i="6" s="1"/>
  <c r="AP84" i="6"/>
  <c r="AP86" i="6" s="1"/>
  <c r="AM84" i="6"/>
  <c r="AM86" i="6" s="1"/>
  <c r="AJ84" i="6"/>
  <c r="AJ86" i="6" s="1"/>
  <c r="AG84" i="6"/>
  <c r="AG86" i="6" s="1"/>
  <c r="AD84" i="6"/>
  <c r="AD86" i="6" s="1"/>
  <c r="AA84" i="6"/>
  <c r="AA86" i="6" s="1"/>
  <c r="X84" i="6"/>
  <c r="X86" i="6" s="1"/>
  <c r="U84" i="6"/>
  <c r="U86" i="6" s="1"/>
  <c r="R84" i="6"/>
  <c r="R86" i="6" s="1"/>
  <c r="O84" i="6"/>
  <c r="O86" i="6" s="1"/>
  <c r="L84" i="6"/>
  <c r="L86" i="6" s="1"/>
  <c r="I84" i="6"/>
  <c r="I86" i="6" s="1"/>
  <c r="F84" i="6"/>
  <c r="F86" i="6" s="1"/>
  <c r="F88" i="6" s="1"/>
  <c r="D81" i="6"/>
  <c r="D67" i="6"/>
  <c r="C59" i="6"/>
  <c r="D45" i="6"/>
  <c r="D74" i="5"/>
  <c r="C74" i="5"/>
  <c r="D66" i="5"/>
  <c r="C66" i="5"/>
  <c r="D54" i="5"/>
  <c r="C54" i="5"/>
  <c r="D40" i="5"/>
  <c r="C40" i="5"/>
  <c r="D24" i="5"/>
  <c r="C24" i="5"/>
  <c r="I88" i="6" l="1"/>
  <c r="L88" i="6" s="1"/>
  <c r="O88" i="6" s="1"/>
  <c r="R88" i="6" s="1"/>
  <c r="U88" i="6" s="1"/>
  <c r="X88" i="6" s="1"/>
  <c r="AA88" i="6" s="1"/>
  <c r="AD88" i="6" s="1"/>
  <c r="AG88" i="6" s="1"/>
  <c r="AJ88" i="6" s="1"/>
  <c r="AM88" i="6" s="1"/>
  <c r="AP88" i="6" s="1"/>
  <c r="AS88" i="6" s="1"/>
  <c r="AV88" i="6" s="1"/>
  <c r="D83" i="6"/>
  <c r="C76" i="5"/>
  <c r="D7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DB400S3A-A7B</author>
  </authors>
  <commentList>
    <comment ref="N4" authorId="0" shapeId="0" xr:uid="{00000000-0006-0000-0D00-000001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해당부서 또는 협력업체명 기입</t>
        </r>
      </text>
    </comment>
    <comment ref="N5" authorId="0" shapeId="0" xr:uid="{00000000-0006-0000-0D00-000002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배포일자</t>
        </r>
      </text>
    </comment>
    <comment ref="W5" authorId="0" shapeId="0" xr:uid="{00000000-0006-0000-0D00-000003000000}">
      <text>
        <r>
          <rPr>
            <b/>
            <sz val="9"/>
            <color indexed="81"/>
            <rFont val="맑은 고딕"/>
            <family val="3"/>
            <charset val="129"/>
          </rPr>
          <t>woomi:</t>
        </r>
        <r>
          <rPr>
            <sz val="9"/>
            <color indexed="81"/>
            <rFont val="맑은 고딕"/>
            <family val="3"/>
            <charset val="129"/>
          </rPr>
          <t xml:space="preserve">
폐기일자</t>
        </r>
      </text>
    </comment>
    <comment ref="N6" authorId="0" shapeId="0" xr:uid="{00000000-0006-0000-0D00-000004000000}">
      <text>
        <r>
          <rPr>
            <b/>
            <sz val="9"/>
            <color indexed="81"/>
            <rFont val="맑은 고딕"/>
            <family val="3"/>
            <charset val="129"/>
          </rPr>
          <t>woomi:</t>
        </r>
        <r>
          <rPr>
            <sz val="9"/>
            <color indexed="81"/>
            <rFont val="맑은 고딕"/>
            <family val="3"/>
            <charset val="129"/>
          </rPr>
          <t xml:space="preserve">
접수자 및 서명확인</t>
        </r>
      </text>
    </comment>
    <comment ref="W6" authorId="0" shapeId="0" xr:uid="{00000000-0006-0000-0D00-000005000000}">
      <text>
        <r>
          <rPr>
            <b/>
            <sz val="9"/>
            <color indexed="81"/>
            <rFont val="맑은 고딕"/>
            <family val="3"/>
            <charset val="129"/>
          </rPr>
          <t>woomi:</t>
        </r>
        <r>
          <rPr>
            <sz val="9"/>
            <color indexed="81"/>
            <rFont val="맑은 고딕"/>
            <family val="3"/>
            <charset val="129"/>
          </rPr>
          <t xml:space="preserve">
관리자 서명</t>
        </r>
      </text>
    </comment>
  </commentList>
</comments>
</file>

<file path=xl/sharedStrings.xml><?xml version="1.0" encoding="utf-8"?>
<sst xmlns="http://schemas.openxmlformats.org/spreadsheetml/2006/main" count="696" uniqueCount="423">
  <si>
    <t>주변 민원관리 대장</t>
    <phoneticPr fontId="8" type="noConversion"/>
  </si>
  <si>
    <t>현장명  :  000 신축공사</t>
    <phoneticPr fontId="8" type="noConversion"/>
  </si>
  <si>
    <t>No</t>
    <phoneticPr fontId="8" type="noConversion"/>
  </si>
  <si>
    <t>접수일자</t>
    <phoneticPr fontId="8" type="noConversion"/>
  </si>
  <si>
    <t>민  원  인</t>
    <phoneticPr fontId="8" type="noConversion"/>
  </si>
  <si>
    <t>민원요지</t>
    <phoneticPr fontId="8" type="noConversion"/>
  </si>
  <si>
    <t>조치내용</t>
    <phoneticPr fontId="8" type="noConversion"/>
  </si>
  <si>
    <t>종료일자</t>
    <phoneticPr fontId="8" type="noConversion"/>
  </si>
  <si>
    <t>비고</t>
    <phoneticPr fontId="8" type="noConversion"/>
  </si>
  <si>
    <t>성명</t>
    <phoneticPr fontId="8" type="noConversion"/>
  </si>
  <si>
    <t>전화번호</t>
    <phoneticPr fontId="8" type="noConversion"/>
  </si>
  <si>
    <t>주변민원일지</t>
    <phoneticPr fontId="4" type="noConversion"/>
  </si>
  <si>
    <t>작성</t>
    <phoneticPr fontId="4" type="noConversion"/>
  </si>
  <si>
    <t>검토</t>
    <phoneticPr fontId="4" type="noConversion"/>
  </si>
  <si>
    <t>승인</t>
    <phoneticPr fontId="4" type="noConversion"/>
  </si>
  <si>
    <t>000신축공사</t>
    <phoneticPr fontId="4" type="noConversion"/>
  </si>
  <si>
    <t>/</t>
    <phoneticPr fontId="4" type="noConversion"/>
  </si>
  <si>
    <t>20   .   .   .</t>
    <phoneticPr fontId="4" type="noConversion"/>
  </si>
  <si>
    <t>구  분</t>
    <phoneticPr fontId="8" type="noConversion"/>
  </si>
  <si>
    <t>내     용</t>
    <phoneticPr fontId="8" type="noConversion"/>
  </si>
  <si>
    <t>비 고</t>
    <phoneticPr fontId="12" type="noConversion"/>
  </si>
  <si>
    <t>민 원 관 련</t>
    <phoneticPr fontId="8" type="noConversion"/>
  </si>
  <si>
    <t>대응 및 조치</t>
    <phoneticPr fontId="8" type="noConversion"/>
  </si>
  <si>
    <t>향 후 전 망</t>
    <phoneticPr fontId="8" type="noConversion"/>
  </si>
  <si>
    <t>특 이 사 항</t>
    <phoneticPr fontId="4" type="noConversion"/>
  </si>
  <si>
    <t>전체 예정공정표 (Master Schedule)</t>
    <phoneticPr fontId="4" type="noConversion"/>
  </si>
  <si>
    <t>작성</t>
    <phoneticPr fontId="4" type="noConversion"/>
  </si>
  <si>
    <t>검토</t>
    <phoneticPr fontId="4" type="noConversion"/>
  </si>
  <si>
    <t>승인</t>
    <phoneticPr fontId="4" type="noConversion"/>
  </si>
  <si>
    <t>000 신축공사</t>
    <phoneticPr fontId="4" type="noConversion"/>
  </si>
  <si>
    <t>제(개)정일 :  20   .    .    .</t>
    <phoneticPr fontId="4" type="noConversion"/>
  </si>
  <si>
    <t>개정번호 :  Rev.0</t>
    <phoneticPr fontId="4" type="noConversion"/>
  </si>
  <si>
    <t>※ 공사기간 : 20  .   ∼ 20  .   (○○개월)</t>
    <phoneticPr fontId="20" type="noConversion"/>
  </si>
  <si>
    <t>구분</t>
    <phoneticPr fontId="8" type="noConversion"/>
  </si>
  <si>
    <t>공     종</t>
    <phoneticPr fontId="8" type="noConversion"/>
  </si>
  <si>
    <t>공사금액</t>
    <phoneticPr fontId="8" type="noConversion"/>
  </si>
  <si>
    <t>보할</t>
    <phoneticPr fontId="8" type="noConversion"/>
  </si>
  <si>
    <t>20   년</t>
    <phoneticPr fontId="8" type="noConversion"/>
  </si>
  <si>
    <t>20    년</t>
    <phoneticPr fontId="8" type="noConversion"/>
  </si>
  <si>
    <t>비고</t>
    <phoneticPr fontId="8" type="noConversion"/>
  </si>
  <si>
    <t>6월</t>
    <phoneticPr fontId="8" type="noConversion"/>
  </si>
  <si>
    <t>7월</t>
    <phoneticPr fontId="8" type="noConversion"/>
  </si>
  <si>
    <t>8월</t>
  </si>
  <si>
    <t>9월</t>
  </si>
  <si>
    <t>10월</t>
  </si>
  <si>
    <t>11월</t>
  </si>
  <si>
    <t>12월</t>
  </si>
  <si>
    <t>1월</t>
    <phoneticPr fontId="8" type="noConversion"/>
  </si>
  <si>
    <t>2월</t>
  </si>
  <si>
    <t>3월</t>
  </si>
  <si>
    <t>4월</t>
  </si>
  <si>
    <t>5월</t>
  </si>
  <si>
    <t>6월</t>
  </si>
  <si>
    <t>7월</t>
  </si>
  <si>
    <t>MILE STONE</t>
    <phoneticPr fontId="20" type="noConversion"/>
  </si>
  <si>
    <t>토목공사</t>
    <phoneticPr fontId="20" type="noConversion"/>
  </si>
  <si>
    <t>소계</t>
    <phoneticPr fontId="4" type="noConversion"/>
  </si>
  <si>
    <t>건축공사</t>
    <phoneticPr fontId="20" type="noConversion"/>
  </si>
  <si>
    <t>설비공사</t>
    <phoneticPr fontId="8" type="noConversion"/>
  </si>
  <si>
    <t>전기공사</t>
    <phoneticPr fontId="8" type="noConversion"/>
  </si>
  <si>
    <t>소계</t>
    <phoneticPr fontId="4" type="noConversion"/>
  </si>
  <si>
    <t>조경공사</t>
    <phoneticPr fontId="8" type="noConversion"/>
  </si>
  <si>
    <t>합        계</t>
    <phoneticPr fontId="8" type="noConversion"/>
  </si>
  <si>
    <t>월 간 공 정 율</t>
    <phoneticPr fontId="8" type="noConversion"/>
  </si>
  <si>
    <t>누 계 공 정 율</t>
    <phoneticPr fontId="8" type="noConversion"/>
  </si>
  <si>
    <t>작성</t>
    <phoneticPr fontId="4" type="noConversion"/>
  </si>
  <si>
    <t>검토</t>
    <phoneticPr fontId="4" type="noConversion"/>
  </si>
  <si>
    <t>000 신축공사</t>
    <phoneticPr fontId="4" type="noConversion"/>
  </si>
  <si>
    <t>공     종</t>
    <phoneticPr fontId="8" type="noConversion"/>
  </si>
  <si>
    <t>공사금액</t>
    <phoneticPr fontId="8" type="noConversion"/>
  </si>
  <si>
    <t>보할</t>
    <phoneticPr fontId="8" type="noConversion"/>
  </si>
  <si>
    <t>비고</t>
    <phoneticPr fontId="8" type="noConversion"/>
  </si>
  <si>
    <t>6월</t>
    <phoneticPr fontId="8" type="noConversion"/>
  </si>
  <si>
    <t>7월</t>
    <phoneticPr fontId="8" type="noConversion"/>
  </si>
  <si>
    <t>1월</t>
    <phoneticPr fontId="8" type="noConversion"/>
  </si>
  <si>
    <t>MILE STONE</t>
    <phoneticPr fontId="20" type="noConversion"/>
  </si>
  <si>
    <t>건축공사</t>
    <phoneticPr fontId="8" type="noConversion"/>
  </si>
  <si>
    <t>미설계 및 설계변경
확정시한 계획</t>
    <phoneticPr fontId="8" type="noConversion"/>
  </si>
  <si>
    <t>(현장검토)</t>
    <phoneticPr fontId="8" type="noConversion"/>
  </si>
  <si>
    <t>가  설  공  사</t>
    <phoneticPr fontId="8" type="noConversion"/>
  </si>
  <si>
    <t>가설공사</t>
    <phoneticPr fontId="8" type="noConversion"/>
  </si>
  <si>
    <t>토공사및지정공사</t>
    <phoneticPr fontId="8" type="noConversion"/>
  </si>
  <si>
    <t>지하층 터파기 / 되메우기 /1층 바닥 정지</t>
    <phoneticPr fontId="8" type="noConversion"/>
  </si>
  <si>
    <t>철근콘크리트공사</t>
    <phoneticPr fontId="8" type="noConversion"/>
  </si>
  <si>
    <t>기계실 골조</t>
    <phoneticPr fontId="8" type="noConversion"/>
  </si>
  <si>
    <t>정반기초 / 기둥 / 지중보 작업</t>
    <phoneticPr fontId="8" type="noConversion"/>
  </si>
  <si>
    <t>1층 바닥</t>
    <phoneticPr fontId="8" type="noConversion"/>
  </si>
  <si>
    <t>2층,3층,4층 바닥</t>
    <phoneticPr fontId="8" type="noConversion"/>
  </si>
  <si>
    <t>옥상 누름 con'c</t>
    <phoneticPr fontId="8" type="noConversion"/>
  </si>
  <si>
    <t>철 골 공 사</t>
    <phoneticPr fontId="8" type="noConversion"/>
  </si>
  <si>
    <t>철골 shop dwg</t>
    <phoneticPr fontId="8" type="noConversion"/>
  </si>
  <si>
    <t>자재발주 / 제작</t>
    <phoneticPr fontId="8" type="noConversion"/>
  </si>
  <si>
    <t>1차 설치</t>
    <phoneticPr fontId="8" type="noConversion"/>
  </si>
  <si>
    <t>2차 설치</t>
    <phoneticPr fontId="8" type="noConversion"/>
  </si>
  <si>
    <t>3,4차 설치</t>
    <phoneticPr fontId="8" type="noConversion"/>
  </si>
  <si>
    <t>지붕 및 판넬</t>
    <phoneticPr fontId="8" type="noConversion"/>
  </si>
  <si>
    <t>SHOP DWG  /자재 발주</t>
    <phoneticPr fontId="8" type="noConversion"/>
  </si>
  <si>
    <t>하지 철물 설치</t>
    <phoneticPr fontId="8" type="noConversion"/>
  </si>
  <si>
    <t>마감재 설치(지붕 및 판넬)</t>
    <phoneticPr fontId="8" type="noConversion"/>
  </si>
  <si>
    <t>방 수 공 사</t>
    <phoneticPr fontId="8" type="noConversion"/>
  </si>
  <si>
    <t>지하층 / pit / 내,외벽 방수</t>
    <phoneticPr fontId="8" type="noConversion"/>
  </si>
  <si>
    <t>옥상 방수</t>
    <phoneticPr fontId="8" type="noConversion"/>
  </si>
  <si>
    <t>조 적 공 사</t>
    <phoneticPr fontId="8" type="noConversion"/>
  </si>
  <si>
    <t>지하층 조적쌓기</t>
    <phoneticPr fontId="8" type="noConversion"/>
  </si>
  <si>
    <t>1층 조적</t>
    <phoneticPr fontId="8" type="noConversion"/>
  </si>
  <si>
    <t>2층 조적</t>
    <phoneticPr fontId="8" type="noConversion"/>
  </si>
  <si>
    <t>3층,옥상 조적</t>
    <phoneticPr fontId="8" type="noConversion"/>
  </si>
  <si>
    <t>미 장 공 사</t>
    <phoneticPr fontId="8" type="noConversion"/>
  </si>
  <si>
    <t>지하층 미장</t>
    <phoneticPr fontId="8" type="noConversion"/>
  </si>
  <si>
    <t>1층 미장</t>
    <phoneticPr fontId="8" type="noConversion"/>
  </si>
  <si>
    <t>2층 미장</t>
    <phoneticPr fontId="8" type="noConversion"/>
  </si>
  <si>
    <t>3층,옥상 미장</t>
    <phoneticPr fontId="8" type="noConversion"/>
  </si>
  <si>
    <t>내화뿜칠 공사</t>
    <phoneticPr fontId="8" type="noConversion"/>
  </si>
  <si>
    <t>1층</t>
    <phoneticPr fontId="8" type="noConversion"/>
  </si>
  <si>
    <t>2층</t>
    <phoneticPr fontId="8" type="noConversion"/>
  </si>
  <si>
    <t>3,4층</t>
    <phoneticPr fontId="8" type="noConversion"/>
  </si>
  <si>
    <t>타일 및 석공사</t>
    <phoneticPr fontId="8" type="noConversion"/>
  </si>
  <si>
    <t>1층,2층</t>
    <phoneticPr fontId="8" type="noConversion"/>
  </si>
  <si>
    <t>3층</t>
    <phoneticPr fontId="8" type="noConversion"/>
  </si>
  <si>
    <t>석공사</t>
    <phoneticPr fontId="8" type="noConversion"/>
  </si>
  <si>
    <t>창 호 공 사</t>
    <phoneticPr fontId="8" type="noConversion"/>
  </si>
  <si>
    <t>SHOP DWG / 자재발주</t>
    <phoneticPr fontId="8" type="noConversion"/>
  </si>
  <si>
    <t>외부 창호 제작</t>
    <phoneticPr fontId="8" type="noConversion"/>
  </si>
  <si>
    <t>외부 창호 설치</t>
    <phoneticPr fontId="8" type="noConversion"/>
  </si>
  <si>
    <t>셔터 설치</t>
    <phoneticPr fontId="8" type="noConversion"/>
  </si>
  <si>
    <t>유 리 공 사</t>
    <phoneticPr fontId="8" type="noConversion"/>
  </si>
  <si>
    <t xml:space="preserve">자재발주 </t>
    <phoneticPr fontId="8" type="noConversion"/>
  </si>
  <si>
    <t>유리 설치</t>
    <phoneticPr fontId="8" type="noConversion"/>
  </si>
  <si>
    <t>수 장 공 사</t>
    <phoneticPr fontId="8" type="noConversion"/>
  </si>
  <si>
    <t>1층 벽체 G/B</t>
    <phoneticPr fontId="8" type="noConversion"/>
  </si>
  <si>
    <t>2층 벽체 G/B</t>
    <phoneticPr fontId="8" type="noConversion"/>
  </si>
  <si>
    <t>3층 벽체 G/B</t>
    <phoneticPr fontId="8" type="noConversion"/>
  </si>
  <si>
    <t>1층 천정공사</t>
    <phoneticPr fontId="8" type="noConversion"/>
  </si>
  <si>
    <t>2층 천정공사</t>
    <phoneticPr fontId="8" type="noConversion"/>
  </si>
  <si>
    <t>3층 천정공사</t>
    <phoneticPr fontId="8" type="noConversion"/>
  </si>
  <si>
    <t>바닥재 시공</t>
    <phoneticPr fontId="8" type="noConversion"/>
  </si>
  <si>
    <t>도 장 공 사</t>
    <phoneticPr fontId="8" type="noConversion"/>
  </si>
  <si>
    <t>벽체 도장</t>
    <phoneticPr fontId="8" type="noConversion"/>
  </si>
  <si>
    <t>무늬 코트 시공</t>
    <phoneticPr fontId="8" type="noConversion"/>
  </si>
  <si>
    <t>바닥 EPOXY / 준공청소</t>
    <phoneticPr fontId="8" type="noConversion"/>
  </si>
  <si>
    <t>잡 공 사</t>
    <phoneticPr fontId="8" type="noConversion"/>
  </si>
  <si>
    <t>우수 드레인 / 트랜치 / 캐노피 / 방풍실 작업</t>
    <phoneticPr fontId="8" type="noConversion"/>
  </si>
  <si>
    <t>소  계</t>
    <phoneticPr fontId="8" type="noConversion"/>
  </si>
  <si>
    <t>설비공사</t>
    <phoneticPr fontId="8" type="noConversion"/>
  </si>
  <si>
    <t>가대설치공사</t>
    <phoneticPr fontId="8" type="noConversion"/>
  </si>
  <si>
    <t>가대 설치 공사</t>
    <phoneticPr fontId="8" type="noConversion"/>
  </si>
  <si>
    <t>닥트설치공사</t>
    <phoneticPr fontId="8" type="noConversion"/>
  </si>
  <si>
    <t>닥트 설치 공사</t>
    <phoneticPr fontId="8" type="noConversion"/>
  </si>
  <si>
    <t>공조배관공사</t>
    <phoneticPr fontId="8" type="noConversion"/>
  </si>
  <si>
    <t>공조 배관 공사</t>
    <phoneticPr fontId="8" type="noConversion"/>
  </si>
  <si>
    <t>위생설비공사</t>
    <phoneticPr fontId="8" type="noConversion"/>
  </si>
  <si>
    <t>위생 설비 공사</t>
    <phoneticPr fontId="8" type="noConversion"/>
  </si>
  <si>
    <t>소화설비공사</t>
    <phoneticPr fontId="8" type="noConversion"/>
  </si>
  <si>
    <t>소화 설비 공사</t>
    <phoneticPr fontId="8" type="noConversion"/>
  </si>
  <si>
    <t>방진공사</t>
    <phoneticPr fontId="8" type="noConversion"/>
  </si>
  <si>
    <t>방진 공사</t>
    <phoneticPr fontId="8" type="noConversion"/>
  </si>
  <si>
    <t>장비설치공사</t>
    <phoneticPr fontId="8" type="noConversion"/>
  </si>
  <si>
    <t>장비 설치 공사</t>
    <phoneticPr fontId="8" type="noConversion"/>
  </si>
  <si>
    <t>기계실배관공사</t>
    <phoneticPr fontId="8" type="noConversion"/>
  </si>
  <si>
    <t>기계실 배관 공사</t>
    <phoneticPr fontId="8" type="noConversion"/>
  </si>
  <si>
    <t>옥외배관공사</t>
    <phoneticPr fontId="8" type="noConversion"/>
  </si>
  <si>
    <t>옥외 배관 공사</t>
    <phoneticPr fontId="8" type="noConversion"/>
  </si>
  <si>
    <t>시   운    전</t>
    <phoneticPr fontId="8" type="noConversion"/>
  </si>
  <si>
    <t>시운전</t>
    <phoneticPr fontId="8" type="noConversion"/>
  </si>
  <si>
    <t>전기공사</t>
    <phoneticPr fontId="8" type="noConversion"/>
  </si>
  <si>
    <t>접지, 피뢰침공사</t>
    <phoneticPr fontId="8" type="noConversion"/>
  </si>
  <si>
    <t>건물 접지</t>
    <phoneticPr fontId="8" type="noConversion"/>
  </si>
  <si>
    <t>피뢰접지</t>
    <phoneticPr fontId="8" type="noConversion"/>
  </si>
  <si>
    <t>피뢰기 취부</t>
    <phoneticPr fontId="8" type="noConversion"/>
  </si>
  <si>
    <t>수 변 전 공 사</t>
    <phoneticPr fontId="8" type="noConversion"/>
  </si>
  <si>
    <t>TRAY 설치</t>
    <phoneticPr fontId="8" type="noConversion"/>
  </si>
  <si>
    <t>배전반 입고 설치</t>
    <phoneticPr fontId="8" type="noConversion"/>
  </si>
  <si>
    <t>전 력 간 선 공 사</t>
    <phoneticPr fontId="8" type="noConversion"/>
  </si>
  <si>
    <t>공동구 배관 배선</t>
    <phoneticPr fontId="8" type="noConversion"/>
  </si>
  <si>
    <t>1층 배관 배선</t>
    <phoneticPr fontId="8" type="noConversion"/>
  </si>
  <si>
    <t>2층 배관 배선</t>
    <phoneticPr fontId="8" type="noConversion"/>
  </si>
  <si>
    <t>3층 배관 배선</t>
    <phoneticPr fontId="8" type="noConversion"/>
  </si>
  <si>
    <t>분전반 설치 및 시운전</t>
    <phoneticPr fontId="8" type="noConversion"/>
  </si>
  <si>
    <t>전 등 공 사</t>
    <phoneticPr fontId="8" type="noConversion"/>
  </si>
  <si>
    <t>1층 전등</t>
    <phoneticPr fontId="8" type="noConversion"/>
  </si>
  <si>
    <t xml:space="preserve">2층 전등 </t>
    <phoneticPr fontId="8" type="noConversion"/>
  </si>
  <si>
    <t>3층 전등 설치</t>
    <phoneticPr fontId="8" type="noConversion"/>
  </si>
  <si>
    <t>조명 기구 설치</t>
    <phoneticPr fontId="8" type="noConversion"/>
  </si>
  <si>
    <t>전 열 공 사</t>
    <phoneticPr fontId="8" type="noConversion"/>
  </si>
  <si>
    <t xml:space="preserve">1층 전열 </t>
    <phoneticPr fontId="8" type="noConversion"/>
  </si>
  <si>
    <t>배선 기구 설치</t>
    <phoneticPr fontId="8" type="noConversion"/>
  </si>
  <si>
    <t>약 전 공 사</t>
    <phoneticPr fontId="8" type="noConversion"/>
  </si>
  <si>
    <t xml:space="preserve">공동구 약전 </t>
    <phoneticPr fontId="8" type="noConversion"/>
  </si>
  <si>
    <t>1층 약전</t>
    <phoneticPr fontId="8" type="noConversion"/>
  </si>
  <si>
    <t xml:space="preserve">2층 약전 </t>
    <phoneticPr fontId="8" type="noConversion"/>
  </si>
  <si>
    <t>3층 약전 공사</t>
    <phoneticPr fontId="8" type="noConversion"/>
  </si>
  <si>
    <t>기구 취부</t>
    <phoneticPr fontId="8" type="noConversion"/>
  </si>
  <si>
    <t>합        계</t>
    <phoneticPr fontId="8" type="noConversion"/>
  </si>
  <si>
    <t>누 계 공 정 율</t>
    <phoneticPr fontId="8" type="noConversion"/>
  </si>
  <si>
    <t>작성</t>
    <phoneticPr fontId="20" type="noConversion"/>
  </si>
  <si>
    <t>검토</t>
    <phoneticPr fontId="20" type="noConversion"/>
  </si>
  <si>
    <t>승인</t>
    <phoneticPr fontId="20" type="noConversion"/>
  </si>
  <si>
    <r>
      <rPr>
        <b/>
        <sz val="35"/>
        <color rgb="FF002060"/>
        <rFont val="맑은 고딕"/>
        <family val="3"/>
        <charset val="129"/>
      </rPr>
      <t>월간 예정공정표</t>
    </r>
    <r>
      <rPr>
        <b/>
        <sz val="40"/>
        <color rgb="FF002060"/>
        <rFont val="맑은 고딕"/>
        <family val="3"/>
        <charset val="129"/>
      </rPr>
      <t xml:space="preserve">
</t>
    </r>
    <r>
      <rPr>
        <b/>
        <sz val="28"/>
        <color rgb="FF002060"/>
        <rFont val="맑은 고딕"/>
        <family val="3"/>
        <charset val="129"/>
      </rPr>
      <t>(Monthly schedule milestone)</t>
    </r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</si>
  <si>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</si>
  <si>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</si>
  <si>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</si>
  <si>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>제(개)정일 : 20  .   .   .</t>
    <phoneticPr fontId="4" type="noConversion"/>
  </si>
  <si>
    <t>구  분</t>
    <phoneticPr fontId="8" type="noConversion"/>
  </si>
  <si>
    <t>위 치</t>
    <phoneticPr fontId="8" type="noConversion"/>
  </si>
  <si>
    <t>세부내용</t>
    <phoneticPr fontId="8" type="noConversion"/>
  </si>
  <si>
    <t>단위</t>
    <phoneticPr fontId="8" type="noConversion"/>
  </si>
  <si>
    <t>수량</t>
    <phoneticPr fontId="8" type="noConversion"/>
  </si>
  <si>
    <t>실적</t>
    <phoneticPr fontId="8" type="noConversion"/>
  </si>
  <si>
    <t>20  년 00월</t>
    <phoneticPr fontId="8" type="noConversion"/>
  </si>
  <si>
    <t>공정율</t>
    <phoneticPr fontId="20" type="noConversion"/>
  </si>
  <si>
    <t>비 고</t>
    <phoneticPr fontId="8" type="noConversion"/>
  </si>
  <si>
    <t>월</t>
    <phoneticPr fontId="8" type="noConversion"/>
  </si>
  <si>
    <t>화</t>
    <phoneticPr fontId="8" type="noConversion"/>
  </si>
  <si>
    <t>수</t>
  </si>
  <si>
    <t>목</t>
  </si>
  <si>
    <t>금</t>
  </si>
  <si>
    <t>토</t>
  </si>
  <si>
    <t>일</t>
  </si>
  <si>
    <t>월</t>
  </si>
  <si>
    <t>화</t>
  </si>
  <si>
    <t>수</t>
    <phoneticPr fontId="8" type="noConversion"/>
  </si>
  <si>
    <t>토목공사</t>
    <phoneticPr fontId="8" type="noConversion"/>
  </si>
  <si>
    <t>계획</t>
    <phoneticPr fontId="8" type="noConversion"/>
  </si>
  <si>
    <t>실시</t>
    <phoneticPr fontId="8" type="noConversion"/>
  </si>
  <si>
    <t>계획</t>
    <phoneticPr fontId="8" type="noConversion"/>
  </si>
  <si>
    <t>철골공사</t>
    <phoneticPr fontId="8" type="noConversion"/>
  </si>
  <si>
    <t>골조공사</t>
    <phoneticPr fontId="8" type="noConversion"/>
  </si>
  <si>
    <t>계획</t>
    <phoneticPr fontId="8" type="noConversion"/>
  </si>
  <si>
    <t>실시</t>
    <phoneticPr fontId="8" type="noConversion"/>
  </si>
  <si>
    <t>설비공사</t>
    <phoneticPr fontId="8" type="noConversion"/>
  </si>
  <si>
    <t>참 고 사 항</t>
    <phoneticPr fontId="8" type="noConversion"/>
  </si>
  <si>
    <t>: 계획</t>
    <phoneticPr fontId="8" type="noConversion"/>
  </si>
  <si>
    <t>: 실시</t>
    <phoneticPr fontId="8" type="noConversion"/>
  </si>
  <si>
    <r>
      <rPr>
        <b/>
        <sz val="35"/>
        <color rgb="FF002060"/>
        <rFont val="맑은 고딕"/>
        <family val="3"/>
        <charset val="129"/>
      </rPr>
      <t>월간 예정공정표</t>
    </r>
    <r>
      <rPr>
        <b/>
        <sz val="40"/>
        <color rgb="FF002060"/>
        <rFont val="맑은 고딕"/>
        <family val="3"/>
        <charset val="129"/>
      </rPr>
      <t xml:space="preserve">
</t>
    </r>
    <r>
      <rPr>
        <b/>
        <sz val="28"/>
        <color rgb="FF002060"/>
        <rFont val="맑은 고딕"/>
        <family val="3"/>
        <charset val="129"/>
      </rPr>
      <t>(Monthly schedule milestone)</t>
    </r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</si>
  <si>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</si>
  <si>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</si>
  <si>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</si>
  <si>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>개정번호 :  Rev.0</t>
    <phoneticPr fontId="4" type="noConversion"/>
  </si>
  <si>
    <t>단위</t>
    <phoneticPr fontId="8" type="noConversion"/>
  </si>
  <si>
    <t>실적</t>
    <phoneticPr fontId="8" type="noConversion"/>
  </si>
  <si>
    <t>공정율</t>
    <phoneticPr fontId="20" type="noConversion"/>
  </si>
  <si>
    <t>비 고</t>
    <phoneticPr fontId="8" type="noConversion"/>
  </si>
  <si>
    <t>수</t>
    <phoneticPr fontId="8" type="noConversion"/>
  </si>
  <si>
    <t>인테리어공사</t>
    <phoneticPr fontId="8" type="noConversion"/>
  </si>
  <si>
    <t>본 관</t>
    <phoneticPr fontId="8" type="noConversion"/>
  </si>
  <si>
    <t>내부인테리어마감</t>
    <phoneticPr fontId="8" type="noConversion"/>
  </si>
  <si>
    <t>예정</t>
    <phoneticPr fontId="8" type="noConversion"/>
  </si>
  <si>
    <t>5F WOOD FLOOR/가구설치</t>
    <phoneticPr fontId="8" type="noConversion"/>
  </si>
  <si>
    <t xml:space="preserve"> 잔손보기 및 마무리</t>
    <phoneticPr fontId="8" type="noConversion"/>
  </si>
  <si>
    <t>실행</t>
    <phoneticPr fontId="8" type="noConversion"/>
  </si>
  <si>
    <t>별 관</t>
    <phoneticPr fontId="8" type="noConversion"/>
  </si>
  <si>
    <t>내부인테리어마감</t>
    <phoneticPr fontId="8" type="noConversion"/>
  </si>
  <si>
    <t>예정</t>
    <phoneticPr fontId="8" type="noConversion"/>
  </si>
  <si>
    <t>강당 무대 WOOD FLOOR/계단핸드레일/2F 탄성고무바닥재설치</t>
    <phoneticPr fontId="8" type="noConversion"/>
  </si>
  <si>
    <t>잔손보기 및 마무리</t>
    <phoneticPr fontId="8" type="noConversion"/>
  </si>
  <si>
    <t>연결통로</t>
    <phoneticPr fontId="8" type="noConversion"/>
  </si>
  <si>
    <t>내부인테리어마감</t>
    <phoneticPr fontId="8" type="noConversion"/>
  </si>
  <si>
    <t>예정</t>
    <phoneticPr fontId="8" type="noConversion"/>
  </si>
  <si>
    <t>내부 등박스/F.C.U 골조 설치/벽체 인테리어마감</t>
    <phoneticPr fontId="8" type="noConversion"/>
  </si>
  <si>
    <t>실행</t>
    <phoneticPr fontId="8" type="noConversion"/>
  </si>
  <si>
    <t>잡철물공사</t>
    <phoneticPr fontId="8" type="noConversion"/>
  </si>
  <si>
    <t>본 관</t>
    <phoneticPr fontId="8" type="noConversion"/>
  </si>
  <si>
    <t>캐노피설치
(BEAD BLASTER설치)</t>
    <phoneticPr fontId="8" type="noConversion"/>
  </si>
  <si>
    <t>캐노피(BEAD BLASTER)/방풍실/하드웨어 설치</t>
    <phoneticPr fontId="8" type="noConversion"/>
  </si>
  <si>
    <t>줄눈코킹 및 잔손보기</t>
    <phoneticPr fontId="8" type="noConversion"/>
  </si>
  <si>
    <t>도장공사</t>
    <phoneticPr fontId="8" type="noConversion"/>
  </si>
  <si>
    <t>본/별관</t>
    <phoneticPr fontId="8" type="noConversion"/>
  </si>
  <si>
    <t>PAINTING 마감</t>
    <phoneticPr fontId="8" type="noConversion"/>
  </si>
  <si>
    <t>#1,2계단실 무늬코트</t>
    <phoneticPr fontId="8" type="noConversion"/>
  </si>
  <si>
    <t>지하실 정벌 도장/잔손보기 및 마무리</t>
    <phoneticPr fontId="8" type="noConversion"/>
  </si>
  <si>
    <t>실행</t>
    <phoneticPr fontId="8" type="noConversion"/>
  </si>
  <si>
    <t>수장공사</t>
    <phoneticPr fontId="8" type="noConversion"/>
  </si>
  <si>
    <t>천정/바닥 마감</t>
    <phoneticPr fontId="8" type="noConversion"/>
  </si>
  <si>
    <t>각층 등기구 타공/천정 수정/바닥 OA TILE(EPS실)</t>
    <phoneticPr fontId="8" type="noConversion"/>
  </si>
  <si>
    <t>잔손보기 및 보양,청소</t>
    <phoneticPr fontId="8" type="noConversion"/>
  </si>
  <si>
    <t>석 공 사</t>
    <phoneticPr fontId="8" type="noConversion"/>
  </si>
  <si>
    <t>잔손보기/줄눈코킹</t>
    <phoneticPr fontId="8" type="noConversion"/>
  </si>
  <si>
    <t xml:space="preserve"> #4 계단실 벽체/바닥 석재취부 및 외부줄눈코킹</t>
    <phoneticPr fontId="8" type="noConversion"/>
  </si>
  <si>
    <t>줄눈코킹 및 잔손보기</t>
    <phoneticPr fontId="8" type="noConversion"/>
  </si>
  <si>
    <t>잔여구간 석재취부</t>
    <phoneticPr fontId="8" type="noConversion"/>
  </si>
  <si>
    <t>잔손보기/마무리 작업 및 외부 줄눈코킹</t>
    <phoneticPr fontId="8" type="noConversion"/>
  </si>
  <si>
    <t>창호공사</t>
    <phoneticPr fontId="8" type="noConversion"/>
  </si>
  <si>
    <t>창호코킹</t>
    <phoneticPr fontId="8" type="noConversion"/>
  </si>
  <si>
    <t>창호 코킹/연결통로 잔손보기</t>
    <phoneticPr fontId="8" type="noConversion"/>
  </si>
  <si>
    <t>유리공사</t>
    <phoneticPr fontId="8" type="noConversion"/>
  </si>
  <si>
    <t>별관/
연결통로</t>
    <phoneticPr fontId="8" type="noConversion"/>
  </si>
  <si>
    <t>유리설치</t>
    <phoneticPr fontId="8" type="noConversion"/>
  </si>
  <si>
    <t>별관ACW(X7)/연결통로 지붕 유리설치</t>
    <phoneticPr fontId="8" type="noConversion"/>
  </si>
  <si>
    <t>준공청소</t>
    <phoneticPr fontId="8" type="noConversion"/>
  </si>
  <si>
    <t>본/별관</t>
    <phoneticPr fontId="8" type="noConversion"/>
  </si>
  <si>
    <t>내외부 청소</t>
    <phoneticPr fontId="8" type="noConversion"/>
  </si>
  <si>
    <t>본관 배면,정면 외벽/화장실 물청소</t>
    <phoneticPr fontId="8" type="noConversion"/>
  </si>
  <si>
    <t>별관 외벽/본관 내부 바닥 왁스 작업</t>
    <phoneticPr fontId="8" type="noConversion"/>
  </si>
  <si>
    <t>본별관</t>
    <phoneticPr fontId="8" type="noConversion"/>
  </si>
  <si>
    <t>등기구/전열기구설치</t>
    <phoneticPr fontId="8" type="noConversion"/>
  </si>
  <si>
    <t>등기구/전열기구/방송,CATV 설치</t>
    <phoneticPr fontId="8" type="noConversion"/>
  </si>
  <si>
    <t>본별관</t>
    <phoneticPr fontId="8" type="noConversion"/>
  </si>
  <si>
    <t>장비설치/시운전</t>
    <phoneticPr fontId="8" type="noConversion"/>
  </si>
  <si>
    <t>설비,소방 장비 설치 및 TEST/시운전</t>
    <phoneticPr fontId="8" type="noConversion"/>
  </si>
  <si>
    <t>참 고 사 항</t>
    <phoneticPr fontId="8" type="noConversion"/>
  </si>
  <si>
    <r>
      <rPr>
        <b/>
        <sz val="28"/>
        <color rgb="FF002060"/>
        <rFont val="맑은 고딕"/>
        <family val="3"/>
        <charset val="129"/>
      </rPr>
      <t>주간 예정공정표</t>
    </r>
    <r>
      <rPr>
        <b/>
        <sz val="40"/>
        <color rgb="FF002060"/>
        <rFont val="맑은 고딕"/>
        <family val="3"/>
        <charset val="129"/>
      </rPr>
      <t xml:space="preserve">
</t>
    </r>
    <r>
      <rPr>
        <b/>
        <sz val="22"/>
        <color rgb="FF002060"/>
        <rFont val="맑은 고딕"/>
        <family val="3"/>
        <charset val="129"/>
      </rPr>
      <t>(Weekly schedule milestone)</t>
    </r>
    <phoneticPr fontId="4" type="noConversion"/>
  </si>
  <si>
    <t>000신축공사</t>
    <phoneticPr fontId="4" type="noConversion"/>
  </si>
  <si>
    <t>제(개)정일 : 20   .   .   .</t>
    <phoneticPr fontId="4" type="noConversion"/>
  </si>
  <si>
    <t>개정번호 : Rev.0</t>
    <phoneticPr fontId="4" type="noConversion"/>
  </si>
  <si>
    <t>위 치</t>
    <phoneticPr fontId="8" type="noConversion"/>
  </si>
  <si>
    <t>세부내용</t>
    <phoneticPr fontId="8" type="noConversion"/>
  </si>
  <si>
    <t>수량</t>
    <phoneticPr fontId="8" type="noConversion"/>
  </si>
  <si>
    <t>20   년    월</t>
    <phoneticPr fontId="8" type="noConversion"/>
  </si>
  <si>
    <t>비고</t>
    <phoneticPr fontId="4" type="noConversion"/>
  </si>
  <si>
    <t>금 주</t>
    <phoneticPr fontId="15" type="noConversion"/>
  </si>
  <si>
    <t>차 주</t>
    <phoneticPr fontId="15" type="noConversion"/>
  </si>
  <si>
    <t>일</t>
    <phoneticPr fontId="8" type="noConversion"/>
  </si>
  <si>
    <t>월</t>
    <phoneticPr fontId="8" type="noConversion"/>
  </si>
  <si>
    <t>화</t>
    <phoneticPr fontId="15" type="noConversion"/>
  </si>
  <si>
    <t>철골공사</t>
    <phoneticPr fontId="8" type="noConversion"/>
  </si>
  <si>
    <t>실시</t>
    <phoneticPr fontId="8" type="noConversion"/>
  </si>
  <si>
    <t>전기공사</t>
    <phoneticPr fontId="8" type="noConversion"/>
  </si>
  <si>
    <t>참 고 사 항</t>
    <phoneticPr fontId="4" type="noConversion"/>
  </si>
  <si>
    <t>: 실시</t>
    <phoneticPr fontId="8" type="noConversion"/>
  </si>
  <si>
    <r>
      <rPr>
        <b/>
        <sz val="28"/>
        <color rgb="FF002060"/>
        <rFont val="맑은 고딕"/>
        <family val="3"/>
        <charset val="129"/>
      </rPr>
      <t>주간 예정공정표</t>
    </r>
    <r>
      <rPr>
        <b/>
        <sz val="40"/>
        <color rgb="FF002060"/>
        <rFont val="맑은 고딕"/>
        <family val="3"/>
        <charset val="129"/>
      </rPr>
      <t xml:space="preserve">
</t>
    </r>
    <r>
      <rPr>
        <b/>
        <sz val="22"/>
        <color rgb="FF002060"/>
        <rFont val="맑은 고딕"/>
        <family val="3"/>
        <charset val="129"/>
      </rPr>
      <t>(Weekly schedule milestone)</t>
    </r>
    <phoneticPr fontId="4" type="noConversion"/>
  </si>
  <si>
    <t>개정번호 : Rev.0</t>
    <phoneticPr fontId="4" type="noConversion"/>
  </si>
  <si>
    <t>비고</t>
    <phoneticPr fontId="4" type="noConversion"/>
  </si>
  <si>
    <t>일</t>
    <phoneticPr fontId="8" type="noConversion"/>
  </si>
  <si>
    <t>화</t>
    <phoneticPr fontId="15" type="noConversion"/>
  </si>
  <si>
    <t>인테리어공사</t>
    <phoneticPr fontId="8" type="noConversion"/>
  </si>
  <si>
    <t>5F WOOD FLOOR/가구설치</t>
    <phoneticPr fontId="8" type="noConversion"/>
  </si>
  <si>
    <t xml:space="preserve"> 잔손보기 및 마무리</t>
    <phoneticPr fontId="8" type="noConversion"/>
  </si>
  <si>
    <t>내부 등박스/F.C.U 골조 설치/벽체 인테리어마감</t>
    <phoneticPr fontId="8" type="noConversion"/>
  </si>
  <si>
    <t>잡철물공사</t>
    <phoneticPr fontId="8" type="noConversion"/>
  </si>
  <si>
    <t>줄눈코킹 및 잔손보기</t>
    <phoneticPr fontId="8" type="noConversion"/>
  </si>
  <si>
    <t>캐노피설치
(BEAD BLASTER설치)</t>
    <phoneticPr fontId="8" type="noConversion"/>
  </si>
  <si>
    <t>줄눈코킹 및 잔손보기</t>
    <phoneticPr fontId="8" type="noConversion"/>
  </si>
  <si>
    <t>지하실 정벌 도장/잔손보기 및 마무리</t>
    <phoneticPr fontId="8" type="noConversion"/>
  </si>
  <si>
    <t>수장공사</t>
    <phoneticPr fontId="8" type="noConversion"/>
  </si>
  <si>
    <t>천정/바닥 마감</t>
    <phoneticPr fontId="8" type="noConversion"/>
  </si>
  <si>
    <t>잔손보기/줄눈코킹</t>
    <phoneticPr fontId="8" type="noConversion"/>
  </si>
  <si>
    <t xml:space="preserve"> #4 계단실 벽체/바닥 석재취부 및 외부줄눈코킹</t>
    <phoneticPr fontId="8" type="noConversion"/>
  </si>
  <si>
    <t>잔여구간 석재취부</t>
    <phoneticPr fontId="8" type="noConversion"/>
  </si>
  <si>
    <t>잔손보기/마무리 작업 및 외부 줄눈코킹</t>
    <phoneticPr fontId="8" type="noConversion"/>
  </si>
  <si>
    <t>창호코킹</t>
    <phoneticPr fontId="8" type="noConversion"/>
  </si>
  <si>
    <t>창호 코킹/연결통로 잔손보기</t>
    <phoneticPr fontId="8" type="noConversion"/>
  </si>
  <si>
    <t>유리공사</t>
    <phoneticPr fontId="8" type="noConversion"/>
  </si>
  <si>
    <t>준공청소</t>
    <phoneticPr fontId="8" type="noConversion"/>
  </si>
  <si>
    <t>내외부 청소</t>
    <phoneticPr fontId="8" type="noConversion"/>
  </si>
  <si>
    <t>본관 배면,정면 외벽/화장실 물청소</t>
    <phoneticPr fontId="8" type="noConversion"/>
  </si>
  <si>
    <t>등기구/전열기구설치</t>
    <phoneticPr fontId="8" type="noConversion"/>
  </si>
  <si>
    <t>등기구/전열기구/방송,CATV 설치</t>
    <phoneticPr fontId="8" type="noConversion"/>
  </si>
  <si>
    <t>장비설치/시운전</t>
    <phoneticPr fontId="8" type="noConversion"/>
  </si>
  <si>
    <t>설비,소방 장비 설치 및 TEST/시운전</t>
    <phoneticPr fontId="8" type="noConversion"/>
  </si>
  <si>
    <t>시공상세도 작성 계획</t>
    <phoneticPr fontId="4" type="noConversion"/>
  </si>
  <si>
    <t>검 토</t>
    <phoneticPr fontId="8" type="noConversion"/>
  </si>
  <si>
    <t>승 인</t>
    <phoneticPr fontId="4" type="noConversion"/>
  </si>
  <si>
    <t>0000 신축공사</t>
    <phoneticPr fontId="8" type="noConversion"/>
  </si>
  <si>
    <t>/</t>
    <phoneticPr fontId="4" type="noConversion"/>
  </si>
  <si>
    <t>/</t>
    <phoneticPr fontId="8" type="noConversion"/>
  </si>
  <si>
    <t>/</t>
    <phoneticPr fontId="4" type="noConversion"/>
  </si>
  <si>
    <t>No</t>
    <phoneticPr fontId="4" type="noConversion"/>
  </si>
  <si>
    <t>공종</t>
    <phoneticPr fontId="4" type="noConversion"/>
  </si>
  <si>
    <t>시공상세도 명</t>
    <phoneticPr fontId="4" type="noConversion"/>
  </si>
  <si>
    <t>예정공정표 시작일/완료일</t>
    <phoneticPr fontId="4" type="noConversion"/>
  </si>
  <si>
    <t>승인대상 여부</t>
    <phoneticPr fontId="4" type="noConversion"/>
  </si>
  <si>
    <t>승인요청 예정일</t>
    <phoneticPr fontId="4" type="noConversion"/>
  </si>
  <si>
    <t>시공상세도 검토요청서</t>
    <phoneticPr fontId="15" type="noConversion"/>
  </si>
  <si>
    <t>공  사   명</t>
    <phoneticPr fontId="15" type="noConversion"/>
  </si>
  <si>
    <t>○○○ 신축공사</t>
    <phoneticPr fontId="4" type="noConversion"/>
  </si>
  <si>
    <t>문 서 번 호</t>
    <phoneticPr fontId="15" type="noConversion"/>
  </si>
  <si>
    <t>작 성 일 자</t>
    <phoneticPr fontId="15" type="noConversion"/>
  </si>
  <si>
    <t>20     .       .      .</t>
    <phoneticPr fontId="15" type="noConversion"/>
  </si>
  <si>
    <t>발        신</t>
    <phoneticPr fontId="15" type="noConversion"/>
  </si>
  <si>
    <t>수        신</t>
    <phoneticPr fontId="15" type="noConversion"/>
  </si>
  <si>
    <t>책임 건설사업관리기술자</t>
    <phoneticPr fontId="4" type="noConversion"/>
  </si>
  <si>
    <t>담   당   자</t>
    <phoneticPr fontId="15" type="noConversion"/>
  </si>
  <si>
    <t>관련도면/시방서</t>
    <phoneticPr fontId="15" type="noConversion"/>
  </si>
  <si>
    <t>제        목</t>
    <phoneticPr fontId="15" type="noConversion"/>
  </si>
  <si>
    <t>DIVISION</t>
    <phoneticPr fontId="15" type="noConversion"/>
  </si>
  <si>
    <t>□  토      목</t>
    <phoneticPr fontId="15" type="noConversion"/>
  </si>
  <si>
    <t>□  구      조</t>
    <phoneticPr fontId="15" type="noConversion"/>
  </si>
  <si>
    <t>□  건      축</t>
    <phoneticPr fontId="15" type="noConversion"/>
  </si>
  <si>
    <t>□  소      방</t>
    <phoneticPr fontId="15" type="noConversion"/>
  </si>
  <si>
    <t>□  설      비</t>
    <phoneticPr fontId="15" type="noConversion"/>
  </si>
  <si>
    <t>□  전      기</t>
    <phoneticPr fontId="15" type="noConversion"/>
  </si>
  <si>
    <t>□  의      장</t>
    <phoneticPr fontId="15" type="noConversion"/>
  </si>
  <si>
    <t>□  기      타</t>
    <phoneticPr fontId="15" type="noConversion"/>
  </si>
  <si>
    <t>첨부도면 내용</t>
    <phoneticPr fontId="15" type="noConversion"/>
  </si>
  <si>
    <t xml:space="preserve">   상기 시공상세도(SHOP-DWG)를 검토 요청하오니 결과를 통보하여 주시기 바랍니다.</t>
    <phoneticPr fontId="15" type="noConversion"/>
  </si>
  <si>
    <t>시공상세도 검토결과 통보</t>
    <phoneticPr fontId="15" type="noConversion"/>
  </si>
  <si>
    <t>접 수 일 자</t>
    <phoneticPr fontId="4" type="noConversion"/>
  </si>
  <si>
    <t>20   .     .      .</t>
    <phoneticPr fontId="4" type="noConversion"/>
  </si>
  <si>
    <t>통 보 일 자</t>
    <phoneticPr fontId="15" type="noConversion"/>
  </si>
  <si>
    <t>20   .     .      .</t>
    <phoneticPr fontId="15" type="noConversion"/>
  </si>
  <si>
    <t>회 신 내 용</t>
    <phoneticPr fontId="15" type="noConversion"/>
  </si>
  <si>
    <t>발주자 의견</t>
    <phoneticPr fontId="15" type="noConversion"/>
  </si>
  <si>
    <t>결        과</t>
    <phoneticPr fontId="15" type="noConversion"/>
  </si>
  <si>
    <t>A. 승인, 제출한 내용대로 진행</t>
    <phoneticPr fontId="15" type="noConversion"/>
  </si>
  <si>
    <t>B. 수정 후 재요청, 진행불가</t>
    <phoneticPr fontId="15" type="noConversion"/>
  </si>
  <si>
    <t>C. 주 내용대로 수정 후 진행</t>
    <phoneticPr fontId="15" type="noConversion"/>
  </si>
  <si>
    <t>D. 승인불가</t>
    <phoneticPr fontId="15" type="noConversion"/>
  </si>
  <si>
    <t>시공상세도에 대한 승인 검토결과를 위와 같이
통보합니다.</t>
    <phoneticPr fontId="15" type="noConversion"/>
  </si>
  <si>
    <t>담당 건설사업관리기술자</t>
    <phoneticPr fontId="4" type="noConversion"/>
  </si>
  <si>
    <t>○ ○ ○  (인)</t>
    <phoneticPr fontId="4" type="noConversion"/>
  </si>
  <si>
    <t>책임 건설사업관리기술자</t>
    <phoneticPr fontId="20" type="noConversion"/>
  </si>
  <si>
    <t>○ ○ ○  (인)</t>
    <phoneticPr fontId="4" type="noConversion"/>
  </si>
  <si>
    <t>시공상세도(Shop-DWG) 배포대장</t>
    <phoneticPr fontId="8" type="noConversion"/>
  </si>
  <si>
    <t>000 신축현장</t>
    <phoneticPr fontId="4" type="noConversion"/>
  </si>
  <si>
    <t>No</t>
    <phoneticPr fontId="20" type="noConversion"/>
  </si>
  <si>
    <t>관리번호</t>
    <phoneticPr fontId="4" type="noConversion"/>
  </si>
  <si>
    <t>도면 및 도서의 종류</t>
    <phoneticPr fontId="8" type="noConversion"/>
  </si>
  <si>
    <t>상세도 내용</t>
    <phoneticPr fontId="8" type="noConversion"/>
  </si>
  <si>
    <t>개정
번호</t>
    <phoneticPr fontId="4" type="noConversion"/>
  </si>
  <si>
    <t>배포처</t>
    <phoneticPr fontId="20" type="noConversion"/>
  </si>
  <si>
    <t>관리자</t>
    <phoneticPr fontId="20" type="noConversion"/>
  </si>
  <si>
    <t>회수/폐기</t>
    <phoneticPr fontId="20" type="noConversion"/>
  </si>
  <si>
    <t>우미건설㈜</t>
    <phoneticPr fontId="15" type="noConversion"/>
  </si>
  <si>
    <t xml:space="preserve">                         우미건설㈜ ○○○ 신축공사    현장대리인  ○  ○ ○  (인)</t>
    <phoneticPr fontId="15" type="noConversion"/>
  </si>
  <si>
    <t>공사 예정공정표 (Master Schedule)</t>
    <phoneticPr fontId="4" type="noConversion"/>
  </si>
  <si>
    <t>제(개)정일 : 2022. 06. 01.</t>
    <phoneticPr fontId="4" type="noConversion"/>
  </si>
  <si>
    <t>제(개)정일 :  2022. 06. 01.</t>
    <phoneticPr fontId="4" type="noConversion"/>
  </si>
  <si>
    <t>※ 공사기간 : 2022. 06 ∼ 2020. 08  (14개월)</t>
    <phoneticPr fontId="20" type="noConversion"/>
  </si>
  <si>
    <t>2022년</t>
    <phoneticPr fontId="8" type="noConversion"/>
  </si>
  <si>
    <t>2023년</t>
    <phoneticPr fontId="8" type="noConversion"/>
  </si>
  <si>
    <t>2022년 06월</t>
    <phoneticPr fontId="8" type="noConversion"/>
  </si>
  <si>
    <t>2022년  6월</t>
    <phoneticPr fontId="8" type="noConversion"/>
  </si>
  <si>
    <t>건설사업관리기술인 의견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</si>
</sst>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\ %"/>
    <numFmt numFmtId="177" formatCode="0.00_);[Red]\(0.00\)"/>
    <numFmt numFmtId="178" formatCode="0.0"/>
    <numFmt numFmtId="179" formatCode="&quot;현재&quot;\ 0%"/>
  </numFmts>
  <fonts count="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12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indexed="22"/>
      <name val="맑은 고딕"/>
      <family val="3"/>
      <charset val="129"/>
    </font>
    <font>
      <sz val="9"/>
      <name val="맑은 고딕"/>
      <family val="3"/>
      <charset val="129"/>
    </font>
    <font>
      <sz val="8"/>
      <name val="새굴림"/>
      <family val="1"/>
      <charset val="129"/>
    </font>
    <font>
      <sz val="11"/>
      <name val="HY울릉도M"/>
      <family val="1"/>
      <charset val="129"/>
    </font>
    <font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b/>
      <sz val="55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맑은 고딕"/>
      <family val="3"/>
      <charset val="129"/>
    </font>
    <font>
      <b/>
      <sz val="24"/>
      <color indexed="10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sz val="12"/>
      <name val="명조"/>
      <family val="3"/>
      <charset val="129"/>
    </font>
    <font>
      <b/>
      <sz val="11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40"/>
      <color rgb="FF002060"/>
      <name val="맑은 고딕"/>
      <family val="3"/>
      <charset val="129"/>
    </font>
    <font>
      <b/>
      <sz val="35"/>
      <color rgb="FF002060"/>
      <name val="맑은 고딕"/>
      <family val="3"/>
      <charset val="129"/>
    </font>
    <font>
      <b/>
      <sz val="28"/>
      <color rgb="FF002060"/>
      <name val="맑은 고딕"/>
      <family val="3"/>
      <charset val="129"/>
    </font>
    <font>
      <u/>
      <sz val="24"/>
      <name val="맑은 고딕"/>
      <family val="3"/>
      <charset val="129"/>
    </font>
    <font>
      <sz val="11"/>
      <color indexed="12"/>
      <name val="맑은 고딕"/>
      <family val="3"/>
      <charset val="129"/>
    </font>
    <font>
      <sz val="7"/>
      <name val="맑은 고딕"/>
      <family val="3"/>
      <charset val="129"/>
    </font>
    <font>
      <b/>
      <sz val="22"/>
      <color rgb="FF002060"/>
      <name val="맑은 고딕"/>
      <family val="3"/>
      <charset val="129"/>
    </font>
    <font>
      <sz val="14"/>
      <color rgb="FF002060"/>
      <name val="맑은 고딕"/>
      <family val="3"/>
      <charset val="129"/>
    </font>
    <font>
      <sz val="12"/>
      <name val="새굴림"/>
      <family val="1"/>
      <charset val="129"/>
    </font>
    <font>
      <sz val="11"/>
      <name val="현대하모니 M"/>
      <family val="1"/>
      <charset val="129"/>
    </font>
    <font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25"/>
      <color indexed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/>
      <top style="hair">
        <color indexed="8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/>
      <top/>
      <bottom style="hair">
        <color indexed="8"/>
      </bottom>
      <diagonal/>
    </border>
    <border>
      <left style="hair">
        <color indexed="64"/>
      </left>
      <right style="thick">
        <color indexed="64"/>
      </right>
      <top/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/>
      <top style="hair">
        <color indexed="8"/>
      </top>
      <bottom/>
      <diagonal/>
    </border>
    <border>
      <left style="hair">
        <color indexed="64"/>
      </left>
      <right style="thick">
        <color indexed="64"/>
      </right>
      <top style="hair">
        <color indexed="8"/>
      </top>
      <bottom/>
      <diagonal/>
    </border>
    <border>
      <left style="hair">
        <color indexed="64"/>
      </left>
      <right style="thin">
        <color indexed="64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thick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64"/>
      </left>
      <right style="double">
        <color indexed="64"/>
      </right>
      <top style="hair">
        <color indexed="8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8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hair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/>
      <top style="hair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</borders>
  <cellStyleXfs count="1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5" fillId="0" borderId="0"/>
    <xf numFmtId="0" fontId="5" fillId="0" borderId="0"/>
    <xf numFmtId="0" fontId="5" fillId="0" borderId="0"/>
    <xf numFmtId="41" fontId="16" fillId="0" borderId="0" applyFont="0" applyFill="0" applyBorder="0" applyAlignment="0" applyProtection="0">
      <alignment vertical="center"/>
    </xf>
    <xf numFmtId="0" fontId="2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2" fillId="0" borderId="0"/>
    <xf numFmtId="0" fontId="5" fillId="0" borderId="0"/>
    <xf numFmtId="0" fontId="34" fillId="0" borderId="0">
      <alignment vertical="center"/>
    </xf>
    <xf numFmtId="0" fontId="5" fillId="0" borderId="0"/>
    <xf numFmtId="0" fontId="5" fillId="0" borderId="0"/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852">
    <xf numFmtId="0" fontId="0" fillId="0" borderId="0" xfId="0">
      <alignment vertical="center"/>
    </xf>
    <xf numFmtId="0" fontId="6" fillId="0" borderId="0" xfId="3" applyFont="1" applyAlignment="1">
      <alignment vertical="center"/>
    </xf>
    <xf numFmtId="0" fontId="9" fillId="0" borderId="0" xfId="4" applyFont="1" applyAlignment="1">
      <alignment vertical="center"/>
    </xf>
    <xf numFmtId="0" fontId="10" fillId="0" borderId="0" xfId="3" applyFont="1" applyAlignment="1">
      <alignment vertical="center"/>
    </xf>
    <xf numFmtId="0" fontId="10" fillId="3" borderId="1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10" fillId="0" borderId="1" xfId="5" applyFont="1" applyBorder="1" applyAlignment="1">
      <alignment horizontal="center" vertical="center"/>
    </xf>
    <xf numFmtId="0" fontId="10" fillId="0" borderId="1" xfId="5" quotePrefix="1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9" fillId="0" borderId="4" xfId="2" applyFont="1" applyBorder="1" applyAlignment="1">
      <alignment horizontal="right" vertical="center"/>
    </xf>
    <xf numFmtId="0" fontId="9" fillId="3" borderId="6" xfId="5" applyFont="1" applyFill="1" applyBorder="1" applyAlignment="1">
      <alignment horizontal="center" vertical="center"/>
    </xf>
    <xf numFmtId="0" fontId="10" fillId="0" borderId="1" xfId="5" applyFont="1" applyBorder="1" applyAlignment="1">
      <alignment vertical="center"/>
    </xf>
    <xf numFmtId="41" fontId="17" fillId="0" borderId="0" xfId="8" applyFont="1" applyAlignment="1">
      <alignment horizontal="center" vertical="center"/>
    </xf>
    <xf numFmtId="3" fontId="17" fillId="0" borderId="0" xfId="8" applyNumberFormat="1" applyFont="1" applyAlignment="1">
      <alignment horizontal="right" vertical="center"/>
    </xf>
    <xf numFmtId="10" fontId="17" fillId="0" borderId="0" xfId="8" applyNumberFormat="1" applyFont="1" applyAlignment="1">
      <alignment horizontal="center" vertical="center"/>
    </xf>
    <xf numFmtId="41" fontId="26" fillId="0" borderId="0" xfId="8" applyFont="1" applyAlignment="1">
      <alignment horizontal="left" vertical="center"/>
    </xf>
    <xf numFmtId="41" fontId="27" fillId="0" borderId="0" xfId="8" applyFont="1" applyAlignment="1">
      <alignment horizontal="center" vertical="center"/>
    </xf>
    <xf numFmtId="3" fontId="28" fillId="0" borderId="0" xfId="8" applyNumberFormat="1" applyFont="1" applyAlignment="1">
      <alignment horizontal="right" vertical="center"/>
    </xf>
    <xf numFmtId="10" fontId="28" fillId="0" borderId="0" xfId="8" applyNumberFormat="1" applyFont="1" applyAlignment="1">
      <alignment horizontal="center" vertical="center"/>
    </xf>
    <xf numFmtId="41" fontId="28" fillId="0" borderId="0" xfId="8" applyFont="1" applyAlignment="1">
      <alignment horizontal="center" vertical="center"/>
    </xf>
    <xf numFmtId="41" fontId="24" fillId="0" borderId="0" xfId="8" applyFont="1" applyBorder="1" applyAlignment="1">
      <alignment horizontal="right" vertical="center"/>
    </xf>
    <xf numFmtId="41" fontId="3" fillId="4" borderId="0" xfId="8" applyFont="1" applyFill="1" applyBorder="1" applyAlignment="1">
      <alignment horizontal="center" vertical="center"/>
    </xf>
    <xf numFmtId="41" fontId="3" fillId="0" borderId="0" xfId="8" applyFont="1" applyAlignment="1">
      <alignment horizontal="center" vertical="center"/>
    </xf>
    <xf numFmtId="0" fontId="17" fillId="3" borderId="26" xfId="8" applyNumberFormat="1" applyFont="1" applyFill="1" applyBorder="1" applyAlignment="1">
      <alignment horizontal="center" vertical="center"/>
    </xf>
    <xf numFmtId="0" fontId="17" fillId="3" borderId="27" xfId="8" applyNumberFormat="1" applyFont="1" applyFill="1" applyBorder="1" applyAlignment="1">
      <alignment horizontal="center" vertical="center"/>
    </xf>
    <xf numFmtId="0" fontId="17" fillId="3" borderId="28" xfId="8" applyNumberFormat="1" applyFont="1" applyFill="1" applyBorder="1" applyAlignment="1">
      <alignment horizontal="center" vertical="center"/>
    </xf>
    <xf numFmtId="41" fontId="17" fillId="4" borderId="0" xfId="8" applyFont="1" applyFill="1" applyBorder="1" applyAlignment="1">
      <alignment horizontal="center" vertical="center"/>
    </xf>
    <xf numFmtId="0" fontId="17" fillId="5" borderId="32" xfId="8" applyNumberFormat="1" applyFont="1" applyFill="1" applyBorder="1" applyAlignment="1">
      <alignment horizontal="center" vertical="center"/>
    </xf>
    <xf numFmtId="0" fontId="17" fillId="5" borderId="33" xfId="8" applyNumberFormat="1" applyFont="1" applyFill="1" applyBorder="1" applyAlignment="1">
      <alignment horizontal="center" vertical="center"/>
    </xf>
    <xf numFmtId="0" fontId="17" fillId="5" borderId="34" xfId="8" applyNumberFormat="1" applyFont="1" applyFill="1" applyBorder="1" applyAlignment="1">
      <alignment horizontal="center" vertical="center"/>
    </xf>
    <xf numFmtId="9" fontId="17" fillId="5" borderId="35" xfId="9" applyFont="1" applyFill="1" applyBorder="1" applyAlignment="1">
      <alignment horizontal="left" vertical="center"/>
    </xf>
    <xf numFmtId="0" fontId="10" fillId="5" borderId="36" xfId="8" applyNumberFormat="1" applyFont="1" applyFill="1" applyBorder="1" applyAlignment="1">
      <alignment horizontal="center" vertical="center"/>
    </xf>
    <xf numFmtId="0" fontId="10" fillId="5" borderId="37" xfId="8" applyNumberFormat="1" applyFont="1" applyFill="1" applyBorder="1" applyAlignment="1">
      <alignment horizontal="center" vertical="center"/>
    </xf>
    <xf numFmtId="0" fontId="29" fillId="5" borderId="38" xfId="8" applyNumberFormat="1" applyFont="1" applyFill="1" applyBorder="1" applyAlignment="1">
      <alignment horizontal="center" vertical="center"/>
    </xf>
    <xf numFmtId="0" fontId="29" fillId="5" borderId="36" xfId="8" applyNumberFormat="1" applyFont="1" applyFill="1" applyBorder="1" applyAlignment="1">
      <alignment horizontal="center" vertical="center"/>
    </xf>
    <xf numFmtId="0" fontId="10" fillId="5" borderId="38" xfId="8" applyNumberFormat="1" applyFont="1" applyFill="1" applyBorder="1" applyAlignment="1">
      <alignment horizontal="center" vertical="center"/>
    </xf>
    <xf numFmtId="0" fontId="29" fillId="5" borderId="37" xfId="8" applyNumberFormat="1" applyFont="1" applyFill="1" applyBorder="1" applyAlignment="1">
      <alignment horizontal="center" vertical="center"/>
    </xf>
    <xf numFmtId="9" fontId="17" fillId="5" borderId="13" xfId="9" applyFont="1" applyFill="1" applyBorder="1" applyAlignment="1">
      <alignment horizontal="left" vertical="center"/>
    </xf>
    <xf numFmtId="0" fontId="10" fillId="5" borderId="39" xfId="8" applyNumberFormat="1" applyFont="1" applyFill="1" applyBorder="1" applyAlignment="1">
      <alignment horizontal="center" vertical="center"/>
    </xf>
    <xf numFmtId="0" fontId="10" fillId="5" borderId="40" xfId="8" applyNumberFormat="1" applyFont="1" applyFill="1" applyBorder="1" applyAlignment="1">
      <alignment horizontal="center" vertical="center"/>
    </xf>
    <xf numFmtId="0" fontId="10" fillId="5" borderId="41" xfId="8" applyNumberFormat="1" applyFont="1" applyFill="1" applyBorder="1" applyAlignment="1">
      <alignment horizontal="center" vertical="center"/>
    </xf>
    <xf numFmtId="9" fontId="17" fillId="5" borderId="3" xfId="9" applyFont="1" applyFill="1" applyBorder="1" applyAlignment="1">
      <alignment horizontal="left" vertical="center"/>
    </xf>
    <xf numFmtId="41" fontId="17" fillId="0" borderId="0" xfId="8" applyFont="1" applyBorder="1" applyAlignment="1">
      <alignment horizontal="center" vertical="center"/>
    </xf>
    <xf numFmtId="0" fontId="10" fillId="0" borderId="36" xfId="8" applyNumberFormat="1" applyFont="1" applyBorder="1" applyAlignment="1">
      <alignment horizontal="center" vertical="center"/>
    </xf>
    <xf numFmtId="0" fontId="10" fillId="0" borderId="37" xfId="8" applyNumberFormat="1" applyFont="1" applyBorder="1" applyAlignment="1">
      <alignment horizontal="center" vertical="center"/>
    </xf>
    <xf numFmtId="0" fontId="10" fillId="0" borderId="38" xfId="8" applyNumberFormat="1" applyFont="1" applyBorder="1" applyAlignment="1">
      <alignment horizontal="center" vertical="center"/>
    </xf>
    <xf numFmtId="0" fontId="9" fillId="0" borderId="36" xfId="8" applyNumberFormat="1" applyFont="1" applyBorder="1" applyAlignment="1">
      <alignment horizontal="center" vertical="center"/>
    </xf>
    <xf numFmtId="0" fontId="9" fillId="0" borderId="37" xfId="8" applyNumberFormat="1" applyFont="1" applyBorder="1" applyAlignment="1">
      <alignment horizontal="center" vertical="center"/>
    </xf>
    <xf numFmtId="0" fontId="10" fillId="0" borderId="36" xfId="8" applyNumberFormat="1" applyFont="1" applyFill="1" applyBorder="1" applyAlignment="1">
      <alignment horizontal="center" vertical="center"/>
    </xf>
    <xf numFmtId="0" fontId="10" fillId="0" borderId="37" xfId="8" applyNumberFormat="1" applyFont="1" applyFill="1" applyBorder="1" applyAlignment="1">
      <alignment horizontal="center" vertical="center"/>
    </xf>
    <xf numFmtId="0" fontId="9" fillId="0" borderId="38" xfId="8" applyNumberFormat="1" applyFont="1" applyBorder="1" applyAlignment="1">
      <alignment horizontal="center" vertical="center"/>
    </xf>
    <xf numFmtId="9" fontId="17" fillId="0" borderId="13" xfId="9" applyFont="1" applyBorder="1" applyAlignment="1">
      <alignment horizontal="left" vertical="center"/>
    </xf>
    <xf numFmtId="2" fontId="10" fillId="0" borderId="37" xfId="8" applyNumberFormat="1" applyFont="1" applyBorder="1" applyAlignment="1">
      <alignment horizontal="center" vertical="center"/>
    </xf>
    <xf numFmtId="2" fontId="10" fillId="0" borderId="38" xfId="8" applyNumberFormat="1" applyFont="1" applyBorder="1" applyAlignment="1">
      <alignment horizontal="center" vertical="center"/>
    </xf>
    <xf numFmtId="0" fontId="9" fillId="0" borderId="37" xfId="8" applyNumberFormat="1" applyFont="1" applyFill="1" applyBorder="1" applyAlignment="1">
      <alignment horizontal="center" vertical="center"/>
    </xf>
    <xf numFmtId="0" fontId="9" fillId="4" borderId="36" xfId="8" applyNumberFormat="1" applyFont="1" applyFill="1" applyBorder="1" applyAlignment="1">
      <alignment horizontal="center" vertical="center"/>
    </xf>
    <xf numFmtId="2" fontId="10" fillId="0" borderId="37" xfId="8" applyNumberFormat="1" applyFont="1" applyFill="1" applyBorder="1" applyAlignment="1">
      <alignment horizontal="center" vertical="center"/>
    </xf>
    <xf numFmtId="0" fontId="9" fillId="4" borderId="38" xfId="8" applyNumberFormat="1" applyFont="1" applyFill="1" applyBorder="1" applyAlignment="1">
      <alignment horizontal="center" vertical="center"/>
    </xf>
    <xf numFmtId="0" fontId="10" fillId="4" borderId="38" xfId="8" applyNumberFormat="1" applyFont="1" applyFill="1" applyBorder="1" applyAlignment="1">
      <alignment horizontal="center" vertical="center"/>
    </xf>
    <xf numFmtId="0" fontId="30" fillId="0" borderId="38" xfId="8" applyNumberFormat="1" applyFont="1" applyBorder="1" applyAlignment="1">
      <alignment horizontal="center" vertical="center"/>
    </xf>
    <xf numFmtId="0" fontId="10" fillId="0" borderId="46" xfId="8" applyNumberFormat="1" applyFont="1" applyBorder="1" applyAlignment="1">
      <alignment horizontal="center" vertical="center"/>
    </xf>
    <xf numFmtId="0" fontId="10" fillId="0" borderId="47" xfId="8" applyNumberFormat="1" applyFont="1" applyBorder="1" applyAlignment="1">
      <alignment horizontal="center" vertical="center"/>
    </xf>
    <xf numFmtId="0" fontId="10" fillId="0" borderId="48" xfId="8" applyNumberFormat="1" applyFont="1" applyBorder="1" applyAlignment="1">
      <alignment horizontal="center" vertical="center"/>
    </xf>
    <xf numFmtId="0" fontId="9" fillId="0" borderId="46" xfId="8" applyNumberFormat="1" applyFont="1" applyBorder="1" applyAlignment="1">
      <alignment horizontal="center" vertical="center"/>
    </xf>
    <xf numFmtId="0" fontId="10" fillId="0" borderId="46" xfId="8" applyNumberFormat="1" applyFont="1" applyFill="1" applyBorder="1" applyAlignment="1">
      <alignment horizontal="center" vertical="center"/>
    </xf>
    <xf numFmtId="0" fontId="10" fillId="0" borderId="47" xfId="8" applyNumberFormat="1" applyFont="1" applyFill="1" applyBorder="1" applyAlignment="1">
      <alignment horizontal="center" vertical="center"/>
    </xf>
    <xf numFmtId="0" fontId="9" fillId="0" borderId="48" xfId="8" applyNumberFormat="1" applyFont="1" applyFill="1" applyBorder="1" applyAlignment="1">
      <alignment horizontal="center" vertical="center"/>
    </xf>
    <xf numFmtId="0" fontId="9" fillId="0" borderId="48" xfId="8" applyNumberFormat="1" applyFont="1" applyBorder="1" applyAlignment="1">
      <alignment horizontal="center" vertical="center"/>
    </xf>
    <xf numFmtId="0" fontId="9" fillId="0" borderId="47" xfId="8" applyNumberFormat="1" applyFont="1" applyBorder="1" applyAlignment="1">
      <alignment horizontal="center" vertical="center"/>
    </xf>
    <xf numFmtId="9" fontId="17" fillId="0" borderId="2" xfId="9" applyFont="1" applyBorder="1" applyAlignment="1">
      <alignment horizontal="left" vertical="center"/>
    </xf>
    <xf numFmtId="0" fontId="10" fillId="0" borderId="39" xfId="8" applyNumberFormat="1" applyFont="1" applyBorder="1" applyAlignment="1">
      <alignment horizontal="center" vertical="center"/>
    </xf>
    <xf numFmtId="0" fontId="10" fillId="0" borderId="40" xfId="8" applyNumberFormat="1" applyFont="1" applyBorder="1" applyAlignment="1">
      <alignment horizontal="center" vertical="center"/>
    </xf>
    <xf numFmtId="0" fontId="9" fillId="4" borderId="41" xfId="8" applyNumberFormat="1" applyFont="1" applyFill="1" applyBorder="1" applyAlignment="1">
      <alignment horizontal="center" vertical="center"/>
    </xf>
    <xf numFmtId="0" fontId="10" fillId="0" borderId="41" xfId="8" applyNumberFormat="1" applyFont="1" applyBorder="1" applyAlignment="1">
      <alignment horizontal="center" vertical="center"/>
    </xf>
    <xf numFmtId="0" fontId="10" fillId="0" borderId="39" xfId="8" applyNumberFormat="1" applyFont="1" applyFill="1" applyBorder="1" applyAlignment="1">
      <alignment horizontal="center" vertical="center"/>
    </xf>
    <xf numFmtId="0" fontId="10" fillId="0" borderId="40" xfId="8" applyNumberFormat="1" applyFont="1" applyFill="1" applyBorder="1" applyAlignment="1">
      <alignment horizontal="center" vertical="center"/>
    </xf>
    <xf numFmtId="9" fontId="17" fillId="0" borderId="3" xfId="9" applyFont="1" applyBorder="1" applyAlignment="1">
      <alignment horizontal="left" vertical="center"/>
    </xf>
    <xf numFmtId="0" fontId="9" fillId="0" borderId="38" xfId="8" applyNumberFormat="1" applyFont="1" applyFill="1" applyBorder="1" applyAlignment="1">
      <alignment horizontal="center" vertical="center"/>
    </xf>
    <xf numFmtId="0" fontId="9" fillId="0" borderId="36" xfId="8" applyNumberFormat="1" applyFont="1" applyFill="1" applyBorder="1" applyAlignment="1">
      <alignment horizontal="center" vertical="center"/>
    </xf>
    <xf numFmtId="0" fontId="10" fillId="0" borderId="50" xfId="8" applyNumberFormat="1" applyFont="1" applyBorder="1" applyAlignment="1">
      <alignment horizontal="center" vertical="center"/>
    </xf>
    <xf numFmtId="0" fontId="10" fillId="0" borderId="12" xfId="8" applyNumberFormat="1" applyFont="1" applyBorder="1" applyAlignment="1">
      <alignment horizontal="center" vertical="center"/>
    </xf>
    <xf numFmtId="0" fontId="9" fillId="4" borderId="37" xfId="8" applyNumberFormat="1" applyFont="1" applyFill="1" applyBorder="1" applyAlignment="1">
      <alignment horizontal="center" vertical="center"/>
    </xf>
    <xf numFmtId="0" fontId="30" fillId="0" borderId="36" xfId="8" applyNumberFormat="1" applyFont="1" applyBorder="1" applyAlignment="1">
      <alignment horizontal="center" vertical="center"/>
    </xf>
    <xf numFmtId="0" fontId="30" fillId="0" borderId="37" xfId="8" applyNumberFormat="1" applyFont="1" applyBorder="1" applyAlignment="1">
      <alignment horizontal="center" vertical="center"/>
    </xf>
    <xf numFmtId="0" fontId="9" fillId="0" borderId="36" xfId="8" applyNumberFormat="1" applyFont="1" applyBorder="1" applyAlignment="1">
      <alignment horizontal="left" vertical="center"/>
    </xf>
    <xf numFmtId="0" fontId="9" fillId="0" borderId="38" xfId="8" applyNumberFormat="1" applyFont="1" applyBorder="1" applyAlignment="1">
      <alignment horizontal="left" vertical="center"/>
    </xf>
    <xf numFmtId="0" fontId="9" fillId="0" borderId="37" xfId="8" applyNumberFormat="1" applyFont="1" applyBorder="1" applyAlignment="1">
      <alignment horizontal="left" vertical="center"/>
    </xf>
    <xf numFmtId="0" fontId="9" fillId="4" borderId="47" xfId="8" applyNumberFormat="1" applyFont="1" applyFill="1" applyBorder="1" applyAlignment="1">
      <alignment horizontal="center" vertical="center"/>
    </xf>
    <xf numFmtId="0" fontId="9" fillId="4" borderId="48" xfId="8" applyNumberFormat="1" applyFont="1" applyFill="1" applyBorder="1" applyAlignment="1">
      <alignment horizontal="center" vertical="center"/>
    </xf>
    <xf numFmtId="0" fontId="9" fillId="4" borderId="46" xfId="8" applyNumberFormat="1" applyFont="1" applyFill="1" applyBorder="1" applyAlignment="1">
      <alignment horizontal="center" vertical="center"/>
    </xf>
    <xf numFmtId="0" fontId="9" fillId="0" borderId="50" xfId="8" applyNumberFormat="1" applyFont="1" applyBorder="1" applyAlignment="1">
      <alignment horizontal="center" vertical="center"/>
    </xf>
    <xf numFmtId="0" fontId="10" fillId="0" borderId="11" xfId="8" applyNumberFormat="1" applyFont="1" applyBorder="1" applyAlignment="1">
      <alignment horizontal="center" vertical="center"/>
    </xf>
    <xf numFmtId="0" fontId="10" fillId="0" borderId="51" xfId="8" applyNumberFormat="1" applyFont="1" applyBorder="1" applyAlignment="1">
      <alignment horizontal="center" vertical="center"/>
    </xf>
    <xf numFmtId="0" fontId="9" fillId="0" borderId="0" xfId="8" applyNumberFormat="1" applyFont="1" applyBorder="1" applyAlignment="1">
      <alignment horizontal="center" vertical="center"/>
    </xf>
    <xf numFmtId="0" fontId="10" fillId="0" borderId="0" xfId="8" applyNumberFormat="1" applyFont="1" applyBorder="1" applyAlignment="1">
      <alignment horizontal="center" vertical="center"/>
    </xf>
    <xf numFmtId="0" fontId="10" fillId="0" borderId="52" xfId="8" applyNumberFormat="1" applyFont="1" applyBorder="1" applyAlignment="1">
      <alignment horizontal="center" vertical="center"/>
    </xf>
    <xf numFmtId="0" fontId="10" fillId="0" borderId="8" xfId="8" applyNumberFormat="1" applyFont="1" applyBorder="1" applyAlignment="1">
      <alignment horizontal="center" vertical="center"/>
    </xf>
    <xf numFmtId="0" fontId="10" fillId="0" borderId="9" xfId="8" applyNumberFormat="1" applyFont="1" applyBorder="1" applyAlignment="1">
      <alignment horizontal="center" vertical="center"/>
    </xf>
    <xf numFmtId="0" fontId="10" fillId="0" borderId="53" xfId="8" applyNumberFormat="1" applyFont="1" applyBorder="1" applyAlignment="1">
      <alignment horizontal="center" vertical="center"/>
    </xf>
    <xf numFmtId="0" fontId="10" fillId="0" borderId="10" xfId="8" applyNumberFormat="1" applyFont="1" applyBorder="1" applyAlignment="1">
      <alignment horizontal="center" vertical="center"/>
    </xf>
    <xf numFmtId="0" fontId="10" fillId="0" borderId="54" xfId="8" applyNumberFormat="1" applyFont="1" applyBorder="1" applyAlignment="1">
      <alignment horizontal="center" vertical="center"/>
    </xf>
    <xf numFmtId="0" fontId="10" fillId="0" borderId="14" xfId="8" applyNumberFormat="1" applyFont="1" applyBorder="1" applyAlignment="1">
      <alignment horizontal="center" vertical="center"/>
    </xf>
    <xf numFmtId="0" fontId="10" fillId="0" borderId="15" xfId="8" applyNumberFormat="1" applyFont="1" applyBorder="1" applyAlignment="1">
      <alignment horizontal="center" vertical="center"/>
    </xf>
    <xf numFmtId="0" fontId="10" fillId="0" borderId="55" xfId="8" applyNumberFormat="1" applyFont="1" applyBorder="1" applyAlignment="1">
      <alignment horizontal="center" vertical="center"/>
    </xf>
    <xf numFmtId="0" fontId="10" fillId="0" borderId="4" xfId="8" applyNumberFormat="1" applyFont="1" applyBorder="1" applyAlignment="1">
      <alignment horizontal="center" vertical="center"/>
    </xf>
    <xf numFmtId="177" fontId="10" fillId="0" borderId="40" xfId="8" applyNumberFormat="1" applyFont="1" applyBorder="1" applyAlignment="1">
      <alignment horizontal="center" vertical="center"/>
    </xf>
    <xf numFmtId="3" fontId="27" fillId="6" borderId="35" xfId="8" applyNumberFormat="1" applyFont="1" applyFill="1" applyBorder="1" applyAlignment="1">
      <alignment horizontal="right" vertical="center"/>
    </xf>
    <xf numFmtId="0" fontId="17" fillId="0" borderId="32" xfId="8" applyNumberFormat="1" applyFont="1" applyFill="1" applyBorder="1" applyAlignment="1">
      <alignment horizontal="center" vertical="center"/>
    </xf>
    <xf numFmtId="0" fontId="17" fillId="0" borderId="33" xfId="8" applyNumberFormat="1" applyFont="1" applyFill="1" applyBorder="1" applyAlignment="1">
      <alignment horizontal="center" vertical="center"/>
    </xf>
    <xf numFmtId="0" fontId="17" fillId="0" borderId="34" xfId="8" applyNumberFormat="1" applyFont="1" applyFill="1" applyBorder="1" applyAlignment="1">
      <alignment horizontal="center" vertical="center"/>
    </xf>
    <xf numFmtId="9" fontId="17" fillId="0" borderId="57" xfId="9" applyFont="1" applyFill="1" applyBorder="1" applyAlignment="1">
      <alignment horizontal="left" vertical="center"/>
    </xf>
    <xf numFmtId="3" fontId="27" fillId="6" borderId="13" xfId="8" applyNumberFormat="1" applyFont="1" applyFill="1" applyBorder="1" applyAlignment="1">
      <alignment horizontal="right" vertical="center"/>
    </xf>
    <xf numFmtId="0" fontId="29" fillId="0" borderId="38" xfId="8" applyNumberFormat="1" applyFont="1" applyFill="1" applyBorder="1" applyAlignment="1">
      <alignment horizontal="center" vertical="center"/>
    </xf>
    <xf numFmtId="0" fontId="29" fillId="0" borderId="36" xfId="8" applyNumberFormat="1" applyFont="1" applyFill="1" applyBorder="1" applyAlignment="1">
      <alignment horizontal="center" vertical="center"/>
    </xf>
    <xf numFmtId="0" fontId="10" fillId="0" borderId="38" xfId="8" applyNumberFormat="1" applyFont="1" applyFill="1" applyBorder="1" applyAlignment="1">
      <alignment horizontal="center" vertical="center"/>
    </xf>
    <xf numFmtId="0" fontId="29" fillId="0" borderId="37" xfId="8" applyNumberFormat="1" applyFont="1" applyFill="1" applyBorder="1" applyAlignment="1">
      <alignment horizontal="center" vertical="center"/>
    </xf>
    <xf numFmtId="9" fontId="17" fillId="0" borderId="59" xfId="9" applyFont="1" applyFill="1" applyBorder="1" applyAlignment="1">
      <alignment horizontal="left" vertical="center"/>
    </xf>
    <xf numFmtId="3" fontId="3" fillId="6" borderId="3" xfId="8" applyNumberFormat="1" applyFont="1" applyFill="1" applyBorder="1" applyAlignment="1">
      <alignment horizontal="right" vertical="center"/>
    </xf>
    <xf numFmtId="9" fontId="17" fillId="0" borderId="59" xfId="9" applyFont="1" applyBorder="1" applyAlignment="1">
      <alignment horizontal="left" vertical="center"/>
    </xf>
    <xf numFmtId="178" fontId="10" fillId="0" borderId="37" xfId="8" applyNumberFormat="1" applyFont="1" applyBorder="1" applyAlignment="1">
      <alignment horizontal="center" vertical="center"/>
    </xf>
    <xf numFmtId="1" fontId="10" fillId="0" borderId="37" xfId="8" applyNumberFormat="1" applyFont="1" applyFill="1" applyBorder="1" applyAlignment="1">
      <alignment horizontal="center" vertical="center"/>
    </xf>
    <xf numFmtId="0" fontId="10" fillId="0" borderId="37" xfId="8" applyNumberFormat="1" applyFont="1" applyBorder="1" applyAlignment="1">
      <alignment horizontal="center"/>
    </xf>
    <xf numFmtId="41" fontId="3" fillId="6" borderId="44" xfId="1" applyFont="1" applyFill="1" applyBorder="1" applyAlignment="1">
      <alignment horizontal="right" vertical="center"/>
    </xf>
    <xf numFmtId="41" fontId="3" fillId="6" borderId="42" xfId="1" applyFont="1" applyFill="1" applyBorder="1" applyAlignment="1">
      <alignment horizontal="right" vertical="center"/>
    </xf>
    <xf numFmtId="0" fontId="9" fillId="0" borderId="10" xfId="8" applyNumberFormat="1" applyFont="1" applyBorder="1" applyAlignment="1">
      <alignment horizontal="center" vertical="center"/>
    </xf>
    <xf numFmtId="9" fontId="17" fillId="0" borderId="63" xfId="9" applyFont="1" applyBorder="1" applyAlignment="1">
      <alignment horizontal="left" vertical="center"/>
    </xf>
    <xf numFmtId="0" fontId="10" fillId="0" borderId="68" xfId="8" applyNumberFormat="1" applyFont="1" applyBorder="1" applyAlignment="1">
      <alignment horizontal="center" vertical="center"/>
    </xf>
    <xf numFmtId="0" fontId="10" fillId="0" borderId="69" xfId="8" applyNumberFormat="1" applyFont="1" applyBorder="1" applyAlignment="1">
      <alignment horizontal="center" vertical="center"/>
    </xf>
    <xf numFmtId="0" fontId="10" fillId="0" borderId="70" xfId="8" applyNumberFormat="1" applyFont="1" applyBorder="1" applyAlignment="1">
      <alignment horizontal="center" vertical="center"/>
    </xf>
    <xf numFmtId="0" fontId="10" fillId="0" borderId="71" xfId="8" applyNumberFormat="1" applyFont="1" applyBorder="1" applyAlignment="1">
      <alignment horizontal="center" vertical="center"/>
    </xf>
    <xf numFmtId="0" fontId="10" fillId="0" borderId="67" xfId="8" applyNumberFormat="1" applyFont="1" applyBorder="1" applyAlignment="1">
      <alignment horizontal="center" vertical="center"/>
    </xf>
    <xf numFmtId="0" fontId="10" fillId="0" borderId="72" xfId="8" applyNumberFormat="1" applyFont="1" applyBorder="1" applyAlignment="1">
      <alignment horizontal="center" vertical="center"/>
    </xf>
    <xf numFmtId="0" fontId="10" fillId="0" borderId="68" xfId="8" applyNumberFormat="1" applyFont="1" applyFill="1" applyBorder="1" applyAlignment="1">
      <alignment horizontal="center" vertical="center"/>
    </xf>
    <xf numFmtId="0" fontId="10" fillId="0" borderId="69" xfId="8" applyNumberFormat="1" applyFont="1" applyFill="1" applyBorder="1" applyAlignment="1">
      <alignment horizontal="center" vertical="center"/>
    </xf>
    <xf numFmtId="0" fontId="10" fillId="0" borderId="73" xfId="8" applyNumberFormat="1" applyFont="1" applyBorder="1" applyAlignment="1">
      <alignment horizontal="center" vertical="center"/>
    </xf>
    <xf numFmtId="0" fontId="10" fillId="0" borderId="66" xfId="8" applyNumberFormat="1" applyFont="1" applyBorder="1" applyAlignment="1">
      <alignment horizontal="center" vertical="center"/>
    </xf>
    <xf numFmtId="177" fontId="10" fillId="0" borderId="69" xfId="8" applyNumberFormat="1" applyFont="1" applyBorder="1" applyAlignment="1">
      <alignment horizontal="center" vertical="center"/>
    </xf>
    <xf numFmtId="9" fontId="17" fillId="0" borderId="74" xfId="9" applyFont="1" applyBorder="1" applyAlignment="1">
      <alignment horizontal="left" vertical="center"/>
    </xf>
    <xf numFmtId="0" fontId="14" fillId="0" borderId="0" xfId="10" applyFont="1"/>
    <xf numFmtId="41" fontId="27" fillId="4" borderId="0" xfId="8" applyFont="1" applyFill="1" applyBorder="1" applyAlignment="1">
      <alignment horizontal="center" vertical="center"/>
    </xf>
    <xf numFmtId="41" fontId="17" fillId="4" borderId="0" xfId="8" applyFont="1" applyFill="1" applyBorder="1" applyAlignment="1">
      <alignment horizontal="left" vertical="center"/>
    </xf>
    <xf numFmtId="41" fontId="3" fillId="4" borderId="0" xfId="8" applyFont="1" applyFill="1" applyBorder="1" applyAlignment="1">
      <alignment horizontal="left" vertical="center"/>
    </xf>
    <xf numFmtId="0" fontId="33" fillId="4" borderId="0" xfId="11" applyFont="1" applyFill="1" applyBorder="1" applyAlignment="1">
      <alignment horizontal="center" vertical="center"/>
    </xf>
    <xf numFmtId="0" fontId="28" fillId="0" borderId="1" xfId="12" applyFont="1" applyBorder="1" applyAlignment="1">
      <alignment horizontal="center" vertical="center"/>
    </xf>
    <xf numFmtId="0" fontId="28" fillId="0" borderId="1" xfId="12" applyFont="1" applyBorder="1" applyAlignment="1"/>
    <xf numFmtId="0" fontId="6" fillId="0" borderId="0" xfId="13" applyFont="1" applyFill="1" applyAlignment="1">
      <alignment vertical="center"/>
    </xf>
    <xf numFmtId="0" fontId="6" fillId="0" borderId="0" xfId="13" applyFont="1" applyFill="1" applyAlignment="1">
      <alignment horizontal="center" vertical="center"/>
    </xf>
    <xf numFmtId="0" fontId="33" fillId="0" borderId="0" xfId="13" applyFont="1" applyFill="1" applyAlignment="1">
      <alignment vertical="center"/>
    </xf>
    <xf numFmtId="0" fontId="10" fillId="0" borderId="0" xfId="13" applyFont="1" applyFill="1" applyAlignment="1">
      <alignment vertical="center"/>
    </xf>
    <xf numFmtId="0" fontId="14" fillId="0" borderId="0" xfId="13" applyFont="1" applyFill="1" applyAlignment="1">
      <alignment vertical="center"/>
    </xf>
    <xf numFmtId="0" fontId="10" fillId="0" borderId="0" xfId="13" applyFont="1" applyFill="1" applyAlignment="1">
      <alignment horizontal="center" vertical="center"/>
    </xf>
    <xf numFmtId="0" fontId="3" fillId="0" borderId="0" xfId="13" applyFont="1" applyFill="1" applyAlignment="1">
      <alignment horizontal="right" vertical="center"/>
    </xf>
    <xf numFmtId="0" fontId="9" fillId="3" borderId="75" xfId="13" applyFont="1" applyFill="1" applyBorder="1" applyAlignment="1">
      <alignment horizontal="center" vertical="center" wrapText="1"/>
    </xf>
    <xf numFmtId="0" fontId="9" fillId="3" borderId="76" xfId="13" applyFont="1" applyFill="1" applyBorder="1" applyAlignment="1">
      <alignment horizontal="center" vertical="center" wrapText="1"/>
    </xf>
    <xf numFmtId="0" fontId="9" fillId="3" borderId="77" xfId="13" applyFont="1" applyFill="1" applyBorder="1" applyAlignment="1">
      <alignment horizontal="center" vertical="center" wrapText="1"/>
    </xf>
    <xf numFmtId="0" fontId="9" fillId="3" borderId="79" xfId="13" applyFont="1" applyFill="1" applyBorder="1" applyAlignment="1">
      <alignment horizontal="center" vertical="center" wrapText="1"/>
    </xf>
    <xf numFmtId="0" fontId="9" fillId="3" borderId="80" xfId="13" applyFont="1" applyFill="1" applyBorder="1" applyAlignment="1">
      <alignment horizontal="center" vertical="center" wrapText="1"/>
    </xf>
    <xf numFmtId="0" fontId="9" fillId="3" borderId="81" xfId="13" applyFont="1" applyFill="1" applyBorder="1" applyAlignment="1">
      <alignment horizontal="center" vertical="center" wrapText="1"/>
    </xf>
    <xf numFmtId="0" fontId="14" fillId="0" borderId="82" xfId="13" applyFont="1" applyFill="1" applyBorder="1" applyAlignment="1">
      <alignment horizontal="center" vertical="center" wrapText="1"/>
    </xf>
    <xf numFmtId="0" fontId="10" fillId="0" borderId="83" xfId="13" applyFont="1" applyFill="1" applyBorder="1" applyAlignment="1">
      <alignment horizontal="left" vertical="center"/>
    </xf>
    <xf numFmtId="0" fontId="10" fillId="0" borderId="84" xfId="13" applyFont="1" applyFill="1" applyBorder="1" applyAlignment="1">
      <alignment horizontal="left" vertical="center"/>
    </xf>
    <xf numFmtId="0" fontId="10" fillId="0" borderId="85" xfId="13" applyFont="1" applyFill="1" applyBorder="1" applyAlignment="1">
      <alignment horizontal="left" vertical="center"/>
    </xf>
    <xf numFmtId="0" fontId="10" fillId="0" borderId="85" xfId="13" applyFont="1" applyFill="1" applyBorder="1" applyAlignment="1">
      <alignment vertical="center"/>
    </xf>
    <xf numFmtId="0" fontId="10" fillId="0" borderId="86" xfId="13" applyFont="1" applyFill="1" applyBorder="1" applyAlignment="1">
      <alignment horizontal="center" vertical="center"/>
    </xf>
    <xf numFmtId="0" fontId="10" fillId="0" borderId="85" xfId="13" applyFont="1" applyFill="1" applyBorder="1" applyAlignment="1">
      <alignment horizontal="center" vertical="center"/>
    </xf>
    <xf numFmtId="0" fontId="10" fillId="0" borderId="86" xfId="13" applyFont="1" applyFill="1" applyBorder="1" applyAlignment="1">
      <alignment horizontal="left" vertical="center"/>
    </xf>
    <xf numFmtId="0" fontId="10" fillId="0" borderId="87" xfId="13" applyFont="1" applyFill="1" applyBorder="1" applyAlignment="1">
      <alignment horizontal="left" vertical="center"/>
    </xf>
    <xf numFmtId="0" fontId="14" fillId="0" borderId="90" xfId="13" applyFont="1" applyFill="1" applyBorder="1" applyAlignment="1">
      <alignment horizontal="center" vertical="center" wrapText="1"/>
    </xf>
    <xf numFmtId="0" fontId="10" fillId="0" borderId="51" xfId="13" applyFont="1" applyFill="1" applyBorder="1" applyAlignment="1">
      <alignment horizontal="left" vertical="center"/>
    </xf>
    <xf numFmtId="0" fontId="10" fillId="0" borderId="37" xfId="13" applyFont="1" applyFill="1" applyBorder="1" applyAlignment="1">
      <alignment horizontal="center" vertical="center"/>
    </xf>
    <xf numFmtId="0" fontId="10" fillId="0" borderId="37" xfId="13" applyFont="1" applyFill="1" applyBorder="1" applyAlignment="1">
      <alignment horizontal="left" vertical="center"/>
    </xf>
    <xf numFmtId="0" fontId="10" fillId="0" borderId="37" xfId="13" applyFont="1" applyFill="1" applyBorder="1" applyAlignment="1">
      <alignment vertical="center"/>
    </xf>
    <xf numFmtId="0" fontId="10" fillId="0" borderId="50" xfId="13" applyFont="1" applyFill="1" applyBorder="1" applyAlignment="1">
      <alignment horizontal="center" vertical="center"/>
    </xf>
    <xf numFmtId="0" fontId="10" fillId="0" borderId="50" xfId="13" applyFont="1" applyFill="1" applyBorder="1" applyAlignment="1">
      <alignment horizontal="left" vertical="center"/>
    </xf>
    <xf numFmtId="0" fontId="10" fillId="0" borderId="91" xfId="13" applyFont="1" applyFill="1" applyBorder="1" applyAlignment="1">
      <alignment horizontal="left" vertical="center"/>
    </xf>
    <xf numFmtId="0" fontId="14" fillId="0" borderId="94" xfId="13" applyFont="1" applyFill="1" applyBorder="1" applyAlignment="1">
      <alignment horizontal="center" vertical="center" wrapText="1"/>
    </xf>
    <xf numFmtId="0" fontId="10" fillId="0" borderId="95" xfId="13" applyFont="1" applyFill="1" applyBorder="1" applyAlignment="1">
      <alignment horizontal="left" vertical="center"/>
    </xf>
    <xf numFmtId="0" fontId="10" fillId="0" borderId="96" xfId="13" applyFont="1" applyFill="1" applyBorder="1" applyAlignment="1">
      <alignment horizontal="center" vertical="center"/>
    </xf>
    <xf numFmtId="0" fontId="10" fillId="0" borderId="96" xfId="13" applyFont="1" applyFill="1" applyBorder="1" applyAlignment="1">
      <alignment horizontal="left" vertical="center"/>
    </xf>
    <xf numFmtId="0" fontId="10" fillId="0" borderId="97" xfId="13" applyFont="1" applyFill="1" applyBorder="1" applyAlignment="1">
      <alignment horizontal="center" vertical="center"/>
    </xf>
    <xf numFmtId="0" fontId="10" fillId="0" borderId="97" xfId="13" applyFont="1" applyFill="1" applyBorder="1" applyAlignment="1">
      <alignment horizontal="left" vertical="center"/>
    </xf>
    <xf numFmtId="0" fontId="10" fillId="0" borderId="96" xfId="13" applyFont="1" applyFill="1" applyBorder="1" applyAlignment="1">
      <alignment vertical="center"/>
    </xf>
    <xf numFmtId="0" fontId="14" fillId="0" borderId="98" xfId="13" applyFont="1" applyFill="1" applyBorder="1" applyAlignment="1">
      <alignment horizontal="center" vertical="center" wrapText="1"/>
    </xf>
    <xf numFmtId="0" fontId="10" fillId="0" borderId="0" xfId="13" applyFont="1" applyFill="1" applyBorder="1" applyAlignment="1">
      <alignment horizontal="left" vertical="center"/>
    </xf>
    <xf numFmtId="0" fontId="10" fillId="0" borderId="75" xfId="13" applyFont="1" applyFill="1" applyBorder="1" applyAlignment="1">
      <alignment horizontal="left" vertical="center"/>
    </xf>
    <xf numFmtId="0" fontId="10" fillId="0" borderId="76" xfId="13" applyFont="1" applyFill="1" applyBorder="1" applyAlignment="1">
      <alignment horizontal="left" vertical="center"/>
    </xf>
    <xf numFmtId="0" fontId="10" fillId="0" borderId="76" xfId="13" applyFont="1" applyFill="1" applyBorder="1" applyAlignment="1">
      <alignment horizontal="center" vertical="center"/>
    </xf>
    <xf numFmtId="0" fontId="10" fillId="0" borderId="77" xfId="13" applyFont="1" applyFill="1" applyBorder="1" applyAlignment="1">
      <alignment horizontal="center" vertical="center"/>
    </xf>
    <xf numFmtId="0" fontId="10" fillId="0" borderId="77" xfId="13" applyFont="1" applyFill="1" applyBorder="1" applyAlignment="1">
      <alignment horizontal="left" vertical="center"/>
    </xf>
    <xf numFmtId="0" fontId="10" fillId="0" borderId="76" xfId="13" applyFont="1" applyFill="1" applyBorder="1" applyAlignment="1">
      <alignment vertical="center"/>
    </xf>
    <xf numFmtId="0" fontId="6" fillId="0" borderId="0" xfId="13" applyFont="1" applyFill="1" applyBorder="1" applyAlignment="1">
      <alignment vertical="center"/>
    </xf>
    <xf numFmtId="0" fontId="10" fillId="0" borderId="91" xfId="13" applyFont="1" applyFill="1" applyBorder="1" applyAlignment="1">
      <alignment horizontal="center" vertical="center"/>
    </xf>
    <xf numFmtId="0" fontId="10" fillId="0" borderId="101" xfId="13" applyFont="1" applyFill="1" applyBorder="1" applyAlignment="1">
      <alignment horizontal="left" vertical="center"/>
    </xf>
    <xf numFmtId="0" fontId="10" fillId="0" borderId="91" xfId="13" applyFont="1" applyFill="1" applyBorder="1" applyAlignment="1">
      <alignment vertical="center"/>
    </xf>
    <xf numFmtId="0" fontId="10" fillId="0" borderId="55" xfId="13" applyFont="1" applyFill="1" applyBorder="1" applyAlignment="1">
      <alignment horizontal="left" vertical="center"/>
    </xf>
    <xf numFmtId="0" fontId="10" fillId="0" borderId="40" xfId="13" applyFont="1" applyFill="1" applyBorder="1" applyAlignment="1">
      <alignment horizontal="center" vertical="center"/>
    </xf>
    <xf numFmtId="0" fontId="10" fillId="0" borderId="40" xfId="13" applyFont="1" applyFill="1" applyBorder="1" applyAlignment="1">
      <alignment horizontal="left" vertical="center"/>
    </xf>
    <xf numFmtId="0" fontId="10" fillId="0" borderId="54" xfId="13" applyFont="1" applyFill="1" applyBorder="1" applyAlignment="1">
      <alignment horizontal="center" vertical="center"/>
    </xf>
    <xf numFmtId="0" fontId="10" fillId="0" borderId="102" xfId="13" applyFont="1" applyFill="1" applyBorder="1" applyAlignment="1">
      <alignment horizontal="left" vertical="center"/>
    </xf>
    <xf numFmtId="0" fontId="10" fillId="0" borderId="102" xfId="13" applyFont="1" applyFill="1" applyBorder="1" applyAlignment="1">
      <alignment horizontal="center" vertical="center"/>
    </xf>
    <xf numFmtId="0" fontId="10" fillId="0" borderId="103" xfId="13" applyFont="1" applyFill="1" applyBorder="1" applyAlignment="1">
      <alignment horizontal="left" vertical="center"/>
    </xf>
    <xf numFmtId="0" fontId="10" fillId="0" borderId="102" xfId="13" applyFont="1" applyFill="1" applyBorder="1" applyAlignment="1">
      <alignment vertical="center"/>
    </xf>
    <xf numFmtId="0" fontId="10" fillId="0" borderId="54" xfId="13" applyFont="1" applyFill="1" applyBorder="1" applyAlignment="1">
      <alignment horizontal="left" vertical="center"/>
    </xf>
    <xf numFmtId="0" fontId="10" fillId="0" borderId="104" xfId="13" applyFont="1" applyFill="1" applyBorder="1" applyAlignment="1">
      <alignment horizontal="left" vertical="center"/>
    </xf>
    <xf numFmtId="0" fontId="10" fillId="0" borderId="104" xfId="13" applyFont="1" applyFill="1" applyBorder="1" applyAlignment="1">
      <alignment horizontal="center" vertical="center"/>
    </xf>
    <xf numFmtId="0" fontId="10" fillId="0" borderId="105" xfId="13" applyFont="1" applyFill="1" applyBorder="1" applyAlignment="1">
      <alignment horizontal="left" vertical="center"/>
    </xf>
    <xf numFmtId="0" fontId="10" fillId="0" borderId="104" xfId="13" applyFont="1" applyFill="1" applyBorder="1" applyAlignment="1">
      <alignment vertical="center"/>
    </xf>
    <xf numFmtId="0" fontId="14" fillId="0" borderId="94" xfId="13" applyFont="1" applyFill="1" applyBorder="1" applyAlignment="1">
      <alignment horizontal="center" vertical="center"/>
    </xf>
    <xf numFmtId="0" fontId="14" fillId="0" borderId="98" xfId="13" applyFont="1" applyFill="1" applyBorder="1" applyAlignment="1">
      <alignment horizontal="center" vertical="center"/>
    </xf>
    <xf numFmtId="0" fontId="10" fillId="0" borderId="62" xfId="13" applyFont="1" applyFill="1" applyBorder="1" applyAlignment="1">
      <alignment horizontal="left" vertical="center"/>
    </xf>
    <xf numFmtId="0" fontId="10" fillId="0" borderId="10" xfId="13" applyFont="1" applyFill="1" applyBorder="1" applyAlignment="1">
      <alignment horizontal="center" vertical="center"/>
    </xf>
    <xf numFmtId="0" fontId="10" fillId="0" borderId="10" xfId="13" applyFont="1" applyFill="1" applyBorder="1" applyAlignment="1">
      <alignment horizontal="left" vertical="center"/>
    </xf>
    <xf numFmtId="0" fontId="10" fillId="0" borderId="10" xfId="13" applyFont="1" applyFill="1" applyBorder="1" applyAlignment="1">
      <alignment vertical="center"/>
    </xf>
    <xf numFmtId="0" fontId="10" fillId="0" borderId="108" xfId="13" applyFont="1" applyFill="1" applyBorder="1" applyAlignment="1">
      <alignment horizontal="left" vertical="center"/>
    </xf>
    <xf numFmtId="0" fontId="10" fillId="0" borderId="0" xfId="13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0" fillId="0" borderId="0" xfId="13" applyFont="1" applyFill="1" applyBorder="1" applyAlignment="1">
      <alignment vertical="center"/>
    </xf>
    <xf numFmtId="0" fontId="39" fillId="0" borderId="64" xfId="13" applyFont="1" applyFill="1" applyBorder="1" applyAlignment="1">
      <alignment vertical="center" wrapText="1"/>
    </xf>
    <xf numFmtId="0" fontId="39" fillId="0" borderId="4" xfId="13" applyFont="1" applyFill="1" applyBorder="1" applyAlignment="1">
      <alignment vertical="center" wrapText="1"/>
    </xf>
    <xf numFmtId="0" fontId="14" fillId="0" borderId="4" xfId="13" applyFont="1" applyFill="1" applyBorder="1" applyAlignment="1">
      <alignment horizontal="left" vertical="center"/>
    </xf>
    <xf numFmtId="0" fontId="9" fillId="3" borderId="1" xfId="13" applyFont="1" applyFill="1" applyBorder="1" applyAlignment="1">
      <alignment horizontal="center" vertical="center" wrapText="1"/>
    </xf>
    <xf numFmtId="0" fontId="14" fillId="0" borderId="12" xfId="11" applyFont="1" applyFill="1" applyBorder="1" applyAlignment="1">
      <alignment horizontal="center" vertical="center"/>
    </xf>
    <xf numFmtId="0" fontId="40" fillId="0" borderId="36" xfId="11" applyFont="1" applyFill="1" applyBorder="1" applyAlignment="1">
      <alignment horizontal="left" vertical="top"/>
    </xf>
    <xf numFmtId="0" fontId="40" fillId="0" borderId="37" xfId="11" applyFont="1" applyFill="1" applyBorder="1" applyAlignment="1">
      <alignment vertical="top"/>
    </xf>
    <xf numFmtId="0" fontId="40" fillId="0" borderId="37" xfId="11" applyFont="1" applyFill="1" applyBorder="1" applyAlignment="1">
      <alignment horizontal="left" vertical="top"/>
    </xf>
    <xf numFmtId="0" fontId="40" fillId="0" borderId="37" xfId="11" applyFont="1" applyFill="1" applyBorder="1" applyAlignment="1">
      <alignment horizontal="center" vertical="top"/>
    </xf>
    <xf numFmtId="0" fontId="40" fillId="0" borderId="110" xfId="11" applyFont="1" applyFill="1" applyBorder="1" applyAlignment="1">
      <alignment horizontal="left" vertical="top"/>
    </xf>
    <xf numFmtId="0" fontId="40" fillId="0" borderId="51" xfId="11" applyFont="1" applyFill="1" applyBorder="1" applyAlignment="1">
      <alignment horizontal="left" vertical="top"/>
    </xf>
    <xf numFmtId="0" fontId="40" fillId="0" borderId="38" xfId="11" applyFont="1" applyFill="1" applyBorder="1" applyAlignment="1">
      <alignment horizontal="center" vertical="top"/>
    </xf>
    <xf numFmtId="0" fontId="6" fillId="0" borderId="0" xfId="11" applyFont="1" applyFill="1" applyAlignment="1">
      <alignment vertical="center"/>
    </xf>
    <xf numFmtId="0" fontId="14" fillId="0" borderId="113" xfId="11" applyFont="1" applyFill="1" applyBorder="1" applyAlignment="1">
      <alignment horizontal="center" vertical="center"/>
    </xf>
    <xf numFmtId="0" fontId="40" fillId="0" borderId="114" xfId="11" applyFont="1" applyFill="1" applyBorder="1" applyAlignment="1">
      <alignment horizontal="left" vertical="top"/>
    </xf>
    <xf numFmtId="0" fontId="40" fillId="0" borderId="96" xfId="11" applyFont="1" applyFill="1" applyBorder="1" applyAlignment="1">
      <alignment horizontal="center" vertical="top"/>
    </xf>
    <xf numFmtId="0" fontId="40" fillId="0" borderId="96" xfId="11" applyFont="1" applyFill="1" applyBorder="1" applyAlignment="1">
      <alignment horizontal="left" vertical="top"/>
    </xf>
    <xf numFmtId="0" fontId="40" fillId="0" borderId="97" xfId="11" applyFont="1" applyFill="1" applyBorder="1" applyAlignment="1">
      <alignment horizontal="left" vertical="top"/>
    </xf>
    <xf numFmtId="0" fontId="40" fillId="0" borderId="115" xfId="11" applyFont="1" applyFill="1" applyBorder="1" applyAlignment="1">
      <alignment vertical="top"/>
    </xf>
    <xf numFmtId="0" fontId="40" fillId="0" borderId="95" xfId="11" applyFont="1" applyFill="1" applyBorder="1" applyAlignment="1">
      <alignment horizontal="left" vertical="top"/>
    </xf>
    <xf numFmtId="0" fontId="40" fillId="0" borderId="116" xfId="11" applyFont="1" applyFill="1" applyBorder="1" applyAlignment="1">
      <alignment horizontal="center" vertical="top"/>
    </xf>
    <xf numFmtId="0" fontId="14" fillId="0" borderId="117" xfId="11" applyFont="1" applyFill="1" applyBorder="1" applyAlignment="1">
      <alignment horizontal="center" vertical="center"/>
    </xf>
    <xf numFmtId="0" fontId="40" fillId="0" borderId="118" xfId="11" applyFont="1" applyFill="1" applyBorder="1" applyAlignment="1">
      <alignment vertical="top"/>
    </xf>
    <xf numFmtId="0" fontId="40" fillId="0" borderId="118" xfId="11" applyFont="1" applyFill="1" applyBorder="1" applyAlignment="1">
      <alignment horizontal="left" vertical="top"/>
    </xf>
    <xf numFmtId="0" fontId="40" fillId="0" borderId="119" xfId="11" applyFont="1" applyFill="1" applyBorder="1" applyAlignment="1">
      <alignment horizontal="left" vertical="top"/>
    </xf>
    <xf numFmtId="0" fontId="40" fillId="0" borderId="120" xfId="11" applyFont="1" applyFill="1" applyBorder="1" applyAlignment="1">
      <alignment horizontal="left" vertical="top"/>
    </xf>
    <xf numFmtId="0" fontId="40" fillId="0" borderId="121" xfId="11" applyFont="1" applyFill="1" applyBorder="1" applyAlignment="1">
      <alignment horizontal="center" vertical="top"/>
    </xf>
    <xf numFmtId="0" fontId="40" fillId="0" borderId="121" xfId="11" applyFont="1" applyFill="1" applyBorder="1" applyAlignment="1">
      <alignment vertical="top"/>
    </xf>
    <xf numFmtId="0" fontId="40" fillId="0" borderId="121" xfId="11" applyFont="1" applyFill="1" applyBorder="1" applyAlignment="1">
      <alignment horizontal="left" vertical="top"/>
    </xf>
    <xf numFmtId="0" fontId="40" fillId="0" borderId="122" xfId="11" applyFont="1" applyFill="1" applyBorder="1" applyAlignment="1">
      <alignment horizontal="center" vertical="top"/>
    </xf>
    <xf numFmtId="0" fontId="14" fillId="0" borderId="112" xfId="11" applyFont="1" applyFill="1" applyBorder="1" applyAlignment="1">
      <alignment horizontal="center" vertical="center"/>
    </xf>
    <xf numFmtId="0" fontId="40" fillId="0" borderId="123" xfId="11" applyFont="1" applyFill="1" applyBorder="1" applyAlignment="1">
      <alignment horizontal="left" vertical="top"/>
    </xf>
    <xf numFmtId="0" fontId="40" fillId="0" borderId="85" xfId="11" applyFont="1" applyFill="1" applyBorder="1" applyAlignment="1">
      <alignment horizontal="center" vertical="top"/>
    </xf>
    <xf numFmtId="0" fontId="40" fillId="0" borderId="85" xfId="11" applyFont="1" applyFill="1" applyBorder="1" applyAlignment="1">
      <alignment horizontal="left" vertical="top"/>
    </xf>
    <xf numFmtId="0" fontId="40" fillId="0" borderId="86" xfId="11" applyFont="1" applyFill="1" applyBorder="1" applyAlignment="1">
      <alignment horizontal="left" vertical="top"/>
    </xf>
    <xf numFmtId="0" fontId="40" fillId="0" borderId="124" xfId="11" applyFont="1" applyFill="1" applyBorder="1" applyAlignment="1">
      <alignment vertical="top"/>
    </xf>
    <xf numFmtId="0" fontId="40" fillId="0" borderId="87" xfId="11" applyFont="1" applyFill="1" applyBorder="1" applyAlignment="1">
      <alignment horizontal="left" vertical="top"/>
    </xf>
    <xf numFmtId="0" fontId="40" fillId="0" borderId="125" xfId="11" applyFont="1" applyFill="1" applyBorder="1" applyAlignment="1">
      <alignment horizontal="center" vertical="top"/>
    </xf>
    <xf numFmtId="0" fontId="14" fillId="0" borderId="100" xfId="11" applyFont="1" applyFill="1" applyBorder="1" applyAlignment="1">
      <alignment horizontal="center" vertical="center"/>
    </xf>
    <xf numFmtId="0" fontId="40" fillId="0" borderId="126" xfId="11" applyFont="1" applyFill="1" applyBorder="1" applyAlignment="1">
      <alignment horizontal="left" vertical="top"/>
    </xf>
    <xf numFmtId="0" fontId="40" fillId="0" borderId="104" xfId="11" applyFont="1" applyFill="1" applyBorder="1" applyAlignment="1">
      <alignment horizontal="center" vertical="top"/>
    </xf>
    <xf numFmtId="0" fontId="40" fillId="0" borderId="104" xfId="11" applyFont="1" applyFill="1" applyBorder="1" applyAlignment="1">
      <alignment horizontal="left" vertical="top"/>
    </xf>
    <xf numFmtId="0" fontId="40" fillId="0" borderId="105" xfId="11" applyFont="1" applyFill="1" applyBorder="1" applyAlignment="1">
      <alignment horizontal="left" vertical="top"/>
    </xf>
    <xf numFmtId="0" fontId="40" fillId="0" borderId="127" xfId="11" applyFont="1" applyFill="1" applyBorder="1" applyAlignment="1">
      <alignment vertical="top"/>
    </xf>
    <xf numFmtId="0" fontId="14" fillId="0" borderId="130" xfId="11" applyFont="1" applyFill="1" applyBorder="1" applyAlignment="1">
      <alignment horizontal="center" vertical="center"/>
    </xf>
    <xf numFmtId="0" fontId="40" fillId="0" borderId="131" xfId="11" applyFont="1" applyFill="1" applyBorder="1" applyAlignment="1">
      <alignment horizontal="left" vertical="top"/>
    </xf>
    <xf numFmtId="0" fontId="40" fillId="0" borderId="132" xfId="11" applyFont="1" applyFill="1" applyBorder="1" applyAlignment="1">
      <alignment horizontal="center" vertical="top"/>
    </xf>
    <xf numFmtId="0" fontId="40" fillId="0" borderId="132" xfId="11" applyFont="1" applyFill="1" applyBorder="1" applyAlignment="1">
      <alignment horizontal="left" vertical="top"/>
    </xf>
    <xf numFmtId="0" fontId="40" fillId="0" borderId="133" xfId="11" applyFont="1" applyFill="1" applyBorder="1" applyAlignment="1">
      <alignment horizontal="left" vertical="top"/>
    </xf>
    <xf numFmtId="0" fontId="40" fillId="0" borderId="134" xfId="11" applyFont="1" applyFill="1" applyBorder="1" applyAlignment="1">
      <alignment vertical="top"/>
    </xf>
    <xf numFmtId="0" fontId="40" fillId="0" borderId="135" xfId="11" applyFont="1" applyFill="1" applyBorder="1" applyAlignment="1">
      <alignment horizontal="center" vertical="top"/>
    </xf>
    <xf numFmtId="0" fontId="14" fillId="0" borderId="136" xfId="11" applyFont="1" applyFill="1" applyBorder="1" applyAlignment="1">
      <alignment horizontal="center" vertical="center"/>
    </xf>
    <xf numFmtId="0" fontId="40" fillId="0" borderId="137" xfId="11" applyFont="1" applyFill="1" applyBorder="1" applyAlignment="1">
      <alignment horizontal="left" vertical="top"/>
    </xf>
    <xf numFmtId="0" fontId="40" fillId="0" borderId="138" xfId="11" applyFont="1" applyFill="1" applyBorder="1" applyAlignment="1">
      <alignment horizontal="left" vertical="top"/>
    </xf>
    <xf numFmtId="0" fontId="40" fillId="0" borderId="139" xfId="11" applyFont="1" applyFill="1" applyBorder="1" applyAlignment="1">
      <alignment horizontal="left" vertical="top"/>
    </xf>
    <xf numFmtId="0" fontId="40" fillId="0" borderId="140" xfId="11" applyFont="1" applyFill="1" applyBorder="1" applyAlignment="1">
      <alignment horizontal="left" vertical="top"/>
    </xf>
    <xf numFmtId="0" fontId="40" fillId="0" borderId="138" xfId="11" applyFont="1" applyFill="1" applyBorder="1" applyAlignment="1">
      <alignment vertical="top"/>
    </xf>
    <xf numFmtId="0" fontId="40" fillId="0" borderId="141" xfId="11" applyFont="1" applyFill="1" applyBorder="1" applyAlignment="1">
      <alignment horizontal="center" vertical="top"/>
    </xf>
    <xf numFmtId="0" fontId="40" fillId="0" borderId="124" xfId="11" applyFont="1" applyFill="1" applyBorder="1" applyAlignment="1">
      <alignment horizontal="center" vertical="top"/>
    </xf>
    <xf numFmtId="0" fontId="40" fillId="0" borderId="127" xfId="11" applyFont="1" applyFill="1" applyBorder="1" applyAlignment="1">
      <alignment horizontal="left" vertical="top"/>
    </xf>
    <xf numFmtId="0" fontId="40" fillId="0" borderId="142" xfId="11" applyFont="1" applyFill="1" applyBorder="1" applyAlignment="1">
      <alignment horizontal="center" vertical="top"/>
    </xf>
    <xf numFmtId="0" fontId="14" fillId="0" borderId="143" xfId="11" applyFont="1" applyFill="1" applyBorder="1" applyAlignment="1">
      <alignment horizontal="center" vertical="center"/>
    </xf>
    <xf numFmtId="0" fontId="40" fillId="0" borderId="144" xfId="11" applyFont="1" applyFill="1" applyBorder="1" applyAlignment="1">
      <alignment horizontal="left" vertical="top"/>
    </xf>
    <xf numFmtId="0" fontId="40" fillId="0" borderId="145" xfId="11" applyFont="1" applyFill="1" applyBorder="1" applyAlignment="1">
      <alignment horizontal="center" vertical="top"/>
    </xf>
    <xf numFmtId="0" fontId="40" fillId="0" borderId="145" xfId="11" applyFont="1" applyFill="1" applyBorder="1" applyAlignment="1">
      <alignment horizontal="left" vertical="top"/>
    </xf>
    <xf numFmtId="0" fontId="40" fillId="0" borderId="146" xfId="11" applyFont="1" applyFill="1" applyBorder="1" applyAlignment="1">
      <alignment horizontal="left" vertical="top"/>
    </xf>
    <xf numFmtId="0" fontId="40" fillId="0" borderId="147" xfId="11" applyFont="1" applyFill="1" applyBorder="1" applyAlignment="1">
      <alignment horizontal="center" vertical="top"/>
    </xf>
    <xf numFmtId="0" fontId="40" fillId="0" borderId="148" xfId="11" applyFont="1" applyFill="1" applyBorder="1" applyAlignment="1">
      <alignment horizontal="left" vertical="top"/>
    </xf>
    <xf numFmtId="0" fontId="40" fillId="0" borderId="149" xfId="11" applyFont="1" applyFill="1" applyBorder="1" applyAlignment="1">
      <alignment horizontal="center" vertical="top"/>
    </xf>
    <xf numFmtId="0" fontId="40" fillId="0" borderId="150" xfId="11" applyFont="1" applyFill="1" applyBorder="1" applyAlignment="1">
      <alignment horizontal="left" vertical="top"/>
    </xf>
    <xf numFmtId="0" fontId="40" fillId="0" borderId="120" xfId="11" applyFont="1" applyFill="1" applyBorder="1" applyAlignment="1">
      <alignment horizontal="center" vertical="top"/>
    </xf>
    <xf numFmtId="0" fontId="40" fillId="0" borderId="118" xfId="11" applyFont="1" applyFill="1" applyBorder="1" applyAlignment="1">
      <alignment horizontal="center" vertical="top"/>
    </xf>
    <xf numFmtId="0" fontId="40" fillId="0" borderId="50" xfId="11" applyFont="1" applyFill="1" applyBorder="1" applyAlignment="1">
      <alignment horizontal="left" vertical="top"/>
    </xf>
    <xf numFmtId="0" fontId="40" fillId="0" borderId="151" xfId="11" applyFont="1" applyFill="1" applyBorder="1" applyAlignment="1">
      <alignment vertical="top"/>
    </xf>
    <xf numFmtId="0" fontId="14" fillId="0" borderId="9" xfId="11" applyFont="1" applyFill="1" applyBorder="1" applyAlignment="1">
      <alignment horizontal="center" vertical="center"/>
    </xf>
    <xf numFmtId="0" fontId="40" fillId="0" borderId="53" xfId="11" applyFont="1" applyFill="1" applyBorder="1" applyAlignment="1">
      <alignment horizontal="left" vertical="top"/>
    </xf>
    <xf numFmtId="0" fontId="40" fillId="0" borderId="47" xfId="11" applyFont="1" applyFill="1" applyBorder="1" applyAlignment="1">
      <alignment horizontal="left" vertical="top"/>
    </xf>
    <xf numFmtId="0" fontId="40" fillId="0" borderId="10" xfId="11" applyFont="1" applyFill="1" applyBorder="1" applyAlignment="1">
      <alignment horizontal="left" vertical="top"/>
    </xf>
    <xf numFmtId="0" fontId="40" fillId="0" borderId="152" xfId="11" applyFont="1" applyFill="1" applyBorder="1" applyAlignment="1">
      <alignment horizontal="center" vertical="top"/>
    </xf>
    <xf numFmtId="0" fontId="40" fillId="0" borderId="47" xfId="11" applyFont="1" applyFill="1" applyBorder="1" applyAlignment="1">
      <alignment horizontal="center" vertical="top"/>
    </xf>
    <xf numFmtId="0" fontId="40" fillId="0" borderId="48" xfId="11" applyFont="1" applyFill="1" applyBorder="1" applyAlignment="1">
      <alignment horizontal="center" vertical="top"/>
    </xf>
    <xf numFmtId="0" fontId="40" fillId="0" borderId="147" xfId="11" applyFont="1" applyFill="1" applyBorder="1" applyAlignment="1">
      <alignment vertical="top"/>
    </xf>
    <xf numFmtId="0" fontId="40" fillId="0" borderId="126" xfId="11" applyFont="1" applyFill="1" applyBorder="1" applyAlignment="1">
      <alignment horizontal="center" vertical="top"/>
    </xf>
    <xf numFmtId="0" fontId="40" fillId="0" borderId="153" xfId="11" applyFont="1" applyFill="1" applyBorder="1" applyAlignment="1">
      <alignment horizontal="left" vertical="top"/>
    </xf>
    <xf numFmtId="0" fontId="40" fillId="0" borderId="134" xfId="11" applyFont="1" applyFill="1" applyBorder="1" applyAlignment="1">
      <alignment horizontal="center" vertical="top"/>
    </xf>
    <xf numFmtId="0" fontId="40" fillId="0" borderId="154" xfId="11" applyFont="1" applyFill="1" applyBorder="1" applyAlignment="1">
      <alignment horizontal="left" vertical="top"/>
    </xf>
    <xf numFmtId="0" fontId="14" fillId="0" borderId="15" xfId="11" applyFont="1" applyFill="1" applyBorder="1" applyAlignment="1">
      <alignment horizontal="center" vertical="center"/>
    </xf>
    <xf numFmtId="0" fontId="40" fillId="0" borderId="39" xfId="11" applyFont="1" applyFill="1" applyBorder="1" applyAlignment="1">
      <alignment horizontal="left" vertical="top"/>
    </xf>
    <xf numFmtId="0" fontId="40" fillId="0" borderId="40" xfId="11" applyFont="1" applyFill="1" applyBorder="1" applyAlignment="1">
      <alignment vertical="top"/>
    </xf>
    <xf numFmtId="0" fontId="40" fillId="0" borderId="40" xfId="11" applyFont="1" applyFill="1" applyBorder="1" applyAlignment="1">
      <alignment horizontal="left" vertical="top"/>
    </xf>
    <xf numFmtId="0" fontId="40" fillId="0" borderId="54" xfId="11" applyFont="1" applyFill="1" applyBorder="1" applyAlignment="1">
      <alignment horizontal="left" vertical="top"/>
    </xf>
    <xf numFmtId="0" fontId="40" fillId="0" borderId="155" xfId="11" applyFont="1" applyFill="1" applyBorder="1" applyAlignment="1">
      <alignment horizontal="center" vertical="top"/>
    </xf>
    <xf numFmtId="0" fontId="40" fillId="0" borderId="55" xfId="11" applyFont="1" applyFill="1" applyBorder="1" applyAlignment="1">
      <alignment horizontal="left" vertical="top"/>
    </xf>
    <xf numFmtId="0" fontId="40" fillId="0" borderId="40" xfId="11" applyFont="1" applyFill="1" applyBorder="1" applyAlignment="1">
      <alignment horizontal="center" vertical="top"/>
    </xf>
    <xf numFmtId="0" fontId="40" fillId="0" borderId="41" xfId="11" applyFont="1" applyFill="1" applyBorder="1" applyAlignment="1">
      <alignment horizontal="center" vertical="top"/>
    </xf>
    <xf numFmtId="0" fontId="40" fillId="0" borderId="132" xfId="11" applyFont="1" applyFill="1" applyBorder="1" applyAlignment="1">
      <alignment vertical="top"/>
    </xf>
    <xf numFmtId="0" fontId="40" fillId="0" borderId="156" xfId="11" applyFont="1" applyFill="1" applyBorder="1" applyAlignment="1">
      <alignment horizontal="left" vertical="top"/>
    </xf>
    <xf numFmtId="0" fontId="40" fillId="0" borderId="140" xfId="11" applyFont="1" applyFill="1" applyBorder="1" applyAlignment="1">
      <alignment horizontal="center" vertical="top"/>
    </xf>
    <xf numFmtId="0" fontId="40" fillId="0" borderId="138" xfId="11" applyFont="1" applyFill="1" applyBorder="1" applyAlignment="1">
      <alignment horizontal="center" vertical="top"/>
    </xf>
    <xf numFmtId="0" fontId="40" fillId="0" borderId="50" xfId="11" applyFont="1" applyFill="1" applyBorder="1" applyAlignment="1">
      <alignment vertical="top"/>
    </xf>
    <xf numFmtId="0" fontId="40" fillId="0" borderId="151" xfId="11" applyFont="1" applyFill="1" applyBorder="1" applyAlignment="1">
      <alignment horizontal="center" vertical="top"/>
    </xf>
    <xf numFmtId="0" fontId="40" fillId="0" borderId="51" xfId="11" applyFont="1" applyFill="1" applyBorder="1" applyAlignment="1">
      <alignment horizontal="center" vertical="top"/>
    </xf>
    <xf numFmtId="0" fontId="40" fillId="0" borderId="144" xfId="11" applyFont="1" applyFill="1" applyBorder="1" applyAlignment="1"/>
    <xf numFmtId="0" fontId="40" fillId="0" borderId="148" xfId="11" applyFont="1" applyFill="1" applyBorder="1" applyAlignment="1">
      <alignment horizontal="center" vertical="top"/>
    </xf>
    <xf numFmtId="0" fontId="40" fillId="0" borderId="145" xfId="11" applyFont="1" applyFill="1" applyBorder="1" applyAlignment="1">
      <alignment horizontal="center"/>
    </xf>
    <xf numFmtId="0" fontId="40" fillId="0" borderId="156" xfId="11" applyFont="1" applyFill="1" applyBorder="1" applyAlignment="1"/>
    <xf numFmtId="0" fontId="40" fillId="0" borderId="139" xfId="11" applyFont="1" applyFill="1" applyBorder="1" applyAlignment="1">
      <alignment vertical="top"/>
    </xf>
    <xf numFmtId="0" fontId="40" fillId="0" borderId="137" xfId="11" applyFont="1" applyFill="1" applyBorder="1" applyAlignment="1">
      <alignment horizontal="center" vertical="top"/>
    </xf>
    <xf numFmtId="0" fontId="40" fillId="0" borderId="39" xfId="11" applyFont="1" applyFill="1" applyBorder="1" applyAlignment="1"/>
    <xf numFmtId="0" fontId="40" fillId="0" borderId="55" xfId="11" applyFont="1" applyFill="1" applyBorder="1" applyAlignment="1">
      <alignment horizontal="center" vertical="top"/>
    </xf>
    <xf numFmtId="0" fontId="40" fillId="0" borderId="40" xfId="11" applyFont="1" applyFill="1" applyBorder="1" applyAlignment="1">
      <alignment horizontal="center"/>
    </xf>
    <xf numFmtId="0" fontId="6" fillId="0" borderId="0" xfId="11" applyFont="1" applyFill="1" applyAlignment="1">
      <alignment horizontal="center" vertical="center"/>
    </xf>
    <xf numFmtId="0" fontId="33" fillId="0" borderId="0" xfId="13" applyFont="1" applyFill="1" applyAlignment="1">
      <alignment horizontal="right" vertical="center"/>
    </xf>
    <xf numFmtId="0" fontId="9" fillId="3" borderId="159" xfId="13" applyFont="1" applyFill="1" applyBorder="1" applyAlignment="1">
      <alignment horizontal="center" vertical="center" wrapText="1"/>
    </xf>
    <xf numFmtId="0" fontId="9" fillId="3" borderId="160" xfId="13" applyFont="1" applyFill="1" applyBorder="1" applyAlignment="1">
      <alignment horizontal="center" vertical="center" wrapText="1"/>
    </xf>
    <xf numFmtId="0" fontId="10" fillId="0" borderId="86" xfId="13" applyFont="1" applyFill="1" applyBorder="1" applyAlignment="1">
      <alignment vertical="center"/>
    </xf>
    <xf numFmtId="0" fontId="10" fillId="0" borderId="123" xfId="13" applyFont="1" applyFill="1" applyBorder="1" applyAlignment="1">
      <alignment horizontal="left" vertical="center"/>
    </xf>
    <xf numFmtId="0" fontId="10" fillId="0" borderId="161" xfId="13" applyFont="1" applyFill="1" applyBorder="1" applyAlignment="1">
      <alignment horizontal="center" vertical="center"/>
    </xf>
    <xf numFmtId="0" fontId="10" fillId="0" borderId="50" xfId="13" applyFont="1" applyFill="1" applyBorder="1" applyAlignment="1">
      <alignment vertical="center"/>
    </xf>
    <xf numFmtId="0" fontId="10" fillId="0" borderId="36" xfId="13" applyFont="1" applyFill="1" applyBorder="1" applyAlignment="1">
      <alignment horizontal="left" vertical="center"/>
    </xf>
    <xf numFmtId="0" fontId="10" fillId="0" borderId="43" xfId="13" applyFont="1" applyFill="1" applyBorder="1" applyAlignment="1">
      <alignment horizontal="center" vertical="center"/>
    </xf>
    <xf numFmtId="0" fontId="10" fillId="0" borderId="114" xfId="13" applyFont="1" applyFill="1" applyBorder="1" applyAlignment="1">
      <alignment horizontal="left" vertical="center"/>
    </xf>
    <xf numFmtId="0" fontId="10" fillId="0" borderId="162" xfId="13" applyFont="1" applyFill="1" applyBorder="1" applyAlignment="1">
      <alignment horizontal="left" vertical="center"/>
    </xf>
    <xf numFmtId="0" fontId="10" fillId="0" borderId="44" xfId="13" applyFont="1" applyFill="1" applyBorder="1" applyAlignment="1">
      <alignment horizontal="center" vertical="center"/>
    </xf>
    <xf numFmtId="0" fontId="10" fillId="0" borderId="159" xfId="13" applyFont="1" applyFill="1" applyBorder="1" applyAlignment="1">
      <alignment horizontal="left" vertical="center"/>
    </xf>
    <xf numFmtId="0" fontId="10" fillId="0" borderId="163" xfId="13" applyFont="1" applyFill="1" applyBorder="1" applyAlignment="1">
      <alignment horizontal="left" vertical="center"/>
    </xf>
    <xf numFmtId="0" fontId="10" fillId="0" borderId="45" xfId="13" applyFont="1" applyFill="1" applyBorder="1" applyAlignment="1">
      <alignment horizontal="center" vertical="center"/>
    </xf>
    <xf numFmtId="0" fontId="10" fillId="0" borderId="101" xfId="13" applyFont="1" applyFill="1" applyBorder="1" applyAlignment="1">
      <alignment horizontal="center" vertical="center"/>
    </xf>
    <xf numFmtId="0" fontId="10" fillId="0" borderId="164" xfId="13" applyFont="1" applyFill="1" applyBorder="1" applyAlignment="1">
      <alignment horizontal="left" vertical="center"/>
    </xf>
    <xf numFmtId="0" fontId="10" fillId="0" borderId="103" xfId="13" applyFont="1" applyFill="1" applyBorder="1" applyAlignment="1">
      <alignment horizontal="center" vertical="center"/>
    </xf>
    <xf numFmtId="0" fontId="10" fillId="0" borderId="165" xfId="13" applyFont="1" applyFill="1" applyBorder="1" applyAlignment="1">
      <alignment horizontal="left" vertical="center"/>
    </xf>
    <xf numFmtId="0" fontId="10" fillId="0" borderId="4" xfId="13" applyFont="1" applyFill="1" applyBorder="1" applyAlignment="1">
      <alignment horizontal="left" vertical="center"/>
    </xf>
    <xf numFmtId="0" fontId="10" fillId="0" borderId="49" xfId="13" applyFont="1" applyFill="1" applyBorder="1" applyAlignment="1">
      <alignment horizontal="center" vertical="center"/>
    </xf>
    <xf numFmtId="0" fontId="10" fillId="0" borderId="105" xfId="13" applyFont="1" applyFill="1" applyBorder="1" applyAlignment="1">
      <alignment horizontal="center" vertical="center"/>
    </xf>
    <xf numFmtId="0" fontId="10" fillId="0" borderId="166" xfId="13" applyFont="1" applyFill="1" applyBorder="1" applyAlignment="1">
      <alignment horizontal="left" vertical="center"/>
    </xf>
    <xf numFmtId="0" fontId="38" fillId="0" borderId="10" xfId="13" applyFont="1" applyFill="1" applyBorder="1" applyAlignment="1">
      <alignment horizontal="center" vertical="center"/>
    </xf>
    <xf numFmtId="0" fontId="10" fillId="0" borderId="12" xfId="13" applyFont="1" applyFill="1" applyBorder="1" applyAlignment="1">
      <alignment horizontal="center" vertical="center"/>
    </xf>
    <xf numFmtId="0" fontId="10" fillId="0" borderId="64" xfId="13" applyFont="1" applyFill="1" applyBorder="1" applyAlignment="1">
      <alignment horizontal="left" vertical="center"/>
    </xf>
    <xf numFmtId="0" fontId="10" fillId="0" borderId="4" xfId="13" applyFont="1" applyFill="1" applyBorder="1" applyAlignment="1">
      <alignment horizontal="center" vertical="center"/>
    </xf>
    <xf numFmtId="0" fontId="10" fillId="0" borderId="4" xfId="13" applyFont="1" applyFill="1" applyBorder="1" applyAlignment="1">
      <alignment vertical="center"/>
    </xf>
    <xf numFmtId="0" fontId="10" fillId="0" borderId="15" xfId="13" applyFont="1" applyFill="1" applyBorder="1" applyAlignment="1">
      <alignment horizontal="center" vertical="center"/>
    </xf>
    <xf numFmtId="0" fontId="10" fillId="0" borderId="57" xfId="11" applyFont="1" applyFill="1" applyBorder="1" applyAlignment="1">
      <alignment horizontal="center" vertical="center"/>
    </xf>
    <xf numFmtId="0" fontId="14" fillId="0" borderId="75" xfId="11" applyFont="1" applyFill="1" applyBorder="1" applyAlignment="1">
      <alignment horizontal="left" vertical="top"/>
    </xf>
    <xf numFmtId="0" fontId="14" fillId="0" borderId="76" xfId="11" applyFont="1" applyFill="1" applyBorder="1" applyAlignment="1">
      <alignment vertical="top"/>
    </xf>
    <xf numFmtId="0" fontId="14" fillId="0" borderId="76" xfId="11" applyFont="1" applyFill="1" applyBorder="1" applyAlignment="1">
      <alignment horizontal="left" vertical="top"/>
    </xf>
    <xf numFmtId="0" fontId="14" fillId="0" borderId="167" xfId="11" applyFont="1" applyFill="1" applyBorder="1" applyAlignment="1">
      <alignment horizontal="left" vertical="top"/>
    </xf>
    <xf numFmtId="0" fontId="14" fillId="0" borderId="168" xfId="11" applyFont="1" applyFill="1" applyBorder="1" applyAlignment="1">
      <alignment horizontal="left" vertical="top"/>
    </xf>
    <xf numFmtId="0" fontId="14" fillId="0" borderId="76" xfId="11" applyFont="1" applyFill="1" applyBorder="1" applyAlignment="1">
      <alignment horizontal="center" vertical="top"/>
    </xf>
    <xf numFmtId="0" fontId="14" fillId="0" borderId="169" xfId="11" applyFont="1" applyFill="1" applyBorder="1" applyAlignment="1">
      <alignment horizontal="center" vertical="top"/>
    </xf>
    <xf numFmtId="0" fontId="44" fillId="0" borderId="0" xfId="11" applyFont="1" applyFill="1" applyAlignment="1">
      <alignment vertical="center"/>
    </xf>
    <xf numFmtId="0" fontId="10" fillId="0" borderId="170" xfId="11" applyFont="1" applyFill="1" applyBorder="1" applyAlignment="1">
      <alignment horizontal="center" vertical="center"/>
    </xf>
    <xf numFmtId="0" fontId="14" fillId="0" borderId="171" xfId="11" applyFont="1" applyFill="1" applyBorder="1" applyAlignment="1">
      <alignment horizontal="left" vertical="top"/>
    </xf>
    <xf numFmtId="0" fontId="14" fillId="0" borderId="91" xfId="11" applyFont="1" applyFill="1" applyBorder="1" applyAlignment="1">
      <alignment horizontal="center" vertical="top"/>
    </xf>
    <xf numFmtId="0" fontId="14" fillId="0" borderId="91" xfId="11" applyFont="1" applyFill="1" applyBorder="1" applyAlignment="1">
      <alignment horizontal="left" vertical="top"/>
    </xf>
    <xf numFmtId="0" fontId="14" fillId="0" borderId="172" xfId="11" applyFont="1" applyFill="1" applyBorder="1" applyAlignment="1">
      <alignment vertical="top"/>
    </xf>
    <xf numFmtId="0" fontId="14" fillId="0" borderId="173" xfId="11" applyFont="1" applyFill="1" applyBorder="1" applyAlignment="1">
      <alignment horizontal="left" vertical="top"/>
    </xf>
    <xf numFmtId="0" fontId="14" fillId="0" borderId="174" xfId="11" applyFont="1" applyFill="1" applyBorder="1" applyAlignment="1">
      <alignment horizontal="center" vertical="top"/>
    </xf>
    <xf numFmtId="0" fontId="10" fillId="0" borderId="175" xfId="11" applyFont="1" applyFill="1" applyBorder="1" applyAlignment="1">
      <alignment horizontal="center" vertical="center"/>
    </xf>
    <xf numFmtId="0" fontId="14" fillId="0" borderId="171" xfId="11" applyFont="1" applyFill="1" applyBorder="1" applyAlignment="1">
      <alignment vertical="top"/>
    </xf>
    <xf numFmtId="0" fontId="14" fillId="0" borderId="91" xfId="11" applyFont="1" applyFill="1" applyBorder="1" applyAlignment="1">
      <alignment vertical="top"/>
    </xf>
    <xf numFmtId="0" fontId="14" fillId="0" borderId="172" xfId="11" applyFont="1" applyFill="1" applyBorder="1" applyAlignment="1">
      <alignment horizontal="left" vertical="top"/>
    </xf>
    <xf numFmtId="0" fontId="14" fillId="0" borderId="173" xfId="11" applyFont="1" applyFill="1" applyBorder="1" applyAlignment="1">
      <alignment horizontal="center" vertical="top"/>
    </xf>
    <xf numFmtId="0" fontId="10" fillId="0" borderId="94" xfId="11" applyFont="1" applyFill="1" applyBorder="1" applyAlignment="1">
      <alignment horizontal="center" vertical="center"/>
    </xf>
    <xf numFmtId="0" fontId="10" fillId="0" borderId="59" xfId="11" applyFont="1" applyFill="1" applyBorder="1" applyAlignment="1">
      <alignment horizontal="center" vertical="center"/>
    </xf>
    <xf numFmtId="0" fontId="10" fillId="0" borderId="176" xfId="11" applyFont="1" applyFill="1" applyBorder="1" applyAlignment="1">
      <alignment horizontal="center" vertical="center"/>
    </xf>
    <xf numFmtId="0" fontId="14" fillId="0" borderId="177" xfId="11" applyFont="1" applyFill="1" applyBorder="1" applyAlignment="1">
      <alignment horizontal="left" vertical="top"/>
    </xf>
    <xf numFmtId="0" fontId="14" fillId="0" borderId="102" xfId="11" applyFont="1" applyFill="1" applyBorder="1" applyAlignment="1">
      <alignment horizontal="center" vertical="top"/>
    </xf>
    <xf numFmtId="0" fontId="14" fillId="0" borderId="102" xfId="11" applyFont="1" applyFill="1" applyBorder="1" applyAlignment="1">
      <alignment horizontal="left" vertical="top"/>
    </xf>
    <xf numFmtId="0" fontId="14" fillId="0" borderId="178" xfId="11" applyFont="1" applyFill="1" applyBorder="1" applyAlignment="1">
      <alignment vertical="top"/>
    </xf>
    <xf numFmtId="0" fontId="14" fillId="0" borderId="179" xfId="11" applyFont="1" applyFill="1" applyBorder="1" applyAlignment="1">
      <alignment horizontal="left" vertical="top"/>
    </xf>
    <xf numFmtId="0" fontId="14" fillId="0" borderId="180" xfId="11" applyFont="1" applyFill="1" applyBorder="1" applyAlignment="1">
      <alignment horizontal="center" vertical="top"/>
    </xf>
    <xf numFmtId="0" fontId="10" fillId="0" borderId="182" xfId="11" applyFont="1" applyFill="1" applyBorder="1" applyAlignment="1">
      <alignment horizontal="center" vertical="center"/>
    </xf>
    <xf numFmtId="0" fontId="14" fillId="0" borderId="172" xfId="11" applyFont="1" applyFill="1" applyBorder="1" applyAlignment="1">
      <alignment horizontal="center" vertical="top"/>
    </xf>
    <xf numFmtId="0" fontId="20" fillId="0" borderId="91" xfId="11" applyFont="1" applyFill="1" applyBorder="1" applyAlignment="1">
      <alignment horizontal="left" vertical="top"/>
    </xf>
    <xf numFmtId="0" fontId="10" fillId="0" borderId="185" xfId="11" applyFont="1" applyFill="1" applyBorder="1" applyAlignment="1">
      <alignment horizontal="center" vertical="center"/>
    </xf>
    <xf numFmtId="0" fontId="14" fillId="0" borderId="178" xfId="11" applyFont="1" applyFill="1" applyBorder="1" applyAlignment="1">
      <alignment horizontal="center" vertical="top"/>
    </xf>
    <xf numFmtId="0" fontId="10" fillId="0" borderId="187" xfId="11" applyFont="1" applyFill="1" applyBorder="1" applyAlignment="1">
      <alignment horizontal="center" vertical="center"/>
    </xf>
    <xf numFmtId="0" fontId="14" fillId="0" borderId="87" xfId="11" applyFont="1" applyFill="1" applyBorder="1" applyAlignment="1">
      <alignment horizontal="left" vertical="top"/>
    </xf>
    <xf numFmtId="0" fontId="14" fillId="0" borderId="85" xfId="11" applyFont="1" applyFill="1" applyBorder="1" applyAlignment="1">
      <alignment horizontal="left" vertical="top"/>
    </xf>
    <xf numFmtId="0" fontId="14" fillId="0" borderId="124" xfId="11" applyFont="1" applyFill="1" applyBorder="1" applyAlignment="1">
      <alignment horizontal="center" vertical="top"/>
    </xf>
    <xf numFmtId="0" fontId="14" fillId="0" borderId="85" xfId="11" applyFont="1" applyFill="1" applyBorder="1" applyAlignment="1">
      <alignment horizontal="center" vertical="top"/>
    </xf>
    <xf numFmtId="0" fontId="14" fillId="0" borderId="125" xfId="11" applyFont="1" applyFill="1" applyBorder="1" applyAlignment="1">
      <alignment horizontal="center" vertical="top"/>
    </xf>
    <xf numFmtId="0" fontId="14" fillId="0" borderId="126" xfId="11" applyFont="1" applyFill="1" applyBorder="1" applyAlignment="1">
      <alignment horizontal="left" vertical="top"/>
    </xf>
    <xf numFmtId="0" fontId="14" fillId="0" borderId="104" xfId="11" applyFont="1" applyFill="1" applyBorder="1" applyAlignment="1">
      <alignment horizontal="center" vertical="top"/>
    </xf>
    <xf numFmtId="0" fontId="14" fillId="0" borderId="104" xfId="11" applyFont="1" applyFill="1" applyBorder="1" applyAlignment="1">
      <alignment horizontal="left" vertical="top"/>
    </xf>
    <xf numFmtId="0" fontId="14" fillId="0" borderId="127" xfId="11" applyFont="1" applyFill="1" applyBorder="1" applyAlignment="1">
      <alignment vertical="top"/>
    </xf>
    <xf numFmtId="0" fontId="14" fillId="0" borderId="142" xfId="11" applyFont="1" applyFill="1" applyBorder="1" applyAlignment="1">
      <alignment horizontal="center" vertical="top"/>
    </xf>
    <xf numFmtId="0" fontId="10" fillId="0" borderId="63" xfId="11" applyFont="1" applyFill="1" applyBorder="1" applyAlignment="1">
      <alignment horizontal="center" vertical="center"/>
    </xf>
    <xf numFmtId="0" fontId="14" fillId="0" borderId="167" xfId="11" applyFont="1" applyFill="1" applyBorder="1" applyAlignment="1">
      <alignment horizontal="center" vertical="top"/>
    </xf>
    <xf numFmtId="0" fontId="14" fillId="0" borderId="124" xfId="11" applyFont="1" applyFill="1" applyBorder="1" applyAlignment="1">
      <alignment horizontal="left" vertical="top"/>
    </xf>
    <xf numFmtId="0" fontId="14" fillId="0" borderId="85" xfId="11" applyFont="1" applyFill="1" applyBorder="1" applyAlignment="1">
      <alignment vertical="top"/>
    </xf>
    <xf numFmtId="0" fontId="14" fillId="0" borderId="171" xfId="11" applyFont="1" applyFill="1" applyBorder="1" applyAlignment="1">
      <alignment horizontal="center" vertical="top"/>
    </xf>
    <xf numFmtId="0" fontId="14" fillId="0" borderId="127" xfId="11" applyFont="1" applyFill="1" applyBorder="1" applyAlignment="1">
      <alignment horizontal="center" vertical="top"/>
    </xf>
    <xf numFmtId="0" fontId="10" fillId="0" borderId="188" xfId="11" applyFont="1" applyFill="1" applyBorder="1" applyAlignment="1">
      <alignment horizontal="center" vertical="center"/>
    </xf>
    <xf numFmtId="0" fontId="14" fillId="0" borderId="102" xfId="11" applyFont="1" applyFill="1" applyBorder="1" applyAlignment="1">
      <alignment vertical="top"/>
    </xf>
    <xf numFmtId="0" fontId="14" fillId="0" borderId="104" xfId="11" applyFont="1" applyFill="1" applyBorder="1" applyAlignment="1">
      <alignment vertical="top"/>
    </xf>
    <xf numFmtId="0" fontId="14" fillId="0" borderId="87" xfId="11" applyFont="1" applyFill="1" applyBorder="1" applyAlignment="1">
      <alignment horizontal="center" vertical="top"/>
    </xf>
    <xf numFmtId="0" fontId="14" fillId="0" borderId="126" xfId="11" applyFont="1" applyFill="1" applyBorder="1" applyAlignment="1"/>
    <xf numFmtId="0" fontId="14" fillId="0" borderId="126" xfId="11" applyFont="1" applyFill="1" applyBorder="1" applyAlignment="1">
      <alignment horizontal="center" vertical="top"/>
    </xf>
    <xf numFmtId="0" fontId="14" fillId="0" borderId="104" xfId="11" applyFont="1" applyFill="1" applyBorder="1" applyAlignment="1">
      <alignment horizontal="center"/>
    </xf>
    <xf numFmtId="0" fontId="14" fillId="0" borderId="75" xfId="11" applyFont="1" applyFill="1" applyBorder="1" applyAlignment="1"/>
    <xf numFmtId="0" fontId="14" fillId="0" borderId="75" xfId="11" applyFont="1" applyFill="1" applyBorder="1" applyAlignment="1">
      <alignment horizontal="center" vertical="top"/>
    </xf>
    <xf numFmtId="0" fontId="14" fillId="0" borderId="177" xfId="11" applyFont="1" applyFill="1" applyBorder="1" applyAlignment="1"/>
    <xf numFmtId="0" fontId="14" fillId="0" borderId="177" xfId="11" applyFont="1" applyFill="1" applyBorder="1" applyAlignment="1">
      <alignment horizontal="center" vertical="top"/>
    </xf>
    <xf numFmtId="0" fontId="14" fillId="0" borderId="102" xfId="11" applyFont="1" applyFill="1" applyBorder="1" applyAlignment="1">
      <alignment horizontal="center"/>
    </xf>
    <xf numFmtId="0" fontId="10" fillId="0" borderId="0" xfId="0" applyFont="1">
      <alignment vertical="center"/>
    </xf>
    <xf numFmtId="0" fontId="19" fillId="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7" fillId="0" borderId="0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0" fillId="0" borderId="0" xfId="7" applyFont="1" applyAlignment="1">
      <alignment vertical="center"/>
    </xf>
    <xf numFmtId="0" fontId="6" fillId="0" borderId="0" xfId="17" applyFont="1">
      <alignment vertical="center"/>
    </xf>
    <xf numFmtId="0" fontId="10" fillId="0" borderId="0" xfId="17" applyFont="1">
      <alignment vertical="center"/>
    </xf>
    <xf numFmtId="0" fontId="49" fillId="0" borderId="191" xfId="17" applyFont="1" applyFill="1" applyBorder="1" applyAlignment="1">
      <alignment horizontal="center" vertical="top"/>
    </xf>
    <xf numFmtId="0" fontId="49" fillId="0" borderId="194" xfId="17" applyFont="1" applyFill="1" applyBorder="1" applyAlignment="1">
      <alignment horizontal="center" vertical="top"/>
    </xf>
    <xf numFmtId="0" fontId="49" fillId="0" borderId="1" xfId="0" applyFont="1" applyBorder="1" applyAlignment="1">
      <alignment horizontal="center" vertical="center" wrapText="1"/>
    </xf>
    <xf numFmtId="0" fontId="25" fillId="0" borderId="1" xfId="14" applyFont="1" applyFill="1" applyBorder="1" applyAlignment="1">
      <alignment horizontal="center" vertical="center"/>
    </xf>
    <xf numFmtId="41" fontId="23" fillId="0" borderId="8" xfId="8" applyFont="1" applyBorder="1" applyAlignment="1">
      <alignment horizontal="center" vertical="center"/>
    </xf>
    <xf numFmtId="41" fontId="23" fillId="0" borderId="10" xfId="8" applyFont="1" applyBorder="1" applyAlignment="1">
      <alignment horizontal="center" vertical="center"/>
    </xf>
    <xf numFmtId="41" fontId="23" fillId="0" borderId="9" xfId="8" applyFont="1" applyBorder="1" applyAlignment="1">
      <alignment horizontal="center" vertical="center"/>
    </xf>
    <xf numFmtId="41" fontId="23" fillId="0" borderId="11" xfId="8" applyFont="1" applyBorder="1" applyAlignment="1">
      <alignment horizontal="center" vertical="center"/>
    </xf>
    <xf numFmtId="41" fontId="23" fillId="0" borderId="0" xfId="8" applyFont="1" applyBorder="1" applyAlignment="1">
      <alignment horizontal="center" vertical="center"/>
    </xf>
    <xf numFmtId="41" fontId="23" fillId="0" borderId="12" xfId="8" applyFont="1" applyBorder="1" applyAlignment="1">
      <alignment horizontal="center" vertical="center"/>
    </xf>
    <xf numFmtId="41" fontId="23" fillId="0" borderId="14" xfId="8" applyFont="1" applyBorder="1" applyAlignment="1">
      <alignment horizontal="center" vertical="center"/>
    </xf>
    <xf numFmtId="41" fontId="23" fillId="0" borderId="4" xfId="8" applyFont="1" applyBorder="1" applyAlignment="1">
      <alignment horizontal="center" vertical="center"/>
    </xf>
    <xf numFmtId="41" fontId="23" fillId="0" borderId="15" xfId="8" applyFont="1" applyBorder="1" applyAlignment="1">
      <alignment horizontal="center" vertical="center"/>
    </xf>
    <xf numFmtId="41" fontId="24" fillId="0" borderId="1" xfId="8" applyFont="1" applyBorder="1" applyAlignment="1">
      <alignment horizontal="center" vertical="center"/>
    </xf>
    <xf numFmtId="41" fontId="24" fillId="0" borderId="1" xfId="8" quotePrefix="1" applyFont="1" applyBorder="1" applyAlignment="1">
      <alignment horizontal="center"/>
    </xf>
    <xf numFmtId="41" fontId="25" fillId="0" borderId="1" xfId="8" applyFont="1" applyBorder="1" applyAlignment="1">
      <alignment horizontal="center" vertical="center"/>
    </xf>
    <xf numFmtId="41" fontId="24" fillId="0" borderId="5" xfId="8" applyFont="1" applyBorder="1" applyAlignment="1">
      <alignment horizontal="center" vertical="center"/>
    </xf>
    <xf numFmtId="41" fontId="24" fillId="0" borderId="7" xfId="8" applyFont="1" applyBorder="1" applyAlignment="1">
      <alignment horizontal="center" vertical="center"/>
    </xf>
    <xf numFmtId="41" fontId="24" fillId="0" borderId="6" xfId="8" applyFont="1" applyBorder="1" applyAlignment="1">
      <alignment horizontal="center" vertical="center"/>
    </xf>
    <xf numFmtId="41" fontId="24" fillId="0" borderId="5" xfId="8" quotePrefix="1" applyFont="1" applyBorder="1" applyAlignment="1">
      <alignment horizontal="center" vertical="center"/>
    </xf>
    <xf numFmtId="41" fontId="24" fillId="0" borderId="7" xfId="8" quotePrefix="1" applyFont="1" applyBorder="1" applyAlignment="1">
      <alignment horizontal="center" vertical="center"/>
    </xf>
    <xf numFmtId="41" fontId="24" fillId="0" borderId="6" xfId="8" quotePrefix="1" applyFont="1" applyBorder="1" applyAlignment="1">
      <alignment horizontal="center" vertical="center"/>
    </xf>
    <xf numFmtId="41" fontId="27" fillId="3" borderId="2" xfId="8" applyFont="1" applyFill="1" applyBorder="1" applyAlignment="1">
      <alignment horizontal="center" vertical="center"/>
    </xf>
    <xf numFmtId="41" fontId="27" fillId="3" borderId="13" xfId="8" applyFont="1" applyFill="1" applyBorder="1" applyAlignment="1">
      <alignment horizontal="center" vertical="center"/>
    </xf>
    <xf numFmtId="41" fontId="27" fillId="3" borderId="25" xfId="8" applyFont="1" applyFill="1" applyBorder="1" applyAlignment="1">
      <alignment horizontal="center" vertical="center"/>
    </xf>
    <xf numFmtId="3" fontId="27" fillId="3" borderId="2" xfId="8" applyNumberFormat="1" applyFont="1" applyFill="1" applyBorder="1" applyAlignment="1">
      <alignment horizontal="center" vertical="center"/>
    </xf>
    <xf numFmtId="3" fontId="27" fillId="3" borderId="13" xfId="8" applyNumberFormat="1" applyFont="1" applyFill="1" applyBorder="1" applyAlignment="1">
      <alignment horizontal="center" vertical="center"/>
    </xf>
    <xf numFmtId="3" fontId="27" fillId="3" borderId="25" xfId="8" applyNumberFormat="1" applyFont="1" applyFill="1" applyBorder="1" applyAlignment="1">
      <alignment horizontal="center" vertical="center"/>
    </xf>
    <xf numFmtId="10" fontId="27" fillId="3" borderId="2" xfId="8" applyNumberFormat="1" applyFont="1" applyFill="1" applyBorder="1" applyAlignment="1">
      <alignment horizontal="center" vertical="center"/>
    </xf>
    <xf numFmtId="10" fontId="27" fillId="3" borderId="13" xfId="8" applyNumberFormat="1" applyFont="1" applyFill="1" applyBorder="1" applyAlignment="1">
      <alignment horizontal="center" vertical="center"/>
    </xf>
    <xf numFmtId="10" fontId="27" fillId="3" borderId="25" xfId="8" applyNumberFormat="1" applyFont="1" applyFill="1" applyBorder="1" applyAlignment="1">
      <alignment horizontal="center" vertical="center"/>
    </xf>
    <xf numFmtId="41" fontId="3" fillId="3" borderId="5" xfId="8" applyFont="1" applyFill="1" applyBorder="1" applyAlignment="1">
      <alignment horizontal="center" vertical="center"/>
    </xf>
    <xf numFmtId="41" fontId="3" fillId="3" borderId="7" xfId="8" applyFont="1" applyFill="1" applyBorder="1" applyAlignment="1">
      <alignment horizontal="center" vertical="center"/>
    </xf>
    <xf numFmtId="41" fontId="3" fillId="3" borderId="6" xfId="8" applyFont="1" applyFill="1" applyBorder="1" applyAlignment="1">
      <alignment horizontal="center" vertical="center"/>
    </xf>
    <xf numFmtId="41" fontId="3" fillId="3" borderId="2" xfId="8" applyFont="1" applyFill="1" applyBorder="1" applyAlignment="1">
      <alignment horizontal="center" vertical="center"/>
    </xf>
    <xf numFmtId="41" fontId="3" fillId="3" borderId="13" xfId="8" applyFont="1" applyFill="1" applyBorder="1" applyAlignment="1">
      <alignment horizontal="center" vertical="center"/>
    </xf>
    <xf numFmtId="41" fontId="3" fillId="3" borderId="25" xfId="8" applyFont="1" applyFill="1" applyBorder="1" applyAlignment="1">
      <alignment horizontal="center" vertical="center"/>
    </xf>
    <xf numFmtId="41" fontId="3" fillId="3" borderId="3" xfId="8" applyFont="1" applyFill="1" applyBorder="1" applyAlignment="1">
      <alignment horizontal="center" vertical="center"/>
    </xf>
    <xf numFmtId="41" fontId="27" fillId="5" borderId="29" xfId="8" applyFont="1" applyFill="1" applyBorder="1" applyAlignment="1">
      <alignment horizontal="center" vertical="center"/>
    </xf>
    <xf numFmtId="41" fontId="27" fillId="5" borderId="30" xfId="8" applyFont="1" applyFill="1" applyBorder="1" applyAlignment="1">
      <alignment horizontal="center" vertical="center"/>
    </xf>
    <xf numFmtId="41" fontId="27" fillId="5" borderId="31" xfId="8" applyFont="1" applyFill="1" applyBorder="1" applyAlignment="1">
      <alignment horizontal="center" vertical="center"/>
    </xf>
    <xf numFmtId="41" fontId="27" fillId="5" borderId="11" xfId="8" applyFont="1" applyFill="1" applyBorder="1" applyAlignment="1">
      <alignment horizontal="center" vertical="center"/>
    </xf>
    <xf numFmtId="41" fontId="27" fillId="5" borderId="0" xfId="8" applyFont="1" applyFill="1" applyBorder="1" applyAlignment="1">
      <alignment horizontal="center" vertical="center"/>
    </xf>
    <xf numFmtId="41" fontId="27" fillId="5" borderId="12" xfId="8" applyFont="1" applyFill="1" applyBorder="1" applyAlignment="1">
      <alignment horizontal="center" vertical="center"/>
    </xf>
    <xf numFmtId="41" fontId="27" fillId="5" borderId="14" xfId="8" applyFont="1" applyFill="1" applyBorder="1" applyAlignment="1">
      <alignment horizontal="center" vertical="center"/>
    </xf>
    <xf numFmtId="41" fontId="27" fillId="5" borderId="4" xfId="8" applyFont="1" applyFill="1" applyBorder="1" applyAlignment="1">
      <alignment horizontal="center" vertical="center"/>
    </xf>
    <xf numFmtId="41" fontId="27" fillId="5" borderId="15" xfId="8" applyFont="1" applyFill="1" applyBorder="1" applyAlignment="1">
      <alignment horizontal="center" vertical="center"/>
    </xf>
    <xf numFmtId="41" fontId="27" fillId="6" borderId="2" xfId="8" applyFont="1" applyFill="1" applyBorder="1" applyAlignment="1">
      <alignment horizontal="center" vertical="center"/>
    </xf>
    <xf numFmtId="41" fontId="27" fillId="6" borderId="13" xfId="8" applyFont="1" applyFill="1" applyBorder="1" applyAlignment="1">
      <alignment horizontal="center" vertical="center"/>
    </xf>
    <xf numFmtId="41" fontId="3" fillId="6" borderId="42" xfId="8" applyFont="1" applyFill="1" applyBorder="1" applyAlignment="1">
      <alignment horizontal="center" vertical="center"/>
    </xf>
    <xf numFmtId="41" fontId="3" fillId="6" borderId="43" xfId="8" applyFont="1" applyFill="1" applyBorder="1" applyAlignment="1">
      <alignment horizontal="center" vertical="center"/>
    </xf>
    <xf numFmtId="3" fontId="3" fillId="6" borderId="42" xfId="8" applyNumberFormat="1" applyFont="1" applyFill="1" applyBorder="1" applyAlignment="1">
      <alignment horizontal="right" vertical="center"/>
    </xf>
    <xf numFmtId="3" fontId="3" fillId="6" borderId="43" xfId="8" applyNumberFormat="1" applyFont="1" applyFill="1" applyBorder="1" applyAlignment="1">
      <alignment horizontal="right" vertical="center"/>
    </xf>
    <xf numFmtId="10" fontId="3" fillId="6" borderId="42" xfId="8" applyNumberFormat="1" applyFont="1" applyFill="1" applyBorder="1" applyAlignment="1">
      <alignment horizontal="center" vertical="center"/>
    </xf>
    <xf numFmtId="10" fontId="3" fillId="6" borderId="43" xfId="8" applyNumberFormat="1" applyFont="1" applyFill="1" applyBorder="1" applyAlignment="1">
      <alignment horizontal="center" vertical="center"/>
    </xf>
    <xf numFmtId="41" fontId="3" fillId="6" borderId="44" xfId="8" applyFont="1" applyFill="1" applyBorder="1" applyAlignment="1">
      <alignment horizontal="center" vertical="center"/>
    </xf>
    <xf numFmtId="41" fontId="3" fillId="6" borderId="13" xfId="8" applyFont="1" applyFill="1" applyBorder="1" applyAlignment="1">
      <alignment horizontal="center" vertical="center"/>
    </xf>
    <xf numFmtId="3" fontId="3" fillId="6" borderId="44" xfId="8" applyNumberFormat="1" applyFont="1" applyFill="1" applyBorder="1" applyAlignment="1">
      <alignment horizontal="right" vertical="center"/>
    </xf>
    <xf numFmtId="10" fontId="3" fillId="6" borderId="44" xfId="8" applyNumberFormat="1" applyFont="1" applyFill="1" applyBorder="1" applyAlignment="1">
      <alignment horizontal="center" vertical="center"/>
    </xf>
    <xf numFmtId="10" fontId="3" fillId="6" borderId="13" xfId="8" applyNumberFormat="1" applyFont="1" applyFill="1" applyBorder="1" applyAlignment="1">
      <alignment horizontal="center" vertical="center"/>
    </xf>
    <xf numFmtId="41" fontId="3" fillId="6" borderId="2" xfId="8" applyFont="1" applyFill="1" applyBorder="1" applyAlignment="1">
      <alignment horizontal="center" vertical="center"/>
    </xf>
    <xf numFmtId="41" fontId="3" fillId="6" borderId="3" xfId="8" applyFont="1" applyFill="1" applyBorder="1" applyAlignment="1">
      <alignment horizontal="center" vertical="center"/>
    </xf>
    <xf numFmtId="3" fontId="3" fillId="6" borderId="45" xfId="8" applyNumberFormat="1" applyFont="1" applyFill="1" applyBorder="1" applyAlignment="1">
      <alignment horizontal="right" vertical="center"/>
    </xf>
    <xf numFmtId="3" fontId="3" fillId="6" borderId="49" xfId="8" applyNumberFormat="1" applyFont="1" applyFill="1" applyBorder="1" applyAlignment="1">
      <alignment horizontal="right" vertical="center"/>
    </xf>
    <xf numFmtId="176" fontId="3" fillId="6" borderId="45" xfId="8" applyNumberFormat="1" applyFont="1" applyFill="1" applyBorder="1" applyAlignment="1">
      <alignment horizontal="right" vertical="center"/>
    </xf>
    <xf numFmtId="176" fontId="3" fillId="6" borderId="49" xfId="8" applyNumberFormat="1" applyFont="1" applyFill="1" applyBorder="1" applyAlignment="1">
      <alignment horizontal="right" vertical="center"/>
    </xf>
    <xf numFmtId="41" fontId="27" fillId="6" borderId="3" xfId="8" applyFont="1" applyFill="1" applyBorder="1" applyAlignment="1">
      <alignment horizontal="center" vertical="center"/>
    </xf>
    <xf numFmtId="41" fontId="27" fillId="6" borderId="8" xfId="8" applyFont="1" applyFill="1" applyBorder="1" applyAlignment="1">
      <alignment horizontal="center" vertical="center"/>
    </xf>
    <xf numFmtId="41" fontId="27" fillId="6" borderId="10" xfId="8" applyFont="1" applyFill="1" applyBorder="1" applyAlignment="1">
      <alignment horizontal="center" vertical="center"/>
    </xf>
    <xf numFmtId="41" fontId="27" fillId="6" borderId="9" xfId="8" applyFont="1" applyFill="1" applyBorder="1" applyAlignment="1">
      <alignment horizontal="center" vertical="center"/>
    </xf>
    <xf numFmtId="41" fontId="27" fillId="6" borderId="14" xfId="8" applyFont="1" applyFill="1" applyBorder="1" applyAlignment="1">
      <alignment horizontal="center" vertical="center"/>
    </xf>
    <xf numFmtId="41" fontId="27" fillId="6" borderId="4" xfId="8" applyFont="1" applyFill="1" applyBorder="1" applyAlignment="1">
      <alignment horizontal="center" vertical="center"/>
    </xf>
    <xf numFmtId="41" fontId="27" fillId="6" borderId="15" xfId="8" applyFont="1" applyFill="1" applyBorder="1" applyAlignment="1">
      <alignment horizontal="center" vertical="center"/>
    </xf>
    <xf numFmtId="41" fontId="27" fillId="6" borderId="12" xfId="8" applyFont="1" applyFill="1" applyBorder="1" applyAlignment="1">
      <alignment horizontal="center" vertical="center"/>
    </xf>
    <xf numFmtId="176" fontId="3" fillId="6" borderId="42" xfId="8" applyNumberFormat="1" applyFont="1" applyFill="1" applyBorder="1" applyAlignment="1">
      <alignment horizontal="right" vertical="center"/>
    </xf>
    <xf numFmtId="41" fontId="27" fillId="6" borderId="56" xfId="8" applyFont="1" applyFill="1" applyBorder="1" applyAlignment="1">
      <alignment horizontal="center" vertical="center"/>
    </xf>
    <xf numFmtId="41" fontId="27" fillId="6" borderId="58" xfId="8" applyFont="1" applyFill="1" applyBorder="1" applyAlignment="1">
      <alignment horizontal="center" vertical="center"/>
    </xf>
    <xf numFmtId="41" fontId="27" fillId="6" borderId="60" xfId="8" applyFont="1" applyFill="1" applyBorder="1" applyAlignment="1">
      <alignment horizontal="center" vertical="center"/>
    </xf>
    <xf numFmtId="41" fontId="31" fillId="6" borderId="35" xfId="8" applyFont="1" applyFill="1" applyBorder="1" applyAlignment="1">
      <alignment horizontal="center" vertical="center" wrapText="1"/>
    </xf>
    <xf numFmtId="41" fontId="31" fillId="6" borderId="13" xfId="8" applyFont="1" applyFill="1" applyBorder="1" applyAlignment="1">
      <alignment horizontal="center" vertical="center" wrapText="1"/>
    </xf>
    <xf numFmtId="41" fontId="31" fillId="6" borderId="3" xfId="8" applyFont="1" applyFill="1" applyBorder="1" applyAlignment="1">
      <alignment horizontal="center" vertical="center" wrapText="1"/>
    </xf>
    <xf numFmtId="10" fontId="3" fillId="6" borderId="35" xfId="8" applyNumberFormat="1" applyFont="1" applyFill="1" applyBorder="1" applyAlignment="1">
      <alignment horizontal="center" vertical="center"/>
    </xf>
    <xf numFmtId="10" fontId="3" fillId="6" borderId="3" xfId="8" applyNumberFormat="1" applyFont="1" applyFill="1" applyBorder="1" applyAlignment="1">
      <alignment horizontal="center" vertical="center"/>
    </xf>
    <xf numFmtId="41" fontId="3" fillId="6" borderId="45" xfId="8" applyFont="1" applyFill="1" applyBorder="1" applyAlignment="1">
      <alignment horizontal="center" vertical="center"/>
    </xf>
    <xf numFmtId="41" fontId="3" fillId="6" borderId="45" xfId="1" applyFont="1" applyFill="1" applyBorder="1" applyAlignment="1">
      <alignment horizontal="right" vertical="center"/>
    </xf>
    <xf numFmtId="41" fontId="3" fillId="6" borderId="43" xfId="1" applyFont="1" applyFill="1" applyBorder="1" applyAlignment="1">
      <alignment horizontal="right" vertical="center"/>
    </xf>
    <xf numFmtId="10" fontId="3" fillId="6" borderId="45" xfId="8" applyNumberFormat="1" applyFont="1" applyFill="1" applyBorder="1" applyAlignment="1">
      <alignment horizontal="center" vertical="center"/>
    </xf>
    <xf numFmtId="41" fontId="3" fillId="6" borderId="44" xfId="1" applyFont="1" applyFill="1" applyBorder="1" applyAlignment="1">
      <alignment horizontal="center" vertical="center"/>
    </xf>
    <xf numFmtId="41" fontId="3" fillId="6" borderId="42" xfId="1" applyFont="1" applyFill="1" applyBorder="1" applyAlignment="1">
      <alignment horizontal="center" vertical="center"/>
    </xf>
    <xf numFmtId="41" fontId="3" fillId="6" borderId="49" xfId="1" applyFont="1" applyFill="1" applyBorder="1" applyAlignment="1">
      <alignment horizontal="right" vertical="center"/>
    </xf>
    <xf numFmtId="10" fontId="3" fillId="6" borderId="49" xfId="8" applyNumberFormat="1" applyFont="1" applyFill="1" applyBorder="1" applyAlignment="1">
      <alignment horizontal="center" vertical="center"/>
    </xf>
    <xf numFmtId="41" fontId="27" fillId="6" borderId="61" xfId="8" applyFont="1" applyFill="1" applyBorder="1" applyAlignment="1">
      <alignment horizontal="center" vertical="center"/>
    </xf>
    <xf numFmtId="41" fontId="3" fillId="6" borderId="42" xfId="1" applyFont="1" applyFill="1" applyBorder="1" applyAlignment="1">
      <alignment horizontal="right" vertical="center"/>
    </xf>
    <xf numFmtId="41" fontId="3" fillId="6" borderId="44" xfId="1" applyFont="1" applyFill="1" applyBorder="1" applyAlignment="1">
      <alignment horizontal="right" vertical="center"/>
    </xf>
    <xf numFmtId="41" fontId="3" fillId="4" borderId="0" xfId="8" applyFont="1" applyFill="1" applyBorder="1" applyAlignment="1">
      <alignment horizontal="center" vertical="center"/>
    </xf>
    <xf numFmtId="3" fontId="3" fillId="4" borderId="0" xfId="8" applyNumberFormat="1" applyFont="1" applyFill="1" applyBorder="1" applyAlignment="1">
      <alignment horizontal="right" vertical="center"/>
    </xf>
    <xf numFmtId="10" fontId="3" fillId="4" borderId="0" xfId="8" applyNumberFormat="1" applyFont="1" applyFill="1" applyBorder="1" applyAlignment="1">
      <alignment horizontal="center" vertical="center"/>
    </xf>
    <xf numFmtId="41" fontId="27" fillId="6" borderId="62" xfId="8" applyFont="1" applyFill="1" applyBorder="1" applyAlignment="1">
      <alignment horizontal="center" vertical="center"/>
    </xf>
    <xf numFmtId="41" fontId="27" fillId="6" borderId="64" xfId="8" applyFont="1" applyFill="1" applyBorder="1" applyAlignment="1">
      <alignment horizontal="center" vertical="center"/>
    </xf>
    <xf numFmtId="41" fontId="27" fillId="6" borderId="65" xfId="8" applyFont="1" applyFill="1" applyBorder="1" applyAlignment="1">
      <alignment horizontal="center" vertical="center"/>
    </xf>
    <xf numFmtId="41" fontId="27" fillId="6" borderId="66" xfId="8" applyFont="1" applyFill="1" applyBorder="1" applyAlignment="1">
      <alignment horizontal="center" vertical="center"/>
    </xf>
    <xf numFmtId="41" fontId="27" fillId="6" borderId="67" xfId="8" applyFont="1" applyFill="1" applyBorder="1" applyAlignment="1">
      <alignment horizontal="center" vertical="center"/>
    </xf>
    <xf numFmtId="0" fontId="35" fillId="0" borderId="1" xfId="14" applyFont="1" applyFill="1" applyBorder="1" applyAlignment="1">
      <alignment horizontal="center" vertical="center" wrapText="1"/>
    </xf>
    <xf numFmtId="0" fontId="28" fillId="0" borderId="1" xfId="14" applyFont="1" applyFill="1" applyBorder="1" applyAlignment="1">
      <alignment horizontal="center" vertical="center"/>
    </xf>
    <xf numFmtId="0" fontId="24" fillId="0" borderId="1" xfId="14" applyFont="1" applyFill="1" applyBorder="1" applyAlignment="1">
      <alignment horizontal="center" vertical="center"/>
    </xf>
    <xf numFmtId="0" fontId="28" fillId="0" borderId="5" xfId="14" applyFont="1" applyFill="1" applyBorder="1" applyAlignment="1">
      <alignment horizontal="center" vertical="center"/>
    </xf>
    <xf numFmtId="0" fontId="28" fillId="0" borderId="7" xfId="14" applyFont="1" applyFill="1" applyBorder="1" applyAlignment="1">
      <alignment horizontal="center" vertical="center"/>
    </xf>
    <xf numFmtId="0" fontId="28" fillId="0" borderId="6" xfId="14" applyFont="1" applyFill="1" applyBorder="1" applyAlignment="1">
      <alignment horizontal="center" vertical="center"/>
    </xf>
    <xf numFmtId="0" fontId="28" fillId="0" borderId="5" xfId="14" quotePrefix="1" applyFont="1" applyFill="1" applyBorder="1" applyAlignment="1">
      <alignment horizontal="center" vertical="center"/>
    </xf>
    <xf numFmtId="0" fontId="28" fillId="0" borderId="7" xfId="14" quotePrefix="1" applyFont="1" applyFill="1" applyBorder="1" applyAlignment="1">
      <alignment horizontal="center" vertical="center"/>
    </xf>
    <xf numFmtId="0" fontId="28" fillId="0" borderId="6" xfId="14" quotePrefix="1" applyFont="1" applyFill="1" applyBorder="1" applyAlignment="1">
      <alignment horizontal="center" vertical="center"/>
    </xf>
    <xf numFmtId="0" fontId="33" fillId="3" borderId="1" xfId="13" applyFont="1" applyFill="1" applyBorder="1" applyAlignment="1">
      <alignment horizontal="center" vertical="center"/>
    </xf>
    <xf numFmtId="0" fontId="33" fillId="3" borderId="78" xfId="13" applyFont="1" applyFill="1" applyBorder="1" applyAlignment="1">
      <alignment horizontal="center" vertical="center"/>
    </xf>
    <xf numFmtId="0" fontId="33" fillId="3" borderId="1" xfId="13" applyFont="1" applyFill="1" applyBorder="1" applyAlignment="1">
      <alignment horizontal="center" vertical="center" wrapText="1"/>
    </xf>
    <xf numFmtId="0" fontId="33" fillId="3" borderId="63" xfId="13" applyFont="1" applyFill="1" applyBorder="1" applyAlignment="1">
      <alignment horizontal="center" vertical="center" wrapText="1"/>
    </xf>
    <xf numFmtId="0" fontId="33" fillId="3" borderId="59" xfId="13" applyFont="1" applyFill="1" applyBorder="1" applyAlignment="1">
      <alignment horizontal="center" vertical="center" wrapText="1"/>
    </xf>
    <xf numFmtId="0" fontId="33" fillId="3" borderId="74" xfId="13" applyFont="1" applyFill="1" applyBorder="1" applyAlignment="1">
      <alignment horizontal="center" vertical="center" wrapText="1"/>
    </xf>
    <xf numFmtId="0" fontId="33" fillId="3" borderId="6" xfId="13" applyFont="1" applyFill="1" applyBorder="1" applyAlignment="1">
      <alignment horizontal="center" vertical="center"/>
    </xf>
    <xf numFmtId="0" fontId="33" fillId="3" borderId="5" xfId="13" applyFont="1" applyFill="1" applyBorder="1" applyAlignment="1">
      <alignment horizontal="center" vertical="center"/>
    </xf>
    <xf numFmtId="0" fontId="33" fillId="3" borderId="8" xfId="13" applyFont="1" applyFill="1" applyBorder="1" applyAlignment="1">
      <alignment horizontal="center" vertical="center"/>
    </xf>
    <xf numFmtId="0" fontId="33" fillId="3" borderId="9" xfId="13" applyFont="1" applyFill="1" applyBorder="1" applyAlignment="1">
      <alignment horizontal="center" vertical="center"/>
    </xf>
    <xf numFmtId="0" fontId="33" fillId="3" borderId="11" xfId="13" applyFont="1" applyFill="1" applyBorder="1" applyAlignment="1">
      <alignment horizontal="center" vertical="center"/>
    </xf>
    <xf numFmtId="0" fontId="33" fillId="3" borderId="12" xfId="13" applyFont="1" applyFill="1" applyBorder="1" applyAlignment="1">
      <alignment horizontal="center" vertical="center"/>
    </xf>
    <xf numFmtId="0" fontId="33" fillId="3" borderId="71" xfId="13" applyFont="1" applyFill="1" applyBorder="1" applyAlignment="1">
      <alignment horizontal="center" vertical="center"/>
    </xf>
    <xf numFmtId="0" fontId="33" fillId="3" borderId="67" xfId="13" applyFont="1" applyFill="1" applyBorder="1" applyAlignment="1">
      <alignment horizontal="center" vertical="center"/>
    </xf>
    <xf numFmtId="0" fontId="9" fillId="0" borderId="2" xfId="13" applyFont="1" applyFill="1" applyBorder="1" applyAlignment="1">
      <alignment horizontal="center" vertical="center" wrapText="1"/>
    </xf>
    <xf numFmtId="0" fontId="9" fillId="0" borderId="13" xfId="13" applyFont="1" applyFill="1" applyBorder="1" applyAlignment="1">
      <alignment horizontal="center" vertical="center" wrapText="1"/>
    </xf>
    <xf numFmtId="0" fontId="9" fillId="0" borderId="3" xfId="13" applyFont="1" applyFill="1" applyBorder="1" applyAlignment="1">
      <alignment horizontal="center" vertical="center" wrapText="1"/>
    </xf>
    <xf numFmtId="0" fontId="10" fillId="0" borderId="2" xfId="13" applyFont="1" applyFill="1" applyBorder="1" applyAlignment="1">
      <alignment horizontal="center" vertical="center" wrapText="1"/>
    </xf>
    <xf numFmtId="0" fontId="10" fillId="0" borderId="13" xfId="13" applyFont="1" applyFill="1" applyBorder="1" applyAlignment="1">
      <alignment horizontal="center" vertical="center" wrapText="1"/>
    </xf>
    <xf numFmtId="0" fontId="10" fillId="0" borderId="3" xfId="13" applyFont="1" applyFill="1" applyBorder="1" applyAlignment="1">
      <alignment horizontal="center" vertical="center" wrapText="1"/>
    </xf>
    <xf numFmtId="0" fontId="14" fillId="0" borderId="2" xfId="13" applyFont="1" applyFill="1" applyBorder="1" applyAlignment="1">
      <alignment horizontal="center" vertical="center" wrapText="1"/>
    </xf>
    <xf numFmtId="0" fontId="14" fillId="0" borderId="13" xfId="13" applyFont="1" applyFill="1" applyBorder="1" applyAlignment="1">
      <alignment horizontal="center" vertical="center" wrapText="1"/>
    </xf>
    <xf numFmtId="0" fontId="14" fillId="0" borderId="2" xfId="13" applyFont="1" applyFill="1" applyBorder="1" applyAlignment="1">
      <alignment horizontal="center" vertical="center"/>
    </xf>
    <xf numFmtId="0" fontId="14" fillId="0" borderId="13" xfId="13" applyFont="1" applyFill="1" applyBorder="1" applyAlignment="1">
      <alignment horizontal="center" vertical="center"/>
    </xf>
    <xf numFmtId="0" fontId="10" fillId="0" borderId="45" xfId="13" applyFont="1" applyFill="1" applyBorder="1" applyAlignment="1">
      <alignment horizontal="center" vertical="center"/>
    </xf>
    <xf numFmtId="0" fontId="10" fillId="0" borderId="88" xfId="13" applyFont="1" applyFill="1" applyBorder="1" applyAlignment="1">
      <alignment horizontal="center" vertical="center"/>
    </xf>
    <xf numFmtId="0" fontId="10" fillId="0" borderId="89" xfId="13" applyFont="1" applyFill="1" applyBorder="1" applyAlignment="1">
      <alignment horizontal="center" vertical="center"/>
    </xf>
    <xf numFmtId="0" fontId="10" fillId="0" borderId="92" xfId="13" applyFont="1" applyFill="1" applyBorder="1" applyAlignment="1">
      <alignment horizontal="center" vertical="center"/>
    </xf>
    <xf numFmtId="0" fontId="10" fillId="0" borderId="93" xfId="13" applyFont="1" applyFill="1" applyBorder="1" applyAlignment="1">
      <alignment horizontal="center" vertical="center"/>
    </xf>
    <xf numFmtId="0" fontId="10" fillId="0" borderId="44" xfId="13" applyFont="1" applyFill="1" applyBorder="1" applyAlignment="1">
      <alignment horizontal="center" vertical="center" wrapText="1"/>
    </xf>
    <xf numFmtId="0" fontId="14" fillId="0" borderId="43" xfId="13" applyFont="1" applyFill="1" applyBorder="1" applyAlignment="1">
      <alignment horizontal="center" vertical="center" wrapText="1"/>
    </xf>
    <xf numFmtId="0" fontId="14" fillId="0" borderId="44" xfId="13" applyFont="1" applyFill="1" applyBorder="1" applyAlignment="1">
      <alignment horizontal="center" vertical="center" wrapText="1"/>
    </xf>
    <xf numFmtId="0" fontId="10" fillId="0" borderId="99" xfId="13" applyFont="1" applyFill="1" applyBorder="1" applyAlignment="1">
      <alignment horizontal="center" vertical="center"/>
    </xf>
    <xf numFmtId="0" fontId="10" fillId="0" borderId="100" xfId="13" applyFont="1" applyFill="1" applyBorder="1" applyAlignment="1">
      <alignment horizontal="center" vertical="center"/>
    </xf>
    <xf numFmtId="0" fontId="33" fillId="0" borderId="35" xfId="13" applyFont="1" applyFill="1" applyBorder="1" applyAlignment="1">
      <alignment horizontal="center" vertical="center" wrapText="1"/>
    </xf>
    <xf numFmtId="0" fontId="33" fillId="0" borderId="13" xfId="13" applyFont="1" applyFill="1" applyBorder="1" applyAlignment="1">
      <alignment horizontal="center" vertical="center" wrapText="1"/>
    </xf>
    <xf numFmtId="0" fontId="10" fillId="0" borderId="35" xfId="13" applyFont="1" applyFill="1" applyBorder="1" applyAlignment="1">
      <alignment horizontal="center" vertical="center"/>
    </xf>
    <xf numFmtId="0" fontId="10" fillId="0" borderId="13" xfId="13" applyFont="1" applyFill="1" applyBorder="1" applyAlignment="1">
      <alignment horizontal="center" vertical="center"/>
    </xf>
    <xf numFmtId="0" fontId="10" fillId="0" borderId="35" xfId="13" applyFont="1" applyFill="1" applyBorder="1" applyAlignment="1">
      <alignment horizontal="center" vertical="center" wrapText="1"/>
    </xf>
    <xf numFmtId="0" fontId="14" fillId="0" borderId="42" xfId="13" applyFont="1" applyFill="1" applyBorder="1" applyAlignment="1">
      <alignment horizontal="center" vertical="center" wrapText="1"/>
    </xf>
    <xf numFmtId="0" fontId="10" fillId="0" borderId="43" xfId="13" applyFont="1" applyFill="1" applyBorder="1" applyAlignment="1">
      <alignment horizontal="center" vertical="center"/>
    </xf>
    <xf numFmtId="0" fontId="14" fillId="0" borderId="3" xfId="13" applyFont="1" applyFill="1" applyBorder="1" applyAlignment="1">
      <alignment horizontal="center" vertical="center" wrapText="1"/>
    </xf>
    <xf numFmtId="0" fontId="14" fillId="0" borderId="44" xfId="13" applyFont="1" applyFill="1" applyBorder="1" applyAlignment="1">
      <alignment horizontal="center" vertical="center"/>
    </xf>
    <xf numFmtId="0" fontId="14" fillId="0" borderId="3" xfId="13" applyFont="1" applyFill="1" applyBorder="1" applyAlignment="1">
      <alignment horizontal="center" vertical="center"/>
    </xf>
    <xf numFmtId="0" fontId="10" fillId="0" borderId="49" xfId="13" applyFont="1" applyFill="1" applyBorder="1" applyAlignment="1">
      <alignment horizontal="center" vertical="center"/>
    </xf>
    <xf numFmtId="0" fontId="33" fillId="0" borderId="8" xfId="13" applyFont="1" applyFill="1" applyBorder="1" applyAlignment="1">
      <alignment horizontal="center" vertical="center"/>
    </xf>
    <xf numFmtId="0" fontId="33" fillId="0" borderId="10" xfId="13" applyFont="1" applyFill="1" applyBorder="1" applyAlignment="1">
      <alignment horizontal="center" vertical="center"/>
    </xf>
    <xf numFmtId="0" fontId="33" fillId="0" borderId="106" xfId="13" applyFont="1" applyFill="1" applyBorder="1" applyAlignment="1">
      <alignment horizontal="center" vertical="center"/>
    </xf>
    <xf numFmtId="0" fontId="33" fillId="0" borderId="11" xfId="13" applyFont="1" applyFill="1" applyBorder="1" applyAlignment="1">
      <alignment horizontal="center" vertical="center"/>
    </xf>
    <xf numFmtId="0" fontId="33" fillId="0" borderId="0" xfId="13" applyFont="1" applyFill="1" applyBorder="1" applyAlignment="1">
      <alignment horizontal="center" vertical="center"/>
    </xf>
    <xf numFmtId="0" fontId="33" fillId="0" borderId="107" xfId="13" applyFont="1" applyFill="1" applyBorder="1" applyAlignment="1">
      <alignment horizontal="center" vertical="center"/>
    </xf>
    <xf numFmtId="0" fontId="33" fillId="0" borderId="14" xfId="13" applyFont="1" applyFill="1" applyBorder="1" applyAlignment="1">
      <alignment horizontal="center" vertical="center"/>
    </xf>
    <xf numFmtId="0" fontId="33" fillId="0" borderId="4" xfId="13" applyFont="1" applyFill="1" applyBorder="1" applyAlignment="1">
      <alignment horizontal="center" vertical="center"/>
    </xf>
    <xf numFmtId="0" fontId="33" fillId="0" borderId="109" xfId="13" applyFont="1" applyFill="1" applyBorder="1" applyAlignment="1">
      <alignment horizontal="center" vertical="center"/>
    </xf>
    <xf numFmtId="0" fontId="10" fillId="0" borderId="10" xfId="13" applyFont="1" applyFill="1" applyBorder="1" applyAlignment="1">
      <alignment horizontal="center" vertical="center"/>
    </xf>
    <xf numFmtId="0" fontId="10" fillId="0" borderId="9" xfId="13" applyFont="1" applyFill="1" applyBorder="1" applyAlignment="1">
      <alignment horizontal="center" vertical="center"/>
    </xf>
    <xf numFmtId="0" fontId="10" fillId="0" borderId="0" xfId="13" applyFont="1" applyFill="1" applyBorder="1" applyAlignment="1">
      <alignment horizontal="center" vertical="center"/>
    </xf>
    <xf numFmtId="0" fontId="10" fillId="0" borderId="12" xfId="13" applyFont="1" applyFill="1" applyBorder="1" applyAlignment="1">
      <alignment horizontal="center" vertical="center"/>
    </xf>
    <xf numFmtId="0" fontId="10" fillId="0" borderId="4" xfId="13" applyFont="1" applyFill="1" applyBorder="1" applyAlignment="1">
      <alignment horizontal="center" vertical="center"/>
    </xf>
    <xf numFmtId="0" fontId="10" fillId="0" borderId="15" xfId="13" applyFont="1" applyFill="1" applyBorder="1" applyAlignment="1">
      <alignment horizontal="center" vertical="center"/>
    </xf>
    <xf numFmtId="0" fontId="14" fillId="0" borderId="42" xfId="11" applyFont="1" applyFill="1" applyBorder="1" applyAlignment="1">
      <alignment horizontal="center" vertical="center"/>
    </xf>
    <xf numFmtId="0" fontId="14" fillId="0" borderId="43" xfId="11" applyFont="1" applyFill="1" applyBorder="1" applyAlignment="1">
      <alignment horizontal="center" vertical="center"/>
    </xf>
    <xf numFmtId="0" fontId="14" fillId="0" borderId="49" xfId="11" applyFont="1" applyFill="1" applyBorder="1" applyAlignment="1">
      <alignment horizontal="center" vertical="center"/>
    </xf>
    <xf numFmtId="0" fontId="14" fillId="0" borderId="42" xfId="11" applyFont="1" applyFill="1" applyBorder="1" applyAlignment="1">
      <alignment horizontal="left" vertical="center" wrapText="1"/>
    </xf>
    <xf numFmtId="0" fontId="14" fillId="0" borderId="43" xfId="11" applyFont="1" applyFill="1" applyBorder="1" applyAlignment="1">
      <alignment horizontal="left" vertical="center"/>
    </xf>
    <xf numFmtId="0" fontId="14" fillId="0" borderId="42" xfId="11" applyFont="1" applyFill="1" applyBorder="1" applyAlignment="1">
      <alignment horizontal="center" vertical="center" wrapText="1"/>
    </xf>
    <xf numFmtId="0" fontId="14" fillId="0" borderId="43" xfId="11" applyFont="1" applyFill="1" applyBorder="1" applyAlignment="1">
      <alignment horizontal="center" vertical="center" wrapText="1"/>
    </xf>
    <xf numFmtId="0" fontId="10" fillId="0" borderId="111" xfId="13" applyFont="1" applyFill="1" applyBorder="1" applyAlignment="1">
      <alignment horizontal="center" vertical="center"/>
    </xf>
    <xf numFmtId="0" fontId="10" fillId="0" borderId="112" xfId="13" applyFont="1" applyFill="1" applyBorder="1" applyAlignment="1">
      <alignment horizontal="center" vertical="center"/>
    </xf>
    <xf numFmtId="0" fontId="14" fillId="0" borderId="43" xfId="11" applyFont="1" applyFill="1" applyBorder="1" applyAlignment="1">
      <alignment horizontal="left" vertical="center" wrapText="1"/>
    </xf>
    <xf numFmtId="0" fontId="14" fillId="0" borderId="49" xfId="11" applyFont="1" applyFill="1" applyBorder="1" applyAlignment="1">
      <alignment horizontal="left" vertical="center"/>
    </xf>
    <xf numFmtId="0" fontId="14" fillId="0" borderId="49" xfId="11" applyFont="1" applyFill="1" applyBorder="1" applyAlignment="1">
      <alignment horizontal="center" vertical="center" wrapText="1"/>
    </xf>
    <xf numFmtId="0" fontId="40" fillId="0" borderId="128" xfId="11" applyFont="1" applyFill="1" applyBorder="1" applyAlignment="1">
      <alignment horizontal="center" vertical="top"/>
    </xf>
    <xf numFmtId="0" fontId="40" fillId="0" borderId="129" xfId="11" applyFont="1" applyFill="1" applyBorder="1" applyAlignment="1">
      <alignment horizontal="center" vertical="top"/>
    </xf>
    <xf numFmtId="0" fontId="40" fillId="0" borderId="100" xfId="11" applyFont="1" applyFill="1" applyBorder="1" applyAlignment="1">
      <alignment horizontal="center" vertical="top"/>
    </xf>
    <xf numFmtId="0" fontId="10" fillId="0" borderId="42" xfId="13" applyFont="1" applyFill="1" applyBorder="1" applyAlignment="1">
      <alignment horizontal="center" vertical="center"/>
    </xf>
    <xf numFmtId="0" fontId="10" fillId="0" borderId="44" xfId="13" applyFont="1" applyFill="1" applyBorder="1" applyAlignment="1">
      <alignment horizontal="center" vertical="center"/>
    </xf>
    <xf numFmtId="0" fontId="14" fillId="0" borderId="45" xfId="11" applyFont="1" applyFill="1" applyBorder="1" applyAlignment="1">
      <alignment horizontal="center" vertical="center"/>
    </xf>
    <xf numFmtId="0" fontId="14" fillId="0" borderId="45" xfId="11" applyFont="1" applyFill="1" applyBorder="1" applyAlignment="1">
      <alignment horizontal="left" vertical="center" wrapText="1"/>
    </xf>
    <xf numFmtId="0" fontId="14" fillId="0" borderId="45" xfId="11" applyFont="1" applyFill="1" applyBorder="1" applyAlignment="1">
      <alignment horizontal="center" vertical="center" wrapText="1"/>
    </xf>
    <xf numFmtId="0" fontId="14" fillId="0" borderId="44" xfId="11" applyFont="1" applyFill="1" applyBorder="1" applyAlignment="1">
      <alignment horizontal="center" vertical="center"/>
    </xf>
    <xf numFmtId="0" fontId="14" fillId="0" borderId="1" xfId="11" applyFont="1" applyFill="1" applyBorder="1" applyAlignment="1">
      <alignment horizontal="center" vertical="center"/>
    </xf>
    <xf numFmtId="0" fontId="14" fillId="0" borderId="1" xfId="11" applyFont="1" applyFill="1" applyBorder="1" applyAlignment="1">
      <alignment horizontal="left" vertical="center"/>
    </xf>
    <xf numFmtId="0" fontId="14" fillId="0" borderId="2" xfId="11" applyFont="1" applyFill="1" applyBorder="1" applyAlignment="1">
      <alignment horizontal="center" vertical="center" wrapText="1"/>
    </xf>
    <xf numFmtId="0" fontId="14" fillId="0" borderId="3" xfId="11" applyFont="1" applyFill="1" applyBorder="1" applyAlignment="1">
      <alignment horizontal="center" vertical="center" wrapText="1"/>
    </xf>
    <xf numFmtId="0" fontId="14" fillId="0" borderId="45" xfId="11" applyFont="1" applyFill="1" applyBorder="1" applyAlignment="1">
      <alignment horizontal="left" vertical="center"/>
    </xf>
    <xf numFmtId="0" fontId="14" fillId="0" borderId="1" xfId="11" applyFont="1" applyFill="1" applyBorder="1" applyAlignment="1">
      <alignment horizontal="center" vertical="center" wrapText="1"/>
    </xf>
    <xf numFmtId="0" fontId="14" fillId="0" borderId="5" xfId="11" applyFont="1" applyFill="1" applyBorder="1" applyAlignment="1">
      <alignment horizontal="center" vertical="center"/>
    </xf>
    <xf numFmtId="0" fontId="14" fillId="0" borderId="7" xfId="11" applyFont="1" applyFill="1" applyBorder="1" applyAlignment="1">
      <alignment horizontal="center" vertical="center"/>
    </xf>
    <xf numFmtId="0" fontId="14" fillId="0" borderId="157" xfId="11" applyFont="1" applyFill="1" applyBorder="1" applyAlignment="1">
      <alignment horizontal="left" vertical="center" wrapText="1"/>
    </xf>
    <xf numFmtId="0" fontId="14" fillId="0" borderId="7" xfId="11" applyFont="1" applyFill="1" applyBorder="1" applyAlignment="1">
      <alignment horizontal="left" vertical="center" wrapText="1"/>
    </xf>
    <xf numFmtId="0" fontId="14" fillId="0" borderId="6" xfId="11" applyFont="1" applyFill="1" applyBorder="1" applyAlignment="1">
      <alignment horizontal="left" vertical="center" wrapText="1"/>
    </xf>
    <xf numFmtId="0" fontId="35" fillId="0" borderId="8" xfId="14" applyFont="1" applyFill="1" applyBorder="1" applyAlignment="1">
      <alignment horizontal="center" vertical="center" wrapText="1"/>
    </xf>
    <xf numFmtId="0" fontId="35" fillId="0" borderId="10" xfId="14" applyFont="1" applyFill="1" applyBorder="1" applyAlignment="1">
      <alignment horizontal="center" vertical="center" wrapText="1"/>
    </xf>
    <xf numFmtId="0" fontId="35" fillId="0" borderId="9" xfId="14" applyFont="1" applyFill="1" applyBorder="1" applyAlignment="1">
      <alignment horizontal="center" vertical="center" wrapText="1"/>
    </xf>
    <xf numFmtId="0" fontId="35" fillId="0" borderId="11" xfId="14" applyFont="1" applyFill="1" applyBorder="1" applyAlignment="1">
      <alignment horizontal="center" vertical="center" wrapText="1"/>
    </xf>
    <xf numFmtId="0" fontId="35" fillId="0" borderId="0" xfId="14" applyFont="1" applyFill="1" applyBorder="1" applyAlignment="1">
      <alignment horizontal="center" vertical="center" wrapText="1"/>
    </xf>
    <xf numFmtId="0" fontId="35" fillId="0" borderId="12" xfId="14" applyFont="1" applyFill="1" applyBorder="1" applyAlignment="1">
      <alignment horizontal="center" vertical="center" wrapText="1"/>
    </xf>
    <xf numFmtId="0" fontId="35" fillId="0" borderId="14" xfId="14" applyFont="1" applyFill="1" applyBorder="1" applyAlignment="1">
      <alignment horizontal="center" vertical="center" wrapText="1"/>
    </xf>
    <xf numFmtId="0" fontId="35" fillId="0" borderId="4" xfId="14" applyFont="1" applyFill="1" applyBorder="1" applyAlignment="1">
      <alignment horizontal="center" vertical="center" wrapText="1"/>
    </xf>
    <xf numFmtId="0" fontId="35" fillId="0" borderId="15" xfId="14" applyFont="1" applyFill="1" applyBorder="1" applyAlignment="1">
      <alignment horizontal="center" vertical="center" wrapText="1"/>
    </xf>
    <xf numFmtId="0" fontId="42" fillId="0" borderId="8" xfId="14" applyFont="1" applyFill="1" applyBorder="1" applyAlignment="1">
      <alignment horizontal="center" vertical="center" wrapText="1"/>
    </xf>
    <xf numFmtId="0" fontId="42" fillId="0" borderId="10" xfId="14" applyFont="1" applyFill="1" applyBorder="1" applyAlignment="1">
      <alignment horizontal="center" vertical="center" wrapText="1"/>
    </xf>
    <xf numFmtId="0" fontId="42" fillId="0" borderId="9" xfId="14" applyFont="1" applyFill="1" applyBorder="1" applyAlignment="1">
      <alignment horizontal="center" vertical="center" wrapText="1"/>
    </xf>
    <xf numFmtId="0" fontId="42" fillId="0" borderId="14" xfId="14" applyFont="1" applyFill="1" applyBorder="1" applyAlignment="1">
      <alignment horizontal="center" vertical="center" wrapText="1"/>
    </xf>
    <xf numFmtId="0" fontId="42" fillId="0" borderId="4" xfId="14" applyFont="1" applyFill="1" applyBorder="1" applyAlignment="1">
      <alignment horizontal="center" vertical="center" wrapText="1"/>
    </xf>
    <xf numFmtId="0" fontId="42" fillId="0" borderId="15" xfId="14" applyFont="1" applyFill="1" applyBorder="1" applyAlignment="1">
      <alignment horizontal="center" vertical="center" wrapText="1"/>
    </xf>
    <xf numFmtId="0" fontId="42" fillId="0" borderId="5" xfId="14" applyFont="1" applyFill="1" applyBorder="1" applyAlignment="1">
      <alignment horizontal="center" vertical="center" wrapText="1"/>
    </xf>
    <xf numFmtId="0" fontId="42" fillId="0" borderId="7" xfId="14" applyFont="1" applyFill="1" applyBorder="1" applyAlignment="1">
      <alignment horizontal="center" vertical="center" wrapText="1"/>
    </xf>
    <xf numFmtId="0" fontId="42" fillId="0" borderId="6" xfId="14" applyFont="1" applyFill="1" applyBorder="1" applyAlignment="1">
      <alignment horizontal="center" vertical="center" wrapText="1"/>
    </xf>
    <xf numFmtId="0" fontId="33" fillId="3" borderId="3" xfId="13" applyFont="1" applyFill="1" applyBorder="1" applyAlignment="1">
      <alignment horizontal="center" vertical="center"/>
    </xf>
    <xf numFmtId="0" fontId="33" fillId="3" borderId="3" xfId="13" applyFont="1" applyFill="1" applyBorder="1" applyAlignment="1">
      <alignment horizontal="center" vertical="center" wrapText="1"/>
    </xf>
    <xf numFmtId="0" fontId="33" fillId="3" borderId="158" xfId="13" applyFont="1" applyFill="1" applyBorder="1" applyAlignment="1">
      <alignment horizontal="center" vertical="center"/>
    </xf>
    <xf numFmtId="0" fontId="3" fillId="3" borderId="7" xfId="15" applyFont="1" applyFill="1" applyBorder="1">
      <alignment vertical="center"/>
    </xf>
    <xf numFmtId="0" fontId="3" fillId="3" borderId="8" xfId="15" applyFont="1" applyFill="1" applyBorder="1" applyAlignment="1">
      <alignment horizontal="center" vertical="center"/>
    </xf>
    <xf numFmtId="0" fontId="3" fillId="3" borderId="9" xfId="15" applyFont="1" applyFill="1" applyBorder="1" applyAlignment="1">
      <alignment horizontal="center" vertical="center"/>
    </xf>
    <xf numFmtId="0" fontId="3" fillId="3" borderId="11" xfId="15" applyFont="1" applyFill="1" applyBorder="1" applyAlignment="1">
      <alignment horizontal="center" vertical="center"/>
    </xf>
    <xf numFmtId="0" fontId="3" fillId="3" borderId="12" xfId="15" applyFont="1" applyFill="1" applyBorder="1" applyAlignment="1">
      <alignment horizontal="center" vertical="center"/>
    </xf>
    <xf numFmtId="0" fontId="3" fillId="3" borderId="71" xfId="15" applyFont="1" applyFill="1" applyBorder="1" applyAlignment="1">
      <alignment horizontal="center" vertical="center"/>
    </xf>
    <xf numFmtId="0" fontId="3" fillId="3" borderId="67" xfId="15" applyFont="1" applyFill="1" applyBorder="1" applyAlignment="1">
      <alignment horizontal="center" vertical="center"/>
    </xf>
    <xf numFmtId="0" fontId="33" fillId="3" borderId="7" xfId="13" applyFont="1" applyFill="1" applyBorder="1" applyAlignment="1">
      <alignment horizontal="center" vertical="center"/>
    </xf>
    <xf numFmtId="0" fontId="10" fillId="0" borderId="161" xfId="13" applyFont="1" applyFill="1" applyBorder="1" applyAlignment="1">
      <alignment horizontal="center" vertical="center"/>
    </xf>
    <xf numFmtId="0" fontId="33" fillId="0" borderId="1" xfId="13" applyFont="1" applyFill="1" applyBorder="1" applyAlignment="1">
      <alignment horizontal="center" vertical="center"/>
    </xf>
    <xf numFmtId="0" fontId="33" fillId="0" borderId="5" xfId="13" applyFont="1" applyFill="1" applyBorder="1" applyAlignment="1">
      <alignment horizontal="center" vertical="center"/>
    </xf>
    <xf numFmtId="0" fontId="10" fillId="0" borderId="43" xfId="11" applyFont="1" applyFill="1" applyBorder="1" applyAlignment="1">
      <alignment horizontal="left" vertical="center" wrapText="1"/>
    </xf>
    <xf numFmtId="0" fontId="10" fillId="0" borderId="49" xfId="11" applyFont="1" applyFill="1" applyBorder="1" applyAlignment="1">
      <alignment horizontal="left" vertical="center"/>
    </xf>
    <xf numFmtId="0" fontId="10" fillId="0" borderId="43" xfId="11" applyFont="1" applyFill="1" applyBorder="1" applyAlignment="1">
      <alignment horizontal="center" vertical="center" wrapText="1"/>
    </xf>
    <xf numFmtId="0" fontId="10" fillId="0" borderId="49" xfId="11" applyFont="1" applyFill="1" applyBorder="1" applyAlignment="1">
      <alignment horizontal="center" vertical="center"/>
    </xf>
    <xf numFmtId="9" fontId="10" fillId="0" borderId="29" xfId="11" applyNumberFormat="1" applyFont="1" applyFill="1" applyBorder="1" applyAlignment="1">
      <alignment horizontal="center" vertical="center"/>
    </xf>
    <xf numFmtId="9" fontId="10" fillId="0" borderId="31" xfId="11" applyNumberFormat="1" applyFont="1" applyFill="1" applyBorder="1" applyAlignment="1">
      <alignment horizontal="center" vertical="center"/>
    </xf>
    <xf numFmtId="9" fontId="10" fillId="0" borderId="111" xfId="11" applyNumberFormat="1" applyFont="1" applyFill="1" applyBorder="1" applyAlignment="1">
      <alignment horizontal="center" vertical="center"/>
    </xf>
    <xf numFmtId="9" fontId="10" fillId="0" borderId="112" xfId="11" applyNumberFormat="1" applyFont="1" applyFill="1" applyBorder="1" applyAlignment="1">
      <alignment horizontal="center" vertical="center"/>
    </xf>
    <xf numFmtId="0" fontId="14" fillId="0" borderId="112" xfId="11" applyFont="1" applyFill="1" applyBorder="1" applyAlignment="1">
      <alignment horizontal="center" vertical="center" wrapText="1"/>
    </xf>
    <xf numFmtId="0" fontId="14" fillId="0" borderId="100" xfId="11" applyFont="1" applyFill="1" applyBorder="1" applyAlignment="1">
      <alignment horizontal="center" vertical="center"/>
    </xf>
    <xf numFmtId="0" fontId="6" fillId="0" borderId="43" xfId="11" applyFont="1" applyFill="1" applyBorder="1" applyAlignment="1">
      <alignment horizontal="center" vertical="center"/>
    </xf>
    <xf numFmtId="0" fontId="6" fillId="0" borderId="43" xfId="11" applyFont="1" applyFill="1" applyBorder="1" applyAlignment="1">
      <alignment horizontal="left" vertical="center"/>
    </xf>
    <xf numFmtId="9" fontId="10" fillId="0" borderId="99" xfId="11" applyNumberFormat="1" applyFont="1" applyFill="1" applyBorder="1" applyAlignment="1">
      <alignment horizontal="center" vertical="center"/>
    </xf>
    <xf numFmtId="9" fontId="10" fillId="0" borderId="100" xfId="11" applyNumberFormat="1" applyFont="1" applyFill="1" applyBorder="1" applyAlignment="1">
      <alignment horizontal="center" vertical="center"/>
    </xf>
    <xf numFmtId="0" fontId="14" fillId="0" borderId="93" xfId="11" applyFont="1" applyFill="1" applyBorder="1" applyAlignment="1">
      <alignment horizontal="center" vertical="center" wrapText="1"/>
    </xf>
    <xf numFmtId="0" fontId="14" fillId="0" borderId="93" xfId="11" applyFont="1" applyFill="1" applyBorder="1" applyAlignment="1">
      <alignment horizontal="center" vertical="center"/>
    </xf>
    <xf numFmtId="0" fontId="14" fillId="0" borderId="183" xfId="11" applyFont="1" applyFill="1" applyBorder="1" applyAlignment="1">
      <alignment horizontal="center" vertical="center" wrapText="1"/>
    </xf>
    <xf numFmtId="0" fontId="6" fillId="0" borderId="161" xfId="11" applyFont="1" applyFill="1" applyBorder="1" applyAlignment="1">
      <alignment horizontal="center" vertical="center"/>
    </xf>
    <xf numFmtId="0" fontId="10" fillId="0" borderId="161" xfId="11" applyFont="1" applyFill="1" applyBorder="1" applyAlignment="1">
      <alignment horizontal="left" vertical="center" wrapText="1"/>
    </xf>
    <xf numFmtId="0" fontId="10" fillId="0" borderId="43" xfId="11" applyFont="1" applyFill="1" applyBorder="1" applyAlignment="1">
      <alignment horizontal="left" vertical="center"/>
    </xf>
    <xf numFmtId="0" fontId="10" fillId="0" borderId="161" xfId="11" applyFont="1" applyFill="1" applyBorder="1" applyAlignment="1">
      <alignment horizontal="center" vertical="center" wrapText="1"/>
    </xf>
    <xf numFmtId="0" fontId="10" fillId="0" borderId="43" xfId="11" applyFont="1" applyFill="1" applyBorder="1" applyAlignment="1">
      <alignment horizontal="center" vertical="center"/>
    </xf>
    <xf numFmtId="0" fontId="10" fillId="0" borderId="44" xfId="11" applyFont="1" applyFill="1" applyBorder="1" applyAlignment="1">
      <alignment horizontal="center" vertical="center"/>
    </xf>
    <xf numFmtId="0" fontId="10" fillId="0" borderId="44" xfId="11" applyFont="1" applyFill="1" applyBorder="1" applyAlignment="1">
      <alignment horizontal="left" vertical="center"/>
    </xf>
    <xf numFmtId="0" fontId="6" fillId="0" borderId="45" xfId="11" applyFont="1" applyFill="1" applyBorder="1" applyAlignment="1">
      <alignment horizontal="center" vertical="center"/>
    </xf>
    <xf numFmtId="0" fontId="10" fillId="0" borderId="45" xfId="11" applyFont="1" applyFill="1" applyBorder="1" applyAlignment="1">
      <alignment horizontal="left" vertical="center" wrapText="1"/>
    </xf>
    <xf numFmtId="0" fontId="10" fillId="0" borderId="45" xfId="11" applyFont="1" applyFill="1" applyBorder="1" applyAlignment="1">
      <alignment horizontal="center" vertical="center" wrapText="1"/>
    </xf>
    <xf numFmtId="9" fontId="10" fillId="0" borderId="14" xfId="11" applyNumberFormat="1" applyFont="1" applyFill="1" applyBorder="1" applyAlignment="1">
      <alignment horizontal="center" vertical="center"/>
    </xf>
    <xf numFmtId="9" fontId="10" fillId="0" borderId="15" xfId="11" applyNumberFormat="1" applyFont="1" applyFill="1" applyBorder="1" applyAlignment="1">
      <alignment horizontal="center" vertical="center"/>
    </xf>
    <xf numFmtId="0" fontId="20" fillId="0" borderId="112" xfId="11" applyFont="1" applyFill="1" applyBorder="1" applyAlignment="1">
      <alignment horizontal="center" vertical="center" wrapText="1"/>
    </xf>
    <xf numFmtId="0" fontId="20" fillId="0" borderId="186" xfId="11" applyFont="1" applyFill="1" applyBorder="1" applyAlignment="1">
      <alignment horizontal="center" vertical="center"/>
    </xf>
    <xf numFmtId="0" fontId="20" fillId="0" borderId="173" xfId="11" applyFont="1" applyFill="1" applyBorder="1" applyAlignment="1">
      <alignment horizontal="center" vertical="top"/>
    </xf>
    <xf numFmtId="0" fontId="20" fillId="0" borderId="91" xfId="11" applyFont="1" applyFill="1" applyBorder="1" applyAlignment="1">
      <alignment horizontal="center" vertical="top"/>
    </xf>
    <xf numFmtId="0" fontId="20" fillId="0" borderId="174" xfId="11" applyFont="1" applyFill="1" applyBorder="1" applyAlignment="1">
      <alignment horizontal="center" vertical="top"/>
    </xf>
    <xf numFmtId="0" fontId="20" fillId="0" borderId="112" xfId="11" applyFont="1" applyFill="1" applyBorder="1" applyAlignment="1">
      <alignment horizontal="center" vertical="center"/>
    </xf>
    <xf numFmtId="0" fontId="20" fillId="0" borderId="100" xfId="11" applyFont="1" applyFill="1" applyBorder="1" applyAlignment="1">
      <alignment horizontal="center" vertical="center"/>
    </xf>
    <xf numFmtId="0" fontId="6" fillId="0" borderId="181" xfId="11" applyFont="1" applyFill="1" applyBorder="1" applyAlignment="1">
      <alignment horizontal="center" vertical="center"/>
    </xf>
    <xf numFmtId="0" fontId="6" fillId="0" borderId="184" xfId="11" applyFont="1" applyFill="1" applyBorder="1" applyAlignment="1">
      <alignment horizontal="center" vertical="center"/>
    </xf>
    <xf numFmtId="0" fontId="6" fillId="0" borderId="49" xfId="11" applyFont="1" applyFill="1" applyBorder="1" applyAlignment="1">
      <alignment horizontal="center" vertical="center"/>
    </xf>
    <xf numFmtId="0" fontId="10" fillId="0" borderId="45" xfId="11" applyFont="1" applyFill="1" applyBorder="1" applyAlignment="1">
      <alignment horizontal="left" vertical="center"/>
    </xf>
    <xf numFmtId="0" fontId="10" fillId="0" borderId="45" xfId="11" applyFont="1" applyFill="1" applyBorder="1" applyAlignment="1">
      <alignment horizontal="center" vertical="center"/>
    </xf>
    <xf numFmtId="9" fontId="10" fillId="0" borderId="8" xfId="11" applyNumberFormat="1" applyFont="1" applyFill="1" applyBorder="1" applyAlignment="1">
      <alignment horizontal="center" vertical="center"/>
    </xf>
    <xf numFmtId="9" fontId="10" fillId="0" borderId="9" xfId="11" applyNumberFormat="1" applyFont="1" applyFill="1" applyBorder="1" applyAlignment="1">
      <alignment horizontal="center" vertical="center"/>
    </xf>
    <xf numFmtId="0" fontId="14" fillId="0" borderId="186" xfId="11" applyFont="1" applyFill="1" applyBorder="1" applyAlignment="1">
      <alignment horizontal="center" vertical="center"/>
    </xf>
    <xf numFmtId="0" fontId="6" fillId="0" borderId="111" xfId="11" applyFont="1" applyFill="1" applyBorder="1" applyAlignment="1">
      <alignment horizontal="center" vertical="center"/>
    </xf>
    <xf numFmtId="0" fontId="6" fillId="0" borderId="99" xfId="11" applyFont="1" applyFill="1" applyBorder="1" applyAlignment="1">
      <alignment horizontal="center" vertical="center"/>
    </xf>
    <xf numFmtId="0" fontId="6" fillId="0" borderId="42" xfId="11" applyFont="1" applyFill="1" applyBorder="1" applyAlignment="1">
      <alignment horizontal="center" vertical="center"/>
    </xf>
    <xf numFmtId="0" fontId="6" fillId="0" borderId="44" xfId="11" applyFont="1" applyFill="1" applyBorder="1" applyAlignment="1">
      <alignment horizontal="center" vertical="center"/>
    </xf>
    <xf numFmtId="0" fontId="10" fillId="0" borderId="42" xfId="11" applyFont="1" applyFill="1" applyBorder="1" applyAlignment="1">
      <alignment horizontal="left" vertical="center"/>
    </xf>
    <xf numFmtId="0" fontId="10" fillId="0" borderId="42" xfId="11" applyFont="1" applyFill="1" applyBorder="1" applyAlignment="1">
      <alignment horizontal="center" vertical="center"/>
    </xf>
    <xf numFmtId="0" fontId="6" fillId="0" borderId="92" xfId="11" applyFont="1" applyFill="1" applyBorder="1" applyAlignment="1">
      <alignment horizontal="center" vertical="center"/>
    </xf>
    <xf numFmtId="0" fontId="10" fillId="0" borderId="42" xfId="11" applyFont="1" applyFill="1" applyBorder="1" applyAlignment="1">
      <alignment horizontal="center" vertical="center" wrapText="1"/>
    </xf>
    <xf numFmtId="0" fontId="14" fillId="0" borderId="183" xfId="11" applyFont="1" applyFill="1" applyBorder="1" applyAlignment="1">
      <alignment horizontal="center" vertical="center"/>
    </xf>
    <xf numFmtId="0" fontId="10" fillId="0" borderId="5" xfId="11" applyFont="1" applyFill="1" applyBorder="1" applyAlignment="1">
      <alignment horizontal="center" vertical="center"/>
    </xf>
    <xf numFmtId="0" fontId="10" fillId="0" borderId="7" xfId="11" applyFont="1" applyFill="1" applyBorder="1" applyAlignment="1">
      <alignment horizontal="center" vertical="center"/>
    </xf>
    <xf numFmtId="0" fontId="14" fillId="0" borderId="157" xfId="11" applyFont="1" applyFill="1" applyBorder="1" applyAlignment="1">
      <alignment horizontal="center" vertical="center" wrapText="1"/>
    </xf>
    <xf numFmtId="0" fontId="14" fillId="0" borderId="7" xfId="11" applyFont="1" applyFill="1" applyBorder="1" applyAlignment="1">
      <alignment horizontal="center" vertical="center" wrapText="1"/>
    </xf>
    <xf numFmtId="0" fontId="14" fillId="0" borderId="6" xfId="1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center" wrapText="1"/>
    </xf>
    <xf numFmtId="0" fontId="46" fillId="0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19" fillId="0" borderId="5" xfId="0" quotePrefix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7" xfId="0" quotePrefix="1" applyFont="1" applyBorder="1" applyAlignment="1">
      <alignment horizontal="center" vertical="center" wrapText="1"/>
    </xf>
    <xf numFmtId="0" fontId="19" fillId="0" borderId="6" xfId="0" quotePrefix="1" applyFont="1" applyBorder="1" applyAlignment="1">
      <alignment horizontal="center" vertical="center" wrapText="1"/>
    </xf>
    <xf numFmtId="0" fontId="48" fillId="0" borderId="7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center" wrapText="1"/>
    </xf>
    <xf numFmtId="0" fontId="7" fillId="2" borderId="0" xfId="7" applyFont="1" applyFill="1" applyBorder="1" applyAlignment="1">
      <alignment horizontal="center" vertical="center"/>
    </xf>
    <xf numFmtId="0" fontId="10" fillId="0" borderId="1" xfId="7" applyFont="1" applyBorder="1" applyAlignment="1">
      <alignment horizontal="center" vertical="center"/>
    </xf>
    <xf numFmtId="0" fontId="10" fillId="0" borderId="5" xfId="7" applyFont="1" applyBorder="1" applyAlignment="1">
      <alignment horizontal="left" vertical="center" indent="1"/>
    </xf>
    <xf numFmtId="0" fontId="10" fillId="0" borderId="7" xfId="7" applyFont="1" applyBorder="1" applyAlignment="1">
      <alignment horizontal="left" vertical="center" indent="1"/>
    </xf>
    <xf numFmtId="0" fontId="10" fillId="0" borderId="6" xfId="7" applyFont="1" applyBorder="1" applyAlignment="1">
      <alignment horizontal="left" vertical="center" indent="1"/>
    </xf>
    <xf numFmtId="0" fontId="10" fillId="0" borderId="5" xfId="7" applyFont="1" applyBorder="1" applyAlignment="1">
      <alignment horizontal="center" vertical="center" shrinkToFit="1"/>
    </xf>
    <xf numFmtId="0" fontId="10" fillId="0" borderId="6" xfId="7" applyFont="1" applyBorder="1" applyAlignment="1">
      <alignment horizontal="center" vertical="center" shrinkToFit="1"/>
    </xf>
    <xf numFmtId="0" fontId="10" fillId="0" borderId="2" xfId="7" applyFont="1" applyBorder="1" applyAlignment="1">
      <alignment horizontal="left" vertical="center"/>
    </xf>
    <xf numFmtId="0" fontId="10" fillId="0" borderId="13" xfId="7" applyFont="1" applyBorder="1" applyAlignment="1">
      <alignment horizontal="left" vertical="center"/>
    </xf>
    <xf numFmtId="0" fontId="10" fillId="0" borderId="3" xfId="7" applyFont="1" applyBorder="1" applyAlignment="1">
      <alignment horizontal="left" vertical="center"/>
    </xf>
    <xf numFmtId="0" fontId="10" fillId="0" borderId="8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/>
    </xf>
    <xf numFmtId="0" fontId="10" fillId="0" borderId="9" xfId="7" applyFont="1" applyBorder="1" applyAlignment="1">
      <alignment horizontal="left" vertical="center"/>
    </xf>
    <xf numFmtId="0" fontId="10" fillId="0" borderId="14" xfId="7" applyFont="1" applyBorder="1" applyAlignment="1">
      <alignment horizontal="center" vertical="center"/>
    </xf>
    <xf numFmtId="0" fontId="10" fillId="0" borderId="4" xfId="7" applyFont="1" applyBorder="1" applyAlignment="1">
      <alignment horizontal="center" vertical="center"/>
    </xf>
    <xf numFmtId="0" fontId="10" fillId="0" borderId="15" xfId="7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10" fillId="0" borderId="2" xfId="7" applyFont="1" applyBorder="1" applyAlignment="1">
      <alignment horizontal="center" vertical="center"/>
    </xf>
    <xf numFmtId="0" fontId="10" fillId="0" borderId="8" xfId="7" applyFont="1" applyBorder="1" applyAlignment="1">
      <alignment horizontal="center" vertical="center"/>
    </xf>
    <xf numFmtId="0" fontId="10" fillId="0" borderId="1" xfId="7" applyFont="1" applyBorder="1" applyAlignment="1">
      <alignment horizontal="left" vertical="center" indent="1"/>
    </xf>
    <xf numFmtId="0" fontId="10" fillId="0" borderId="1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shrinkToFit="1"/>
    </xf>
    <xf numFmtId="0" fontId="10" fillId="0" borderId="5" xfId="7" applyFont="1" applyBorder="1" applyAlignment="1">
      <alignment horizontal="center" vertical="center"/>
    </xf>
    <xf numFmtId="0" fontId="10" fillId="0" borderId="7" xfId="7" applyFont="1" applyBorder="1" applyAlignment="1">
      <alignment horizontal="center" vertical="center"/>
    </xf>
    <xf numFmtId="0" fontId="10" fillId="0" borderId="6" xfId="7" applyFont="1" applyBorder="1" applyAlignment="1">
      <alignment horizontal="center" vertical="center"/>
    </xf>
    <xf numFmtId="0" fontId="10" fillId="0" borderId="16" xfId="17" applyFont="1" applyBorder="1" applyAlignment="1">
      <alignment horizontal="center" vertical="center"/>
    </xf>
    <xf numFmtId="0" fontId="50" fillId="0" borderId="16" xfId="17" applyFont="1" applyFill="1" applyBorder="1" applyAlignment="1">
      <alignment horizontal="center" vertical="center" wrapText="1"/>
    </xf>
    <xf numFmtId="0" fontId="18" fillId="0" borderId="16" xfId="17" applyFont="1" applyFill="1" applyBorder="1" applyAlignment="1">
      <alignment horizontal="center" vertical="center"/>
    </xf>
    <xf numFmtId="0" fontId="18" fillId="3" borderId="16" xfId="17" applyFont="1" applyFill="1" applyBorder="1" applyAlignment="1">
      <alignment horizontal="center" vertical="center"/>
    </xf>
    <xf numFmtId="0" fontId="18" fillId="3" borderId="16" xfId="17" applyFont="1" applyFill="1" applyBorder="1" applyAlignment="1">
      <alignment horizontal="center" vertical="center" wrapText="1"/>
    </xf>
    <xf numFmtId="0" fontId="19" fillId="0" borderId="24" xfId="17" applyFont="1" applyFill="1" applyBorder="1" applyAlignment="1">
      <alignment horizontal="center" vertical="center"/>
    </xf>
    <xf numFmtId="0" fontId="19" fillId="0" borderId="23" xfId="17" applyFont="1" applyFill="1" applyBorder="1" applyAlignment="1">
      <alignment horizontal="center" vertical="center"/>
    </xf>
    <xf numFmtId="0" fontId="19" fillId="0" borderId="17" xfId="17" applyFont="1" applyFill="1" applyBorder="1" applyAlignment="1">
      <alignment horizontal="center" vertical="center"/>
    </xf>
    <xf numFmtId="0" fontId="19" fillId="0" borderId="18" xfId="17" applyFont="1" applyFill="1" applyBorder="1" applyAlignment="1">
      <alignment horizontal="center" vertical="center"/>
    </xf>
    <xf numFmtId="0" fontId="19" fillId="0" borderId="19" xfId="17" applyFont="1" applyFill="1" applyBorder="1" applyAlignment="1">
      <alignment horizontal="center" vertical="center"/>
    </xf>
    <xf numFmtId="0" fontId="19" fillId="0" borderId="20" xfId="17" applyFont="1" applyFill="1" applyBorder="1" applyAlignment="1">
      <alignment horizontal="center" vertical="center"/>
    </xf>
    <xf numFmtId="0" fontId="19" fillId="0" borderId="21" xfId="17" applyFont="1" applyFill="1" applyBorder="1" applyAlignment="1">
      <alignment horizontal="center" vertical="center"/>
    </xf>
    <xf numFmtId="0" fontId="19" fillId="0" borderId="22" xfId="17" applyFont="1" applyFill="1" applyBorder="1" applyAlignment="1">
      <alignment horizontal="center" vertical="center"/>
    </xf>
    <xf numFmtId="0" fontId="19" fillId="0" borderId="17" xfId="17" applyFont="1" applyFill="1" applyBorder="1" applyAlignment="1">
      <alignment horizontal="left" vertical="center"/>
    </xf>
    <xf numFmtId="0" fontId="19" fillId="0" borderId="18" xfId="17" applyFont="1" applyFill="1" applyBorder="1" applyAlignment="1">
      <alignment horizontal="left" vertical="center"/>
    </xf>
    <xf numFmtId="0" fontId="19" fillId="0" borderId="19" xfId="17" applyFont="1" applyFill="1" applyBorder="1" applyAlignment="1">
      <alignment horizontal="left" vertical="center"/>
    </xf>
    <xf numFmtId="0" fontId="19" fillId="0" borderId="20" xfId="17" applyFont="1" applyFill="1" applyBorder="1" applyAlignment="1">
      <alignment horizontal="left" vertical="center"/>
    </xf>
    <xf numFmtId="0" fontId="19" fillId="0" borderId="21" xfId="17" applyFont="1" applyFill="1" applyBorder="1" applyAlignment="1">
      <alignment horizontal="left" vertical="center"/>
    </xf>
    <xf numFmtId="0" fontId="19" fillId="0" borderId="22" xfId="17" applyFont="1" applyFill="1" applyBorder="1" applyAlignment="1">
      <alignment horizontal="left" vertical="center"/>
    </xf>
    <xf numFmtId="0" fontId="19" fillId="0" borderId="189" xfId="17" applyFont="1" applyFill="1" applyBorder="1" applyAlignment="1">
      <alignment horizontal="center" vertical="center"/>
    </xf>
    <xf numFmtId="0" fontId="19" fillId="0" borderId="190" xfId="17" applyFont="1" applyFill="1" applyBorder="1" applyAlignment="1">
      <alignment horizontal="center" vertical="center"/>
    </xf>
    <xf numFmtId="0" fontId="19" fillId="0" borderId="192" xfId="17" applyFont="1" applyFill="1" applyBorder="1" applyAlignment="1">
      <alignment horizontal="center" vertical="center"/>
    </xf>
    <xf numFmtId="0" fontId="19" fillId="0" borderId="193" xfId="17" applyFont="1" applyFill="1" applyBorder="1" applyAlignment="1">
      <alignment horizontal="center" vertical="center"/>
    </xf>
    <xf numFmtId="0" fontId="49" fillId="0" borderId="189" xfId="17" applyFont="1" applyFill="1" applyBorder="1" applyAlignment="1">
      <alignment horizontal="center" vertical="top"/>
    </xf>
    <xf numFmtId="0" fontId="49" fillId="0" borderId="190" xfId="17" applyFont="1" applyFill="1" applyBorder="1" applyAlignment="1">
      <alignment horizontal="center" vertical="top"/>
    </xf>
    <xf numFmtId="0" fontId="49" fillId="0" borderId="192" xfId="17" applyFont="1" applyFill="1" applyBorder="1" applyAlignment="1">
      <alignment horizontal="center" vertical="top"/>
    </xf>
    <xf numFmtId="0" fontId="49" fillId="0" borderId="193" xfId="17" applyFont="1" applyFill="1" applyBorder="1" applyAlignment="1">
      <alignment horizontal="center" vertical="top"/>
    </xf>
    <xf numFmtId="0" fontId="49" fillId="0" borderId="191" xfId="17" applyFont="1" applyFill="1" applyBorder="1" applyAlignment="1">
      <alignment horizontal="center" vertical="top"/>
    </xf>
    <xf numFmtId="0" fontId="49" fillId="0" borderId="194" xfId="17" applyFont="1" applyFill="1" applyBorder="1" applyAlignment="1">
      <alignment horizontal="center" vertical="top"/>
    </xf>
    <xf numFmtId="0" fontId="7" fillId="2" borderId="0" xfId="3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8" xfId="5" applyFont="1" applyFill="1" applyBorder="1" applyAlignment="1">
      <alignment horizontal="center" vertical="center"/>
    </xf>
    <xf numFmtId="0" fontId="10" fillId="0" borderId="9" xfId="5" applyFont="1" applyFill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/>
    </xf>
    <xf numFmtId="0" fontId="10" fillId="0" borderId="12" xfId="5" applyFont="1" applyFill="1" applyBorder="1" applyAlignment="1">
      <alignment horizontal="center" vertical="center"/>
    </xf>
    <xf numFmtId="0" fontId="10" fillId="0" borderId="14" xfId="5" applyFont="1" applyFill="1" applyBorder="1" applyAlignment="1">
      <alignment horizontal="center" vertical="center"/>
    </xf>
    <xf numFmtId="0" fontId="10" fillId="0" borderId="15" xfId="5" applyFont="1" applyFill="1" applyBorder="1" applyAlignment="1">
      <alignment horizontal="center" vertical="center"/>
    </xf>
    <xf numFmtId="0" fontId="13" fillId="0" borderId="8" xfId="5" quotePrefix="1" applyFont="1" applyBorder="1" applyAlignment="1">
      <alignment horizontal="left" vertical="top"/>
    </xf>
    <xf numFmtId="0" fontId="13" fillId="0" borderId="10" xfId="5" quotePrefix="1" applyFont="1" applyBorder="1" applyAlignment="1">
      <alignment horizontal="left" vertical="top"/>
    </xf>
    <xf numFmtId="0" fontId="13" fillId="0" borderId="9" xfId="5" quotePrefix="1" applyFont="1" applyBorder="1" applyAlignment="1">
      <alignment horizontal="left" vertical="top"/>
    </xf>
    <xf numFmtId="0" fontId="13" fillId="0" borderId="11" xfId="5" quotePrefix="1" applyFont="1" applyBorder="1" applyAlignment="1">
      <alignment horizontal="left" vertical="top"/>
    </xf>
    <xf numFmtId="0" fontId="13" fillId="0" borderId="0" xfId="5" quotePrefix="1" applyFont="1" applyBorder="1" applyAlignment="1">
      <alignment horizontal="left" vertical="top"/>
    </xf>
    <xf numFmtId="0" fontId="13" fillId="0" borderId="12" xfId="5" quotePrefix="1" applyFont="1" applyBorder="1" applyAlignment="1">
      <alignment horizontal="left" vertical="top"/>
    </xf>
    <xf numFmtId="0" fontId="13" fillId="0" borderId="14" xfId="5" quotePrefix="1" applyFont="1" applyBorder="1" applyAlignment="1">
      <alignment horizontal="left" vertical="top"/>
    </xf>
    <xf numFmtId="0" fontId="13" fillId="0" borderId="4" xfId="5" quotePrefix="1" applyFont="1" applyBorder="1" applyAlignment="1">
      <alignment horizontal="left" vertical="top"/>
    </xf>
    <xf numFmtId="0" fontId="13" fillId="0" borderId="15" xfId="5" quotePrefix="1" applyFont="1" applyBorder="1" applyAlignment="1">
      <alignment horizontal="left" vertical="top"/>
    </xf>
    <xf numFmtId="0" fontId="10" fillId="0" borderId="2" xfId="5" applyFont="1" applyBorder="1" applyAlignment="1">
      <alignment horizontal="center" vertical="center"/>
    </xf>
    <xf numFmtId="0" fontId="10" fillId="0" borderId="13" xfId="5" applyFont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9" fillId="3" borderId="5" xfId="5" applyFont="1" applyFill="1" applyBorder="1" applyAlignment="1">
      <alignment horizontal="center" vertical="center"/>
    </xf>
    <xf numFmtId="0" fontId="9" fillId="3" borderId="6" xfId="5" applyFont="1" applyFill="1" applyBorder="1" applyAlignment="1">
      <alignment horizontal="center" vertical="center"/>
    </xf>
    <xf numFmtId="0" fontId="9" fillId="3" borderId="7" xfId="5" applyFont="1" applyFill="1" applyBorder="1" applyAlignment="1">
      <alignment horizontal="center" vertical="center"/>
    </xf>
    <xf numFmtId="0" fontId="10" fillId="0" borderId="8" xfId="5" applyFont="1" applyFill="1" applyBorder="1" applyAlignment="1">
      <alignment horizontal="left" vertical="top"/>
    </xf>
    <xf numFmtId="0" fontId="10" fillId="0" borderId="10" xfId="5" applyFont="1" applyFill="1" applyBorder="1" applyAlignment="1">
      <alignment horizontal="left" vertical="top"/>
    </xf>
    <xf numFmtId="0" fontId="10" fillId="0" borderId="9" xfId="5" applyFont="1" applyFill="1" applyBorder="1" applyAlignment="1">
      <alignment horizontal="left" vertical="top"/>
    </xf>
    <xf numFmtId="0" fontId="10" fillId="0" borderId="11" xfId="5" applyFont="1" applyFill="1" applyBorder="1" applyAlignment="1">
      <alignment horizontal="left" vertical="top"/>
    </xf>
    <xf numFmtId="0" fontId="10" fillId="0" borderId="0" xfId="5" applyFont="1" applyFill="1" applyBorder="1" applyAlignment="1">
      <alignment horizontal="left" vertical="top"/>
    </xf>
    <xf numFmtId="0" fontId="10" fillId="0" borderId="12" xfId="5" applyFont="1" applyFill="1" applyBorder="1" applyAlignment="1">
      <alignment horizontal="left" vertical="top"/>
    </xf>
    <xf numFmtId="0" fontId="10" fillId="0" borderId="14" xfId="5" applyFont="1" applyFill="1" applyBorder="1" applyAlignment="1">
      <alignment horizontal="left" vertical="top"/>
    </xf>
    <xf numFmtId="0" fontId="10" fillId="0" borderId="4" xfId="5" applyFont="1" applyFill="1" applyBorder="1" applyAlignment="1">
      <alignment horizontal="left" vertical="top"/>
    </xf>
    <xf numFmtId="0" fontId="10" fillId="0" borderId="15" xfId="5" applyFont="1" applyFill="1" applyBorder="1" applyAlignment="1">
      <alignment horizontal="left" vertical="top"/>
    </xf>
    <xf numFmtId="0" fontId="10" fillId="0" borderId="2" xfId="5" applyFont="1" applyFill="1" applyBorder="1" applyAlignment="1">
      <alignment horizontal="center" vertical="center"/>
    </xf>
    <xf numFmtId="0" fontId="10" fillId="0" borderId="13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/>
    </xf>
    <xf numFmtId="0" fontId="10" fillId="0" borderId="8" xfId="5" applyFont="1" applyFill="1" applyBorder="1" applyAlignment="1">
      <alignment horizontal="center" vertical="center" wrapText="1"/>
    </xf>
    <xf numFmtId="0" fontId="10" fillId="0" borderId="9" xfId="5" applyFont="1" applyFill="1" applyBorder="1" applyAlignment="1">
      <alignment horizontal="center" vertical="center" wrapText="1"/>
    </xf>
    <xf numFmtId="0" fontId="10" fillId="0" borderId="11" xfId="5" applyFont="1" applyFill="1" applyBorder="1" applyAlignment="1">
      <alignment horizontal="center" vertical="center" wrapText="1"/>
    </xf>
    <xf numFmtId="0" fontId="10" fillId="0" borderId="12" xfId="5" applyFont="1" applyFill="1" applyBorder="1" applyAlignment="1">
      <alignment horizontal="center" vertical="center" wrapText="1"/>
    </xf>
    <xf numFmtId="0" fontId="10" fillId="0" borderId="14" xfId="5" applyFont="1" applyFill="1" applyBorder="1" applyAlignment="1">
      <alignment horizontal="center" vertical="center" wrapText="1"/>
    </xf>
    <xf numFmtId="0" fontId="10" fillId="0" borderId="15" xfId="5" applyFont="1" applyFill="1" applyBorder="1" applyAlignment="1">
      <alignment horizontal="center" vertical="center" wrapText="1"/>
    </xf>
    <xf numFmtId="0" fontId="10" fillId="0" borderId="1" xfId="5" applyFont="1" applyFill="1" applyBorder="1" applyAlignment="1">
      <alignment horizontal="center" vertical="center" wrapText="1"/>
    </xf>
    <xf numFmtId="0" fontId="13" fillId="0" borderId="1" xfId="5" quotePrefix="1" applyFont="1" applyBorder="1" applyAlignment="1">
      <alignment horizontal="left" vertical="top"/>
    </xf>
    <xf numFmtId="179" fontId="18" fillId="7" borderId="16" xfId="16" applyNumberFormat="1" applyFont="1" applyFill="1" applyBorder="1" applyAlignment="1">
      <alignment horizontal="center" vertical="center" wrapText="1"/>
    </xf>
  </cellXfs>
  <cellStyles count="18">
    <cellStyle name="백분율 3" xfId="16" xr:uid="{00000000-0005-0000-0000-000000000000}"/>
    <cellStyle name="백분율 4" xfId="9" xr:uid="{00000000-0005-0000-0000-000001000000}"/>
    <cellStyle name="쉼표 [0]" xfId="1" builtinId="6"/>
    <cellStyle name="쉼표 [0] 5" xfId="8" xr:uid="{00000000-0005-0000-0000-000003000000}"/>
    <cellStyle name="쉼표 [0] 6" xfId="6" xr:uid="{00000000-0005-0000-0000-000004000000}"/>
    <cellStyle name="표준" xfId="0" builtinId="0"/>
    <cellStyle name="표준 4" xfId="11" xr:uid="{00000000-0005-0000-0000-000006000000}"/>
    <cellStyle name="표준 6" xfId="15" xr:uid="{00000000-0005-0000-0000-000007000000}"/>
    <cellStyle name="표준_1.기안지" xfId="10" xr:uid="{00000000-0005-0000-0000-000008000000}"/>
    <cellStyle name="표준_1.문서및기록목록표" xfId="4" xr:uid="{00000000-0005-0000-0000-000009000000}"/>
    <cellStyle name="표준_454-456-도면관리대장" xfId="17" xr:uid="{00000000-0005-0000-0000-00000B000000}"/>
    <cellStyle name="표준_고양)월간공정표(2월)-080204" xfId="13" xr:uid="{00000000-0005-0000-0000-00000C000000}"/>
    <cellStyle name="표준_공정표(2주간)_본관2주_본관2주_본관2주_2주간공정표" xfId="14" xr:uid="{00000000-0005-0000-0000-00000E000000}"/>
    <cellStyle name="표준_민원일지(집중호우)" xfId="5" xr:uid="{00000000-0005-0000-0000-00000F000000}"/>
    <cellStyle name="표준_상도 엠코타운2차 전체공정표(100626)" xfId="12" xr:uid="{00000000-0005-0000-0000-000010000000}"/>
    <cellStyle name="표준_이봉우양식" xfId="3" xr:uid="{00000000-0005-0000-0000-000011000000}"/>
    <cellStyle name="표준_품질관리계획서(QMP06~10) REV.1" xfId="2" xr:uid="{00000000-0005-0000-0000-000013000000}"/>
    <cellStyle name="표준_품질관리계획서(QMP15~20) REV.1" xfId="7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917862</xdr:colOff>
      <xdr:row>0</xdr:row>
      <xdr:rowOff>121226</xdr:rowOff>
    </xdr:from>
    <xdr:to>
      <xdr:col>1</xdr:col>
      <xdr:colOff>1246906</xdr:colOff>
      <xdr:row>1</xdr:row>
      <xdr:rowOff>502226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E6184B9-79B1-4AB2-8B10-8298F2461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7" y="173181"/>
          <a:ext cx="2060863" cy="883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78</xdr:row>
      <xdr:rowOff>114300</xdr:rowOff>
    </xdr:from>
    <xdr:to>
      <xdr:col>29</xdr:col>
      <xdr:colOff>0</xdr:colOff>
      <xdr:row>78</xdr:row>
      <xdr:rowOff>114300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20345400" y="2081022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92</xdr:row>
      <xdr:rowOff>114300</xdr:rowOff>
    </xdr:from>
    <xdr:to>
      <xdr:col>41</xdr:col>
      <xdr:colOff>0</xdr:colOff>
      <xdr:row>92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ShapeType="1"/>
        </xdr:cNvSpPr>
      </xdr:nvSpPr>
      <xdr:spPr bwMode="auto">
        <a:xfrm>
          <a:off x="2683764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92</xdr:row>
      <xdr:rowOff>114300</xdr:rowOff>
    </xdr:from>
    <xdr:to>
      <xdr:col>44</xdr:col>
      <xdr:colOff>0</xdr:colOff>
      <xdr:row>92</xdr:row>
      <xdr:rowOff>114300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ShapeType="1"/>
        </xdr:cNvSpPr>
      </xdr:nvSpPr>
      <xdr:spPr bwMode="auto">
        <a:xfrm>
          <a:off x="284607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0</xdr:colOff>
      <xdr:row>92</xdr:row>
      <xdr:rowOff>114300</xdr:rowOff>
    </xdr:from>
    <xdr:to>
      <xdr:col>47</xdr:col>
      <xdr:colOff>0</xdr:colOff>
      <xdr:row>92</xdr:row>
      <xdr:rowOff>114300</xdr:rowOff>
    </xdr:to>
    <xdr:sp macro="" textlink="">
      <xdr:nvSpPr>
        <xdr:cNvPr id="5" name="Line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>
          <a:off x="3008376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8" name="Line 1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9" name="Line 1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92</xdr:row>
      <xdr:rowOff>114300</xdr:rowOff>
    </xdr:from>
    <xdr:to>
      <xdr:col>49</xdr:col>
      <xdr:colOff>0</xdr:colOff>
      <xdr:row>92</xdr:row>
      <xdr:rowOff>114300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>
          <a:off x="31165800" y="2409444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76200</xdr:colOff>
      <xdr:row>19</xdr:row>
      <xdr:rowOff>9525</xdr:rowOff>
    </xdr:from>
    <xdr:to>
      <xdr:col>16</xdr:col>
      <xdr:colOff>76200</xdr:colOff>
      <xdr:row>19</xdr:row>
      <xdr:rowOff>9525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>
          <a:off x="13388340" y="6334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381000</xdr:colOff>
      <xdr:row>80</xdr:row>
      <xdr:rowOff>190500</xdr:rowOff>
    </xdr:from>
    <xdr:ext cx="142875" cy="314325"/>
    <xdr:sp macro="" textlink="">
      <xdr:nvSpPr>
        <xdr:cNvPr id="13" name="Text Box 15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7200900" y="21374100"/>
          <a:ext cx="1428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0</xdr:colOff>
      <xdr:row>11</xdr:row>
      <xdr:rowOff>0</xdr:rowOff>
    </xdr:from>
    <xdr:to>
      <xdr:col>49</xdr:col>
      <xdr:colOff>0</xdr:colOff>
      <xdr:row>81</xdr:row>
      <xdr:rowOff>238125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ShapeType="1"/>
        </xdr:cNvSpPr>
      </xdr:nvSpPr>
      <xdr:spPr bwMode="auto">
        <a:xfrm flipV="1">
          <a:off x="8442960" y="4419600"/>
          <a:ext cx="22722840" cy="172383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15</xdr:row>
      <xdr:rowOff>0</xdr:rowOff>
    </xdr:from>
    <xdr:to>
      <xdr:col>46</xdr:col>
      <xdr:colOff>9525</xdr:colOff>
      <xdr:row>15</xdr:row>
      <xdr:rowOff>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ShapeType="1"/>
        </xdr:cNvSpPr>
      </xdr:nvSpPr>
      <xdr:spPr bwMode="auto">
        <a:xfrm>
          <a:off x="6829425" y="5349240"/>
          <a:ext cx="227228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17</xdr:row>
      <xdr:rowOff>0</xdr:rowOff>
    </xdr:from>
    <xdr:to>
      <xdr:col>22</xdr:col>
      <xdr:colOff>9525</xdr:colOff>
      <xdr:row>17</xdr:row>
      <xdr:rowOff>0</xdr:rowOff>
    </xdr:to>
    <xdr:sp macro="" textlink="">
      <xdr:nvSpPr>
        <xdr:cNvPr id="16" name="Line 1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ShapeType="1"/>
        </xdr:cNvSpPr>
      </xdr:nvSpPr>
      <xdr:spPr bwMode="auto">
        <a:xfrm>
          <a:off x="7911465" y="5836920"/>
          <a:ext cx="86563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17" name="Line 1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ShapeType="1"/>
        </xdr:cNvSpPr>
      </xdr:nvSpPr>
      <xdr:spPr bwMode="auto">
        <a:xfrm>
          <a:off x="8442960" y="6324600"/>
          <a:ext cx="37871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21</xdr:row>
      <xdr:rowOff>9525</xdr:rowOff>
    </xdr:to>
    <xdr:sp macro="" textlink="">
      <xdr:nvSpPr>
        <xdr:cNvPr id="18" name="Line 2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ShapeType="1"/>
        </xdr:cNvSpPr>
      </xdr:nvSpPr>
      <xdr:spPr bwMode="auto">
        <a:xfrm>
          <a:off x="9525000" y="6812280"/>
          <a:ext cx="3787140" cy="952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23</xdr:row>
      <xdr:rowOff>0</xdr:rowOff>
    </xdr:from>
    <xdr:to>
      <xdr:col>27</xdr:col>
      <xdr:colOff>561975</xdr:colOff>
      <xdr:row>23</xdr:row>
      <xdr:rowOff>0</xdr:rowOff>
    </xdr:to>
    <xdr:sp macro="" textlink="">
      <xdr:nvSpPr>
        <xdr:cNvPr id="19" name="Line 2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ShapeType="1"/>
        </xdr:cNvSpPr>
      </xdr:nvSpPr>
      <xdr:spPr bwMode="auto">
        <a:xfrm>
          <a:off x="16558260" y="7299960"/>
          <a:ext cx="324421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25</xdr:row>
      <xdr:rowOff>9525</xdr:rowOff>
    </xdr:from>
    <xdr:to>
      <xdr:col>24</xdr:col>
      <xdr:colOff>0</xdr:colOff>
      <xdr:row>25</xdr:row>
      <xdr:rowOff>9525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ShapeType="1"/>
        </xdr:cNvSpPr>
      </xdr:nvSpPr>
      <xdr:spPr bwMode="auto">
        <a:xfrm>
          <a:off x="10075545" y="7797165"/>
          <a:ext cx="75647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27</xdr:row>
      <xdr:rowOff>9525</xdr:rowOff>
    </xdr:from>
    <xdr:to>
      <xdr:col>33</xdr:col>
      <xdr:colOff>561975</xdr:colOff>
      <xdr:row>27</xdr:row>
      <xdr:rowOff>9525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ShapeType="1"/>
        </xdr:cNvSpPr>
      </xdr:nvSpPr>
      <xdr:spPr bwMode="auto">
        <a:xfrm>
          <a:off x="21427440" y="8284845"/>
          <a:ext cx="16211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9525</xdr:colOff>
      <xdr:row>29</xdr:row>
      <xdr:rowOff>0</xdr:rowOff>
    </xdr:from>
    <xdr:to>
      <xdr:col>34</xdr:col>
      <xdr:colOff>0</xdr:colOff>
      <xdr:row>29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ShapeType="1"/>
        </xdr:cNvSpPr>
      </xdr:nvSpPr>
      <xdr:spPr bwMode="auto">
        <a:xfrm>
          <a:off x="21977985" y="8763000"/>
          <a:ext cx="107251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31</xdr:row>
      <xdr:rowOff>9525</xdr:rowOff>
    </xdr:from>
    <xdr:to>
      <xdr:col>31</xdr:col>
      <xdr:colOff>571500</xdr:colOff>
      <xdr:row>31</xdr:row>
      <xdr:rowOff>9525</xdr:rowOff>
    </xdr:to>
    <xdr:sp macro="" textlink="">
      <xdr:nvSpPr>
        <xdr:cNvPr id="23" name="Line 2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ShapeType="1"/>
        </xdr:cNvSpPr>
      </xdr:nvSpPr>
      <xdr:spPr bwMode="auto">
        <a:xfrm>
          <a:off x="20886420" y="926020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19050</xdr:colOff>
      <xdr:row>33</xdr:row>
      <xdr:rowOff>9525</xdr:rowOff>
    </xdr:from>
    <xdr:to>
      <xdr:col>41</xdr:col>
      <xdr:colOff>19050</xdr:colOff>
      <xdr:row>33</xdr:row>
      <xdr:rowOff>9525</xdr:rowOff>
    </xdr:to>
    <xdr:sp macro="" textlink="">
      <xdr:nvSpPr>
        <xdr:cNvPr id="24" name="Line 26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ShapeType="1"/>
        </xdr:cNvSpPr>
      </xdr:nvSpPr>
      <xdr:spPr bwMode="auto">
        <a:xfrm>
          <a:off x="25774650" y="974788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571500</xdr:colOff>
      <xdr:row>35</xdr:row>
      <xdr:rowOff>9525</xdr:rowOff>
    </xdr:from>
    <xdr:to>
      <xdr:col>28</xdr:col>
      <xdr:colOff>561975</xdr:colOff>
      <xdr:row>35</xdr:row>
      <xdr:rowOff>9525</xdr:rowOff>
    </xdr:to>
    <xdr:sp macro="" textlink="">
      <xdr:nvSpPr>
        <xdr:cNvPr id="25" name="Line 27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ShapeType="1"/>
        </xdr:cNvSpPr>
      </xdr:nvSpPr>
      <xdr:spPr bwMode="auto">
        <a:xfrm>
          <a:off x="18181320" y="10235565"/>
          <a:ext cx="216217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37</xdr:row>
      <xdr:rowOff>0</xdr:rowOff>
    </xdr:from>
    <xdr:to>
      <xdr:col>36</xdr:col>
      <xdr:colOff>561975</xdr:colOff>
      <xdr:row>37</xdr:row>
      <xdr:rowOff>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>
          <a:spLocks noChangeShapeType="1"/>
        </xdr:cNvSpPr>
      </xdr:nvSpPr>
      <xdr:spPr bwMode="auto">
        <a:xfrm>
          <a:off x="23050500" y="10713720"/>
          <a:ext cx="16211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39</xdr:row>
      <xdr:rowOff>0</xdr:rowOff>
    </xdr:from>
    <xdr:to>
      <xdr:col>35</xdr:col>
      <xdr:colOff>571500</xdr:colOff>
      <xdr:row>39</xdr:row>
      <xdr:rowOff>0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ShapeType="1"/>
        </xdr:cNvSpPr>
      </xdr:nvSpPr>
      <xdr:spPr bwMode="auto">
        <a:xfrm>
          <a:off x="23050500" y="11201400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571500</xdr:colOff>
      <xdr:row>41</xdr:row>
      <xdr:rowOff>9525</xdr:rowOff>
    </xdr:from>
    <xdr:to>
      <xdr:col>42</xdr:col>
      <xdr:colOff>0</xdr:colOff>
      <xdr:row>41</xdr:row>
      <xdr:rowOff>9525</xdr:rowOff>
    </xdr:to>
    <xdr:sp macro="" textlink="">
      <xdr:nvSpPr>
        <xdr:cNvPr id="28" name="Line 3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ShapeType="1"/>
        </xdr:cNvSpPr>
      </xdr:nvSpPr>
      <xdr:spPr bwMode="auto">
        <a:xfrm>
          <a:off x="23050500" y="11698605"/>
          <a:ext cx="43281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43</xdr:row>
      <xdr:rowOff>0</xdr:rowOff>
    </xdr:from>
    <xdr:to>
      <xdr:col>46</xdr:col>
      <xdr:colOff>0</xdr:colOff>
      <xdr:row>43</xdr:row>
      <xdr:rowOff>9525</xdr:rowOff>
    </xdr:to>
    <xdr:sp macro="" textlink="">
      <xdr:nvSpPr>
        <xdr:cNvPr id="29" name="Line 3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ShapeType="1"/>
        </xdr:cNvSpPr>
      </xdr:nvSpPr>
      <xdr:spPr bwMode="auto">
        <a:xfrm flipV="1">
          <a:off x="18190845" y="12176760"/>
          <a:ext cx="11351895" cy="952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69</xdr:row>
      <xdr:rowOff>9525</xdr:rowOff>
    </xdr:from>
    <xdr:to>
      <xdr:col>18</xdr:col>
      <xdr:colOff>571500</xdr:colOff>
      <xdr:row>69</xdr:row>
      <xdr:rowOff>9525</xdr:rowOff>
    </xdr:to>
    <xdr:sp macro="" textlink="">
      <xdr:nvSpPr>
        <xdr:cNvPr id="30" name="Line 3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 noChangeShapeType="1"/>
        </xdr:cNvSpPr>
      </xdr:nvSpPr>
      <xdr:spPr bwMode="auto">
        <a:xfrm flipV="1">
          <a:off x="10066020" y="18510885"/>
          <a:ext cx="486918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73</xdr:row>
      <xdr:rowOff>0</xdr:rowOff>
    </xdr:from>
    <xdr:to>
      <xdr:col>19</xdr:col>
      <xdr:colOff>0</xdr:colOff>
      <xdr:row>73</xdr:row>
      <xdr:rowOff>0</xdr:rowOff>
    </xdr:to>
    <xdr:sp macro="" textlink="">
      <xdr:nvSpPr>
        <xdr:cNvPr id="31" name="Line 3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 noChangeShapeType="1"/>
        </xdr:cNvSpPr>
      </xdr:nvSpPr>
      <xdr:spPr bwMode="auto">
        <a:xfrm>
          <a:off x="11689080" y="1947672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73</xdr:row>
      <xdr:rowOff>0</xdr:rowOff>
    </xdr:from>
    <xdr:to>
      <xdr:col>25</xdr:col>
      <xdr:colOff>0</xdr:colOff>
      <xdr:row>73</xdr:row>
      <xdr:rowOff>0</xdr:rowOff>
    </xdr:to>
    <xdr:sp macro="" textlink="">
      <xdr:nvSpPr>
        <xdr:cNvPr id="32" name="Line 34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ShapeType="1"/>
        </xdr:cNvSpPr>
      </xdr:nvSpPr>
      <xdr:spPr bwMode="auto">
        <a:xfrm>
          <a:off x="14935200" y="1947672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73</xdr:row>
      <xdr:rowOff>0</xdr:rowOff>
    </xdr:from>
    <xdr:to>
      <xdr:col>31</xdr:col>
      <xdr:colOff>9525</xdr:colOff>
      <xdr:row>73</xdr:row>
      <xdr:rowOff>0</xdr:rowOff>
    </xdr:to>
    <xdr:sp macro="" textlink="">
      <xdr:nvSpPr>
        <xdr:cNvPr id="33" name="Line 35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ShapeType="1"/>
        </xdr:cNvSpPr>
      </xdr:nvSpPr>
      <xdr:spPr bwMode="auto">
        <a:xfrm>
          <a:off x="18181320" y="19476720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9525</xdr:colOff>
      <xdr:row>73</xdr:row>
      <xdr:rowOff>0</xdr:rowOff>
    </xdr:from>
    <xdr:to>
      <xdr:col>34</xdr:col>
      <xdr:colOff>0</xdr:colOff>
      <xdr:row>73</xdr:row>
      <xdr:rowOff>0</xdr:rowOff>
    </xdr:to>
    <xdr:sp macro="" textlink="">
      <xdr:nvSpPr>
        <xdr:cNvPr id="34" name="Line 36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ShapeType="1"/>
        </xdr:cNvSpPr>
      </xdr:nvSpPr>
      <xdr:spPr bwMode="auto">
        <a:xfrm>
          <a:off x="21436965" y="19476720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73</xdr:row>
      <xdr:rowOff>0</xdr:rowOff>
    </xdr:from>
    <xdr:to>
      <xdr:col>39</xdr:col>
      <xdr:colOff>571500</xdr:colOff>
      <xdr:row>73</xdr:row>
      <xdr:rowOff>0</xdr:rowOff>
    </xdr:to>
    <xdr:sp macro="" textlink="">
      <xdr:nvSpPr>
        <xdr:cNvPr id="35" name="Line 37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ShapeType="1"/>
        </xdr:cNvSpPr>
      </xdr:nvSpPr>
      <xdr:spPr bwMode="auto">
        <a:xfrm>
          <a:off x="23050500" y="1947672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71</xdr:row>
      <xdr:rowOff>9525</xdr:rowOff>
    </xdr:from>
    <xdr:to>
      <xdr:col>31</xdr:col>
      <xdr:colOff>9525</xdr:colOff>
      <xdr:row>71</xdr:row>
      <xdr:rowOff>9525</xdr:rowOff>
    </xdr:to>
    <xdr:sp macro="" textlink="">
      <xdr:nvSpPr>
        <xdr:cNvPr id="36" name="Line 38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ShapeType="1"/>
        </xdr:cNvSpPr>
      </xdr:nvSpPr>
      <xdr:spPr bwMode="auto">
        <a:xfrm>
          <a:off x="18181320" y="18998565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71</xdr:row>
      <xdr:rowOff>0</xdr:rowOff>
    </xdr:from>
    <xdr:to>
      <xdr:col>40</xdr:col>
      <xdr:colOff>9525</xdr:colOff>
      <xdr:row>71</xdr:row>
      <xdr:rowOff>0</xdr:rowOff>
    </xdr:to>
    <xdr:sp macro="" textlink="">
      <xdr:nvSpPr>
        <xdr:cNvPr id="37" name="Line 39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ShapeType="1"/>
        </xdr:cNvSpPr>
      </xdr:nvSpPr>
      <xdr:spPr bwMode="auto">
        <a:xfrm>
          <a:off x="23050500" y="18989040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69</xdr:row>
      <xdr:rowOff>9525</xdr:rowOff>
    </xdr:from>
    <xdr:to>
      <xdr:col>22</xdr:col>
      <xdr:colOff>0</xdr:colOff>
      <xdr:row>69</xdr:row>
      <xdr:rowOff>9525</xdr:rowOff>
    </xdr:to>
    <xdr:sp macro="" textlink="">
      <xdr:nvSpPr>
        <xdr:cNvPr id="38" name="Line 40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 noChangeShapeType="1"/>
        </xdr:cNvSpPr>
      </xdr:nvSpPr>
      <xdr:spPr bwMode="auto">
        <a:xfrm>
          <a:off x="14935200" y="18510885"/>
          <a:ext cx="1623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69</xdr:row>
      <xdr:rowOff>0</xdr:rowOff>
    </xdr:from>
    <xdr:to>
      <xdr:col>43</xdr:col>
      <xdr:colOff>0</xdr:colOff>
      <xdr:row>69</xdr:row>
      <xdr:rowOff>0</xdr:rowOff>
    </xdr:to>
    <xdr:sp macro="" textlink="">
      <xdr:nvSpPr>
        <xdr:cNvPr id="39" name="Line 4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ShapeType="1"/>
        </xdr:cNvSpPr>
      </xdr:nvSpPr>
      <xdr:spPr bwMode="auto">
        <a:xfrm>
          <a:off x="26296620" y="18501360"/>
          <a:ext cx="1623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75</xdr:row>
      <xdr:rowOff>9525</xdr:rowOff>
    </xdr:from>
    <xdr:to>
      <xdr:col>18</xdr:col>
      <xdr:colOff>571500</xdr:colOff>
      <xdr:row>75</xdr:row>
      <xdr:rowOff>9525</xdr:rowOff>
    </xdr:to>
    <xdr:sp macro="" textlink="">
      <xdr:nvSpPr>
        <xdr:cNvPr id="40" name="Line 4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ShapeType="1"/>
        </xdr:cNvSpPr>
      </xdr:nvSpPr>
      <xdr:spPr bwMode="auto">
        <a:xfrm>
          <a:off x="11689080" y="1997392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561975</xdr:colOff>
      <xdr:row>75</xdr:row>
      <xdr:rowOff>9525</xdr:rowOff>
    </xdr:from>
    <xdr:to>
      <xdr:col>24</xdr:col>
      <xdr:colOff>561975</xdr:colOff>
      <xdr:row>75</xdr:row>
      <xdr:rowOff>9525</xdr:rowOff>
    </xdr:to>
    <xdr:sp macro="" textlink="">
      <xdr:nvSpPr>
        <xdr:cNvPr id="41" name="Line 43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ShapeType="1"/>
        </xdr:cNvSpPr>
      </xdr:nvSpPr>
      <xdr:spPr bwMode="auto">
        <a:xfrm>
          <a:off x="14933295" y="1997392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75</xdr:row>
      <xdr:rowOff>9525</xdr:rowOff>
    </xdr:from>
    <xdr:to>
      <xdr:col>31</xdr:col>
      <xdr:colOff>9525</xdr:colOff>
      <xdr:row>75</xdr:row>
      <xdr:rowOff>9525</xdr:rowOff>
    </xdr:to>
    <xdr:sp macro="" textlink="">
      <xdr:nvSpPr>
        <xdr:cNvPr id="42" name="Line 44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ShapeType="1"/>
        </xdr:cNvSpPr>
      </xdr:nvSpPr>
      <xdr:spPr bwMode="auto">
        <a:xfrm>
          <a:off x="18181320" y="19973925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9525</xdr:colOff>
      <xdr:row>75</xdr:row>
      <xdr:rowOff>9525</xdr:rowOff>
    </xdr:from>
    <xdr:to>
      <xdr:col>34</xdr:col>
      <xdr:colOff>0</xdr:colOff>
      <xdr:row>75</xdr:row>
      <xdr:rowOff>9525</xdr:rowOff>
    </xdr:to>
    <xdr:sp macro="" textlink="">
      <xdr:nvSpPr>
        <xdr:cNvPr id="43" name="Line 45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ShapeType="1"/>
        </xdr:cNvSpPr>
      </xdr:nvSpPr>
      <xdr:spPr bwMode="auto">
        <a:xfrm>
          <a:off x="21436965" y="19973925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9525</xdr:colOff>
      <xdr:row>75</xdr:row>
      <xdr:rowOff>0</xdr:rowOff>
    </xdr:from>
    <xdr:to>
      <xdr:col>45</xdr:col>
      <xdr:colOff>571500</xdr:colOff>
      <xdr:row>75</xdr:row>
      <xdr:rowOff>0</xdr:rowOff>
    </xdr:to>
    <xdr:sp macro="" textlink="">
      <xdr:nvSpPr>
        <xdr:cNvPr id="44" name="Line 46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ShapeType="1"/>
        </xdr:cNvSpPr>
      </xdr:nvSpPr>
      <xdr:spPr bwMode="auto">
        <a:xfrm>
          <a:off x="24683085" y="19964400"/>
          <a:ext cx="48596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9525</xdr:rowOff>
    </xdr:from>
    <xdr:to>
      <xdr:col>19</xdr:col>
      <xdr:colOff>0</xdr:colOff>
      <xdr:row>77</xdr:row>
      <xdr:rowOff>9525</xdr:rowOff>
    </xdr:to>
    <xdr:sp macro="" textlink="">
      <xdr:nvSpPr>
        <xdr:cNvPr id="45" name="Line 47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>
          <a:spLocks noChangeShapeType="1"/>
        </xdr:cNvSpPr>
      </xdr:nvSpPr>
      <xdr:spPr bwMode="auto">
        <a:xfrm>
          <a:off x="11689080" y="2046160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79</xdr:row>
      <xdr:rowOff>0</xdr:rowOff>
    </xdr:from>
    <xdr:to>
      <xdr:col>19</xdr:col>
      <xdr:colOff>0</xdr:colOff>
      <xdr:row>79</xdr:row>
      <xdr:rowOff>0</xdr:rowOff>
    </xdr:to>
    <xdr:sp macro="" textlink="">
      <xdr:nvSpPr>
        <xdr:cNvPr id="46" name="Line 48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ShapeType="1"/>
        </xdr:cNvSpPr>
      </xdr:nvSpPr>
      <xdr:spPr bwMode="auto">
        <a:xfrm>
          <a:off x="11689080" y="2093976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77</xdr:row>
      <xdr:rowOff>9525</xdr:rowOff>
    </xdr:from>
    <xdr:to>
      <xdr:col>25</xdr:col>
      <xdr:colOff>0</xdr:colOff>
      <xdr:row>77</xdr:row>
      <xdr:rowOff>9525</xdr:rowOff>
    </xdr:to>
    <xdr:sp macro="" textlink="">
      <xdr:nvSpPr>
        <xdr:cNvPr id="47" name="Line 49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ShapeType="1"/>
        </xdr:cNvSpPr>
      </xdr:nvSpPr>
      <xdr:spPr bwMode="auto">
        <a:xfrm>
          <a:off x="14935200" y="2046160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571500</xdr:colOff>
      <xdr:row>79</xdr:row>
      <xdr:rowOff>0</xdr:rowOff>
    </xdr:from>
    <xdr:to>
      <xdr:col>24</xdr:col>
      <xdr:colOff>571500</xdr:colOff>
      <xdr:row>79</xdr:row>
      <xdr:rowOff>0</xdr:rowOff>
    </xdr:to>
    <xdr:sp macro="" textlink="">
      <xdr:nvSpPr>
        <xdr:cNvPr id="48" name="Line 50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ShapeType="1"/>
        </xdr:cNvSpPr>
      </xdr:nvSpPr>
      <xdr:spPr bwMode="auto">
        <a:xfrm>
          <a:off x="14935200" y="2093976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77</xdr:row>
      <xdr:rowOff>9525</xdr:rowOff>
    </xdr:from>
    <xdr:to>
      <xdr:col>31</xdr:col>
      <xdr:colOff>9525</xdr:colOff>
      <xdr:row>77</xdr:row>
      <xdr:rowOff>9525</xdr:rowOff>
    </xdr:to>
    <xdr:sp macro="" textlink="">
      <xdr:nvSpPr>
        <xdr:cNvPr id="49" name="Line 51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ShapeType="1"/>
        </xdr:cNvSpPr>
      </xdr:nvSpPr>
      <xdr:spPr bwMode="auto">
        <a:xfrm>
          <a:off x="18181320" y="20461605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38100</xdr:colOff>
      <xdr:row>79</xdr:row>
      <xdr:rowOff>0</xdr:rowOff>
    </xdr:from>
    <xdr:to>
      <xdr:col>31</xdr:col>
      <xdr:colOff>47625</xdr:colOff>
      <xdr:row>79</xdr:row>
      <xdr:rowOff>0</xdr:rowOff>
    </xdr:to>
    <xdr:sp macro="" textlink="">
      <xdr:nvSpPr>
        <xdr:cNvPr id="50" name="Line 5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ShapeType="1"/>
        </xdr:cNvSpPr>
      </xdr:nvSpPr>
      <xdr:spPr bwMode="auto">
        <a:xfrm>
          <a:off x="18219420" y="20939760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38100</xdr:colOff>
      <xdr:row>77</xdr:row>
      <xdr:rowOff>0</xdr:rowOff>
    </xdr:from>
    <xdr:to>
      <xdr:col>34</xdr:col>
      <xdr:colOff>28575</xdr:colOff>
      <xdr:row>77</xdr:row>
      <xdr:rowOff>0</xdr:rowOff>
    </xdr:to>
    <xdr:sp macro="" textlink="">
      <xdr:nvSpPr>
        <xdr:cNvPr id="51" name="Line 53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ShapeType="1"/>
        </xdr:cNvSpPr>
      </xdr:nvSpPr>
      <xdr:spPr bwMode="auto">
        <a:xfrm>
          <a:off x="21465540" y="20452080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57150</xdr:colOff>
      <xdr:row>79</xdr:row>
      <xdr:rowOff>0</xdr:rowOff>
    </xdr:from>
    <xdr:to>
      <xdr:col>34</xdr:col>
      <xdr:colOff>47625</xdr:colOff>
      <xdr:row>79</xdr:row>
      <xdr:rowOff>0</xdr:rowOff>
    </xdr:to>
    <xdr:sp macro="" textlink="">
      <xdr:nvSpPr>
        <xdr:cNvPr id="52" name="Line 54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ShapeType="1"/>
        </xdr:cNvSpPr>
      </xdr:nvSpPr>
      <xdr:spPr bwMode="auto">
        <a:xfrm>
          <a:off x="21484590" y="20939760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77</xdr:row>
      <xdr:rowOff>0</xdr:rowOff>
    </xdr:from>
    <xdr:to>
      <xdr:col>43</xdr:col>
      <xdr:colOff>9525</xdr:colOff>
      <xdr:row>77</xdr:row>
      <xdr:rowOff>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ShapeType="1"/>
        </xdr:cNvSpPr>
      </xdr:nvSpPr>
      <xdr:spPr bwMode="auto">
        <a:xfrm>
          <a:off x="23079075" y="20452080"/>
          <a:ext cx="485013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9525</xdr:colOff>
      <xdr:row>79</xdr:row>
      <xdr:rowOff>9525</xdr:rowOff>
    </xdr:from>
    <xdr:to>
      <xdr:col>45</xdr:col>
      <xdr:colOff>571500</xdr:colOff>
      <xdr:row>79</xdr:row>
      <xdr:rowOff>9525</xdr:rowOff>
    </xdr:to>
    <xdr:sp macro="" textlink="">
      <xdr:nvSpPr>
        <xdr:cNvPr id="54" name="Line 56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ShapeType="1"/>
        </xdr:cNvSpPr>
      </xdr:nvSpPr>
      <xdr:spPr bwMode="auto">
        <a:xfrm>
          <a:off x="24683085" y="20949285"/>
          <a:ext cx="48596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47</xdr:row>
      <xdr:rowOff>0</xdr:rowOff>
    </xdr:from>
    <xdr:to>
      <xdr:col>28</xdr:col>
      <xdr:colOff>0</xdr:colOff>
      <xdr:row>47</xdr:row>
      <xdr:rowOff>0</xdr:rowOff>
    </xdr:to>
    <xdr:sp macro="" textlink="">
      <xdr:nvSpPr>
        <xdr:cNvPr id="55" name="Line 57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ShapeType="1"/>
        </xdr:cNvSpPr>
      </xdr:nvSpPr>
      <xdr:spPr bwMode="auto">
        <a:xfrm>
          <a:off x="16558260" y="1315212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571500</xdr:colOff>
      <xdr:row>49</xdr:row>
      <xdr:rowOff>9525</xdr:rowOff>
    </xdr:from>
    <xdr:to>
      <xdr:col>39</xdr:col>
      <xdr:colOff>561975</xdr:colOff>
      <xdr:row>49</xdr:row>
      <xdr:rowOff>9525</xdr:rowOff>
    </xdr:to>
    <xdr:sp macro="" textlink="">
      <xdr:nvSpPr>
        <xdr:cNvPr id="56" name="Line 58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ShapeType="1"/>
        </xdr:cNvSpPr>
      </xdr:nvSpPr>
      <xdr:spPr bwMode="auto">
        <a:xfrm>
          <a:off x="19804380" y="13649325"/>
          <a:ext cx="64903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571500</xdr:colOff>
      <xdr:row>51</xdr:row>
      <xdr:rowOff>9525</xdr:rowOff>
    </xdr:from>
    <xdr:to>
      <xdr:col>39</xdr:col>
      <xdr:colOff>561975</xdr:colOff>
      <xdr:row>51</xdr:row>
      <xdr:rowOff>9525</xdr:rowOff>
    </xdr:to>
    <xdr:sp macro="" textlink="">
      <xdr:nvSpPr>
        <xdr:cNvPr id="57" name="Line 59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ShapeType="1"/>
        </xdr:cNvSpPr>
      </xdr:nvSpPr>
      <xdr:spPr bwMode="auto">
        <a:xfrm>
          <a:off x="19804380" y="14137005"/>
          <a:ext cx="64903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571500</xdr:colOff>
      <xdr:row>53</xdr:row>
      <xdr:rowOff>9525</xdr:rowOff>
    </xdr:from>
    <xdr:to>
      <xdr:col>43</xdr:col>
      <xdr:colOff>0</xdr:colOff>
      <xdr:row>53</xdr:row>
      <xdr:rowOff>9525</xdr:rowOff>
    </xdr:to>
    <xdr:sp macro="" textlink="">
      <xdr:nvSpPr>
        <xdr:cNvPr id="58" name="Line 60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ShapeType="1"/>
        </xdr:cNvSpPr>
      </xdr:nvSpPr>
      <xdr:spPr bwMode="auto">
        <a:xfrm>
          <a:off x="21427440" y="14624685"/>
          <a:ext cx="64922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55</xdr:row>
      <xdr:rowOff>0</xdr:rowOff>
    </xdr:from>
    <xdr:to>
      <xdr:col>43</xdr:col>
      <xdr:colOff>0</xdr:colOff>
      <xdr:row>55</xdr:row>
      <xdr:rowOff>0</xdr:rowOff>
    </xdr:to>
    <xdr:sp macro="" textlink="">
      <xdr:nvSpPr>
        <xdr:cNvPr id="59" name="Line 61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ShapeType="1"/>
        </xdr:cNvSpPr>
      </xdr:nvSpPr>
      <xdr:spPr bwMode="auto">
        <a:xfrm>
          <a:off x="21427440" y="15102840"/>
          <a:ext cx="64922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57</xdr:row>
      <xdr:rowOff>9525</xdr:rowOff>
    </xdr:from>
    <xdr:to>
      <xdr:col>34</xdr:col>
      <xdr:colOff>0</xdr:colOff>
      <xdr:row>57</xdr:row>
      <xdr:rowOff>9525</xdr:rowOff>
    </xdr:to>
    <xdr:sp macro="" textlink="">
      <xdr:nvSpPr>
        <xdr:cNvPr id="60" name="Line 62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ShapeType="1"/>
        </xdr:cNvSpPr>
      </xdr:nvSpPr>
      <xdr:spPr bwMode="auto">
        <a:xfrm>
          <a:off x="19804380" y="1560004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59</xdr:row>
      <xdr:rowOff>0</xdr:rowOff>
    </xdr:from>
    <xdr:to>
      <xdr:col>37</xdr:col>
      <xdr:colOff>0</xdr:colOff>
      <xdr:row>59</xdr:row>
      <xdr:rowOff>0</xdr:rowOff>
    </xdr:to>
    <xdr:sp macro="" textlink="">
      <xdr:nvSpPr>
        <xdr:cNvPr id="61" name="Line 63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ShapeType="1"/>
        </xdr:cNvSpPr>
      </xdr:nvSpPr>
      <xdr:spPr bwMode="auto">
        <a:xfrm>
          <a:off x="21427440" y="1607820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61</xdr:row>
      <xdr:rowOff>9525</xdr:rowOff>
    </xdr:from>
    <xdr:to>
      <xdr:col>42</xdr:col>
      <xdr:colOff>561975</xdr:colOff>
      <xdr:row>61</xdr:row>
      <xdr:rowOff>9525</xdr:rowOff>
    </xdr:to>
    <xdr:sp macro="" textlink="">
      <xdr:nvSpPr>
        <xdr:cNvPr id="62" name="Line 64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>
          <a:spLocks noChangeShapeType="1"/>
        </xdr:cNvSpPr>
      </xdr:nvSpPr>
      <xdr:spPr bwMode="auto">
        <a:xfrm>
          <a:off x="23060025" y="16575405"/>
          <a:ext cx="48577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63</xdr:row>
      <xdr:rowOff>9525</xdr:rowOff>
    </xdr:from>
    <xdr:to>
      <xdr:col>40</xdr:col>
      <xdr:colOff>9525</xdr:colOff>
      <xdr:row>63</xdr:row>
      <xdr:rowOff>9525</xdr:rowOff>
    </xdr:to>
    <xdr:sp macro="" textlink="">
      <xdr:nvSpPr>
        <xdr:cNvPr id="63" name="Line 65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ShapeType="1"/>
        </xdr:cNvSpPr>
      </xdr:nvSpPr>
      <xdr:spPr bwMode="auto">
        <a:xfrm>
          <a:off x="23060025" y="17055465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65</xdr:row>
      <xdr:rowOff>28575</xdr:rowOff>
    </xdr:from>
    <xdr:to>
      <xdr:col>45</xdr:col>
      <xdr:colOff>571500</xdr:colOff>
      <xdr:row>65</xdr:row>
      <xdr:rowOff>28575</xdr:rowOff>
    </xdr:to>
    <xdr:sp macro="" textlink="">
      <xdr:nvSpPr>
        <xdr:cNvPr id="64" name="Line 66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ShapeType="1"/>
        </xdr:cNvSpPr>
      </xdr:nvSpPr>
      <xdr:spPr bwMode="auto">
        <a:xfrm>
          <a:off x="27919680" y="17554575"/>
          <a:ext cx="1623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</xdr:colOff>
      <xdr:row>19</xdr:row>
      <xdr:rowOff>9525</xdr:rowOff>
    </xdr:from>
    <xdr:to>
      <xdr:col>22</xdr:col>
      <xdr:colOff>0</xdr:colOff>
      <xdr:row>19</xdr:row>
      <xdr:rowOff>9525</xdr:rowOff>
    </xdr:to>
    <xdr:sp macro="" textlink="">
      <xdr:nvSpPr>
        <xdr:cNvPr id="65" name="Line 67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ShapeType="1"/>
        </xdr:cNvSpPr>
      </xdr:nvSpPr>
      <xdr:spPr bwMode="auto">
        <a:xfrm>
          <a:off x="12239625" y="6334125"/>
          <a:ext cx="43186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19</xdr:row>
      <xdr:rowOff>28575</xdr:rowOff>
    </xdr:from>
    <xdr:to>
      <xdr:col>24</xdr:col>
      <xdr:colOff>571500</xdr:colOff>
      <xdr:row>19</xdr:row>
      <xdr:rowOff>28575</xdr:rowOff>
    </xdr:to>
    <xdr:sp macro="" textlink="">
      <xdr:nvSpPr>
        <xdr:cNvPr id="66" name="Line 68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ShapeType="1"/>
        </xdr:cNvSpPr>
      </xdr:nvSpPr>
      <xdr:spPr bwMode="auto">
        <a:xfrm>
          <a:off x="16567785" y="6353175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19</xdr:row>
      <xdr:rowOff>28575</xdr:rowOff>
    </xdr:from>
    <xdr:to>
      <xdr:col>34</xdr:col>
      <xdr:colOff>0</xdr:colOff>
      <xdr:row>19</xdr:row>
      <xdr:rowOff>28575</xdr:rowOff>
    </xdr:to>
    <xdr:sp macro="" textlink="">
      <xdr:nvSpPr>
        <xdr:cNvPr id="67" name="Line 69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>
          <a:spLocks noChangeShapeType="1"/>
        </xdr:cNvSpPr>
      </xdr:nvSpPr>
      <xdr:spPr bwMode="auto">
        <a:xfrm>
          <a:off x="18181320" y="6353175"/>
          <a:ext cx="486918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19</xdr:row>
      <xdr:rowOff>28575</xdr:rowOff>
    </xdr:from>
    <xdr:to>
      <xdr:col>37</xdr:col>
      <xdr:colOff>0</xdr:colOff>
      <xdr:row>19</xdr:row>
      <xdr:rowOff>28575</xdr:rowOff>
    </xdr:to>
    <xdr:sp macro="" textlink="">
      <xdr:nvSpPr>
        <xdr:cNvPr id="68" name="Line 70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>
          <a:spLocks noChangeShapeType="1"/>
        </xdr:cNvSpPr>
      </xdr:nvSpPr>
      <xdr:spPr bwMode="auto">
        <a:xfrm>
          <a:off x="23050500" y="6353175"/>
          <a:ext cx="1623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21</xdr:row>
      <xdr:rowOff>9525</xdr:rowOff>
    </xdr:from>
    <xdr:to>
      <xdr:col>19</xdr:col>
      <xdr:colOff>552450</xdr:colOff>
      <xdr:row>21</xdr:row>
      <xdr:rowOff>9525</xdr:rowOff>
    </xdr:to>
    <xdr:sp macro="" textlink="">
      <xdr:nvSpPr>
        <xdr:cNvPr id="69" name="Line 71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>
          <a:spLocks noChangeShapeType="1"/>
        </xdr:cNvSpPr>
      </xdr:nvSpPr>
      <xdr:spPr bwMode="auto">
        <a:xfrm>
          <a:off x="13312140" y="6821805"/>
          <a:ext cx="216027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561975</xdr:colOff>
      <xdr:row>21</xdr:row>
      <xdr:rowOff>9525</xdr:rowOff>
    </xdr:from>
    <xdr:to>
      <xdr:col>21</xdr:col>
      <xdr:colOff>571500</xdr:colOff>
      <xdr:row>21</xdr:row>
      <xdr:rowOff>9525</xdr:rowOff>
    </xdr:to>
    <xdr:sp macro="" textlink="">
      <xdr:nvSpPr>
        <xdr:cNvPr id="70" name="Line 7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ShapeType="1"/>
        </xdr:cNvSpPr>
      </xdr:nvSpPr>
      <xdr:spPr bwMode="auto">
        <a:xfrm>
          <a:off x="15474315" y="6821805"/>
          <a:ext cx="10839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21</xdr:row>
      <xdr:rowOff>9525</xdr:rowOff>
    </xdr:from>
    <xdr:to>
      <xdr:col>26</xdr:col>
      <xdr:colOff>0</xdr:colOff>
      <xdr:row>21</xdr:row>
      <xdr:rowOff>9525</xdr:rowOff>
    </xdr:to>
    <xdr:sp macro="" textlink="">
      <xdr:nvSpPr>
        <xdr:cNvPr id="71" name="Line 73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ShapeType="1"/>
        </xdr:cNvSpPr>
      </xdr:nvSpPr>
      <xdr:spPr bwMode="auto">
        <a:xfrm>
          <a:off x="16567785" y="6821805"/>
          <a:ext cx="21545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9525</xdr:colOff>
      <xdr:row>21</xdr:row>
      <xdr:rowOff>9525</xdr:rowOff>
    </xdr:from>
    <xdr:to>
      <xdr:col>29</xdr:col>
      <xdr:colOff>0</xdr:colOff>
      <xdr:row>21</xdr:row>
      <xdr:rowOff>9525</xdr:rowOff>
    </xdr:to>
    <xdr:sp macro="" textlink="">
      <xdr:nvSpPr>
        <xdr:cNvPr id="72" name="Line 74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ShapeType="1"/>
        </xdr:cNvSpPr>
      </xdr:nvSpPr>
      <xdr:spPr bwMode="auto">
        <a:xfrm>
          <a:off x="18190845" y="6821805"/>
          <a:ext cx="215455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23</xdr:row>
      <xdr:rowOff>9525</xdr:rowOff>
    </xdr:from>
    <xdr:to>
      <xdr:col>32</xdr:col>
      <xdr:colOff>0</xdr:colOff>
      <xdr:row>23</xdr:row>
      <xdr:rowOff>9525</xdr:rowOff>
    </xdr:to>
    <xdr:sp macro="" textlink="">
      <xdr:nvSpPr>
        <xdr:cNvPr id="73" name="Line 75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ShapeType="1"/>
        </xdr:cNvSpPr>
      </xdr:nvSpPr>
      <xdr:spPr bwMode="auto">
        <a:xfrm>
          <a:off x="19804380" y="7309485"/>
          <a:ext cx="216408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9525</xdr:colOff>
      <xdr:row>23</xdr:row>
      <xdr:rowOff>9525</xdr:rowOff>
    </xdr:from>
    <xdr:to>
      <xdr:col>39</xdr:col>
      <xdr:colOff>571500</xdr:colOff>
      <xdr:row>23</xdr:row>
      <xdr:rowOff>9525</xdr:rowOff>
    </xdr:to>
    <xdr:sp macro="" textlink="">
      <xdr:nvSpPr>
        <xdr:cNvPr id="74" name="Line 76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ShapeType="1"/>
        </xdr:cNvSpPr>
      </xdr:nvSpPr>
      <xdr:spPr bwMode="auto">
        <a:xfrm>
          <a:off x="21977985" y="7309485"/>
          <a:ext cx="43186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25</xdr:row>
      <xdr:rowOff>0</xdr:rowOff>
    </xdr:from>
    <xdr:to>
      <xdr:col>37</xdr:col>
      <xdr:colOff>0</xdr:colOff>
      <xdr:row>25</xdr:row>
      <xdr:rowOff>0</xdr:rowOff>
    </xdr:to>
    <xdr:sp macro="" textlink="">
      <xdr:nvSpPr>
        <xdr:cNvPr id="75" name="Line 77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ShapeType="1"/>
        </xdr:cNvSpPr>
      </xdr:nvSpPr>
      <xdr:spPr bwMode="auto">
        <a:xfrm>
          <a:off x="21427440" y="7787640"/>
          <a:ext cx="324612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lg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27</xdr:row>
      <xdr:rowOff>9525</xdr:rowOff>
    </xdr:from>
    <xdr:to>
      <xdr:col>36</xdr:col>
      <xdr:colOff>9525</xdr:colOff>
      <xdr:row>27</xdr:row>
      <xdr:rowOff>9525</xdr:rowOff>
    </xdr:to>
    <xdr:sp macro="" textlink="">
      <xdr:nvSpPr>
        <xdr:cNvPr id="76" name="Line 78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>
          <a:spLocks noChangeShapeType="1"/>
        </xdr:cNvSpPr>
      </xdr:nvSpPr>
      <xdr:spPr bwMode="auto">
        <a:xfrm>
          <a:off x="23050500" y="8284845"/>
          <a:ext cx="109156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9525</xdr:colOff>
      <xdr:row>27</xdr:row>
      <xdr:rowOff>9525</xdr:rowOff>
    </xdr:from>
    <xdr:to>
      <xdr:col>38</xdr:col>
      <xdr:colOff>9525</xdr:colOff>
      <xdr:row>27</xdr:row>
      <xdr:rowOff>9525</xdr:rowOff>
    </xdr:to>
    <xdr:sp macro="" textlink="">
      <xdr:nvSpPr>
        <xdr:cNvPr id="77" name="Line 79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ShapeType="1"/>
        </xdr:cNvSpPr>
      </xdr:nvSpPr>
      <xdr:spPr bwMode="auto">
        <a:xfrm>
          <a:off x="24142065" y="828484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27</xdr:row>
      <xdr:rowOff>9525</xdr:rowOff>
    </xdr:from>
    <xdr:to>
      <xdr:col>40</xdr:col>
      <xdr:colOff>552450</xdr:colOff>
      <xdr:row>27</xdr:row>
      <xdr:rowOff>9525</xdr:rowOff>
    </xdr:to>
    <xdr:sp macro="" textlink="">
      <xdr:nvSpPr>
        <xdr:cNvPr id="78" name="Line 80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>
          <a:spLocks noChangeShapeType="1"/>
        </xdr:cNvSpPr>
      </xdr:nvSpPr>
      <xdr:spPr bwMode="auto">
        <a:xfrm>
          <a:off x="25214580" y="8284845"/>
          <a:ext cx="16192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29</xdr:row>
      <xdr:rowOff>9525</xdr:rowOff>
    </xdr:from>
    <xdr:to>
      <xdr:col>36</xdr:col>
      <xdr:colOff>0</xdr:colOff>
      <xdr:row>29</xdr:row>
      <xdr:rowOff>9525</xdr:rowOff>
    </xdr:to>
    <xdr:sp macro="" textlink="">
      <xdr:nvSpPr>
        <xdr:cNvPr id="79" name="Line 8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ShapeType="1"/>
        </xdr:cNvSpPr>
      </xdr:nvSpPr>
      <xdr:spPr bwMode="auto">
        <a:xfrm>
          <a:off x="23050500" y="877252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29</xdr:row>
      <xdr:rowOff>9525</xdr:rowOff>
    </xdr:from>
    <xdr:to>
      <xdr:col>38</xdr:col>
      <xdr:colOff>0</xdr:colOff>
      <xdr:row>29</xdr:row>
      <xdr:rowOff>9525</xdr:rowOff>
    </xdr:to>
    <xdr:sp macro="" textlink="">
      <xdr:nvSpPr>
        <xdr:cNvPr id="80" name="Line 8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>
          <a:spLocks noChangeShapeType="1"/>
        </xdr:cNvSpPr>
      </xdr:nvSpPr>
      <xdr:spPr bwMode="auto">
        <a:xfrm>
          <a:off x="24132540" y="877252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9525</xdr:colOff>
      <xdr:row>29</xdr:row>
      <xdr:rowOff>9525</xdr:rowOff>
    </xdr:from>
    <xdr:to>
      <xdr:col>41</xdr:col>
      <xdr:colOff>0</xdr:colOff>
      <xdr:row>29</xdr:row>
      <xdr:rowOff>9525</xdr:rowOff>
    </xdr:to>
    <xdr:sp macro="" textlink="">
      <xdr:nvSpPr>
        <xdr:cNvPr id="81" name="Line 83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ShapeType="1"/>
        </xdr:cNvSpPr>
      </xdr:nvSpPr>
      <xdr:spPr bwMode="auto">
        <a:xfrm>
          <a:off x="25224105" y="8772525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571500</xdr:colOff>
      <xdr:row>31</xdr:row>
      <xdr:rowOff>9525</xdr:rowOff>
    </xdr:from>
    <xdr:to>
      <xdr:col>34</xdr:col>
      <xdr:colOff>0</xdr:colOff>
      <xdr:row>31</xdr:row>
      <xdr:rowOff>9525</xdr:rowOff>
    </xdr:to>
    <xdr:sp macro="" textlink="">
      <xdr:nvSpPr>
        <xdr:cNvPr id="82" name="Line 84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ShapeType="1"/>
        </xdr:cNvSpPr>
      </xdr:nvSpPr>
      <xdr:spPr bwMode="auto">
        <a:xfrm>
          <a:off x="21968460" y="926020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571500</xdr:colOff>
      <xdr:row>31</xdr:row>
      <xdr:rowOff>0</xdr:rowOff>
    </xdr:from>
    <xdr:to>
      <xdr:col>36</xdr:col>
      <xdr:colOff>9525</xdr:colOff>
      <xdr:row>31</xdr:row>
      <xdr:rowOff>0</xdr:rowOff>
    </xdr:to>
    <xdr:sp macro="" textlink="">
      <xdr:nvSpPr>
        <xdr:cNvPr id="83" name="Line 85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ShapeType="1"/>
        </xdr:cNvSpPr>
      </xdr:nvSpPr>
      <xdr:spPr bwMode="auto">
        <a:xfrm>
          <a:off x="23050500" y="9250680"/>
          <a:ext cx="109156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9525</xdr:colOff>
      <xdr:row>33</xdr:row>
      <xdr:rowOff>9525</xdr:rowOff>
    </xdr:from>
    <xdr:to>
      <xdr:col>43</xdr:col>
      <xdr:colOff>9525</xdr:colOff>
      <xdr:row>33</xdr:row>
      <xdr:rowOff>9525</xdr:rowOff>
    </xdr:to>
    <xdr:sp macro="" textlink="">
      <xdr:nvSpPr>
        <xdr:cNvPr id="84" name="Line 86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ShapeType="1"/>
        </xdr:cNvSpPr>
      </xdr:nvSpPr>
      <xdr:spPr bwMode="auto">
        <a:xfrm>
          <a:off x="26847165" y="974788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19050</xdr:colOff>
      <xdr:row>33</xdr:row>
      <xdr:rowOff>9525</xdr:rowOff>
    </xdr:from>
    <xdr:to>
      <xdr:col>45</xdr:col>
      <xdr:colOff>19050</xdr:colOff>
      <xdr:row>33</xdr:row>
      <xdr:rowOff>9525</xdr:rowOff>
    </xdr:to>
    <xdr:sp macro="" textlink="">
      <xdr:nvSpPr>
        <xdr:cNvPr id="85" name="Line 87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>
          <a:spLocks noChangeShapeType="1"/>
        </xdr:cNvSpPr>
      </xdr:nvSpPr>
      <xdr:spPr bwMode="auto">
        <a:xfrm>
          <a:off x="27938730" y="974788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571500</xdr:colOff>
      <xdr:row>35</xdr:row>
      <xdr:rowOff>9525</xdr:rowOff>
    </xdr:from>
    <xdr:to>
      <xdr:col>33</xdr:col>
      <xdr:colOff>561975</xdr:colOff>
      <xdr:row>35</xdr:row>
      <xdr:rowOff>9525</xdr:rowOff>
    </xdr:to>
    <xdr:sp macro="" textlink="">
      <xdr:nvSpPr>
        <xdr:cNvPr id="86" name="Line 88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ShapeType="1"/>
        </xdr:cNvSpPr>
      </xdr:nvSpPr>
      <xdr:spPr bwMode="auto">
        <a:xfrm>
          <a:off x="20345400" y="10235565"/>
          <a:ext cx="270319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571500</xdr:colOff>
      <xdr:row>35</xdr:row>
      <xdr:rowOff>0</xdr:rowOff>
    </xdr:from>
    <xdr:to>
      <xdr:col>40</xdr:col>
      <xdr:colOff>9525</xdr:colOff>
      <xdr:row>35</xdr:row>
      <xdr:rowOff>0</xdr:rowOff>
    </xdr:to>
    <xdr:sp macro="" textlink="">
      <xdr:nvSpPr>
        <xdr:cNvPr id="87" name="Line 89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ShapeType="1"/>
        </xdr:cNvSpPr>
      </xdr:nvSpPr>
      <xdr:spPr bwMode="auto">
        <a:xfrm>
          <a:off x="23050500" y="10226040"/>
          <a:ext cx="325564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571500</xdr:colOff>
      <xdr:row>37</xdr:row>
      <xdr:rowOff>0</xdr:rowOff>
    </xdr:from>
    <xdr:to>
      <xdr:col>42</xdr:col>
      <xdr:colOff>9525</xdr:colOff>
      <xdr:row>37</xdr:row>
      <xdr:rowOff>0</xdr:rowOff>
    </xdr:to>
    <xdr:sp macro="" textlink="">
      <xdr:nvSpPr>
        <xdr:cNvPr id="88" name="Line 90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ShapeType="1"/>
        </xdr:cNvSpPr>
      </xdr:nvSpPr>
      <xdr:spPr bwMode="auto">
        <a:xfrm>
          <a:off x="24673560" y="10713720"/>
          <a:ext cx="271462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571500</xdr:colOff>
      <xdr:row>39</xdr:row>
      <xdr:rowOff>0</xdr:rowOff>
    </xdr:from>
    <xdr:to>
      <xdr:col>38</xdr:col>
      <xdr:colOff>28575</xdr:colOff>
      <xdr:row>39</xdr:row>
      <xdr:rowOff>0</xdr:rowOff>
    </xdr:to>
    <xdr:sp macro="" textlink="">
      <xdr:nvSpPr>
        <xdr:cNvPr id="89" name="Line 9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>
          <a:spLocks noChangeShapeType="1"/>
        </xdr:cNvSpPr>
      </xdr:nvSpPr>
      <xdr:spPr bwMode="auto">
        <a:xfrm flipV="1">
          <a:off x="24132540" y="11201400"/>
          <a:ext cx="111061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9525</xdr:colOff>
      <xdr:row>39</xdr:row>
      <xdr:rowOff>0</xdr:rowOff>
    </xdr:from>
    <xdr:to>
      <xdr:col>40</xdr:col>
      <xdr:colOff>9525</xdr:colOff>
      <xdr:row>39</xdr:row>
      <xdr:rowOff>0</xdr:rowOff>
    </xdr:to>
    <xdr:sp macro="" textlink="">
      <xdr:nvSpPr>
        <xdr:cNvPr id="90" name="Line 9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>
          <a:spLocks noChangeShapeType="1"/>
        </xdr:cNvSpPr>
      </xdr:nvSpPr>
      <xdr:spPr bwMode="auto">
        <a:xfrm>
          <a:off x="25224105" y="11201400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38100</xdr:colOff>
      <xdr:row>39</xdr:row>
      <xdr:rowOff>0</xdr:rowOff>
    </xdr:from>
    <xdr:to>
      <xdr:col>42</xdr:col>
      <xdr:colOff>9525</xdr:colOff>
      <xdr:row>39</xdr:row>
      <xdr:rowOff>0</xdr:rowOff>
    </xdr:to>
    <xdr:sp macro="" textlink="">
      <xdr:nvSpPr>
        <xdr:cNvPr id="91" name="Line 93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>
          <a:spLocks noChangeShapeType="1"/>
        </xdr:cNvSpPr>
      </xdr:nvSpPr>
      <xdr:spPr bwMode="auto">
        <a:xfrm>
          <a:off x="26334720" y="11201400"/>
          <a:ext cx="105346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9525</xdr:colOff>
      <xdr:row>39</xdr:row>
      <xdr:rowOff>9525</xdr:rowOff>
    </xdr:from>
    <xdr:to>
      <xdr:col>43</xdr:col>
      <xdr:colOff>571500</xdr:colOff>
      <xdr:row>39</xdr:row>
      <xdr:rowOff>9525</xdr:rowOff>
    </xdr:to>
    <xdr:sp macro="" textlink="">
      <xdr:nvSpPr>
        <xdr:cNvPr id="92" name="Line 94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>
          <a:spLocks noChangeShapeType="1"/>
        </xdr:cNvSpPr>
      </xdr:nvSpPr>
      <xdr:spPr bwMode="auto">
        <a:xfrm>
          <a:off x="27388185" y="11210925"/>
          <a:ext cx="107251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571500</xdr:colOff>
      <xdr:row>39</xdr:row>
      <xdr:rowOff>9525</xdr:rowOff>
    </xdr:from>
    <xdr:to>
      <xdr:col>46</xdr:col>
      <xdr:colOff>0</xdr:colOff>
      <xdr:row>39</xdr:row>
      <xdr:rowOff>9525</xdr:rowOff>
    </xdr:to>
    <xdr:sp macro="" textlink="">
      <xdr:nvSpPr>
        <xdr:cNvPr id="93" name="Line 95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>
          <a:spLocks noChangeShapeType="1"/>
        </xdr:cNvSpPr>
      </xdr:nvSpPr>
      <xdr:spPr bwMode="auto">
        <a:xfrm>
          <a:off x="28460700" y="1121092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0</xdr:colOff>
      <xdr:row>39</xdr:row>
      <xdr:rowOff>9525</xdr:rowOff>
    </xdr:from>
    <xdr:to>
      <xdr:col>48</xdr:col>
      <xdr:colOff>0</xdr:colOff>
      <xdr:row>39</xdr:row>
      <xdr:rowOff>9525</xdr:rowOff>
    </xdr:to>
    <xdr:sp macro="" textlink="">
      <xdr:nvSpPr>
        <xdr:cNvPr id="94" name="Line 96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>
          <a:spLocks noChangeShapeType="1"/>
        </xdr:cNvSpPr>
      </xdr:nvSpPr>
      <xdr:spPr bwMode="auto">
        <a:xfrm>
          <a:off x="29542740" y="11210925"/>
          <a:ext cx="10820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561975</xdr:colOff>
      <xdr:row>41</xdr:row>
      <xdr:rowOff>28575</xdr:rowOff>
    </xdr:from>
    <xdr:to>
      <xdr:col>45</xdr:col>
      <xdr:colOff>571500</xdr:colOff>
      <xdr:row>41</xdr:row>
      <xdr:rowOff>28575</xdr:rowOff>
    </xdr:to>
    <xdr:sp macro="" textlink="">
      <xdr:nvSpPr>
        <xdr:cNvPr id="95" name="Line 97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>
          <a:spLocks noChangeShapeType="1"/>
        </xdr:cNvSpPr>
      </xdr:nvSpPr>
      <xdr:spPr bwMode="auto">
        <a:xfrm>
          <a:off x="27376755" y="11717655"/>
          <a:ext cx="216598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571500</xdr:colOff>
      <xdr:row>41</xdr:row>
      <xdr:rowOff>9525</xdr:rowOff>
    </xdr:from>
    <xdr:to>
      <xdr:col>49</xdr:col>
      <xdr:colOff>0</xdr:colOff>
      <xdr:row>41</xdr:row>
      <xdr:rowOff>9525</xdr:rowOff>
    </xdr:to>
    <xdr:sp macro="" textlink="">
      <xdr:nvSpPr>
        <xdr:cNvPr id="96" name="Line 98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ShapeType="1"/>
        </xdr:cNvSpPr>
      </xdr:nvSpPr>
      <xdr:spPr bwMode="auto">
        <a:xfrm>
          <a:off x="29542740" y="11698605"/>
          <a:ext cx="1623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9525</xdr:colOff>
      <xdr:row>35</xdr:row>
      <xdr:rowOff>9525</xdr:rowOff>
    </xdr:from>
    <xdr:to>
      <xdr:col>43</xdr:col>
      <xdr:colOff>0</xdr:colOff>
      <xdr:row>35</xdr:row>
      <xdr:rowOff>9525</xdr:rowOff>
    </xdr:to>
    <xdr:sp macro="" textlink="">
      <xdr:nvSpPr>
        <xdr:cNvPr id="97" name="Line 99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ShapeType="1"/>
        </xdr:cNvSpPr>
      </xdr:nvSpPr>
      <xdr:spPr bwMode="auto">
        <a:xfrm>
          <a:off x="26306145" y="10235565"/>
          <a:ext cx="161353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81</xdr:row>
      <xdr:rowOff>38100</xdr:rowOff>
    </xdr:from>
    <xdr:to>
      <xdr:col>10</xdr:col>
      <xdr:colOff>0</xdr:colOff>
      <xdr:row>82</xdr:row>
      <xdr:rowOff>0</xdr:rowOff>
    </xdr:to>
    <xdr:sp macro="" textlink="">
      <xdr:nvSpPr>
        <xdr:cNvPr id="98" name="Line 100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>
          <a:spLocks noChangeShapeType="1"/>
        </xdr:cNvSpPr>
      </xdr:nvSpPr>
      <xdr:spPr bwMode="auto">
        <a:xfrm flipV="1">
          <a:off x="8452485" y="21457920"/>
          <a:ext cx="1613535" cy="198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79</xdr:row>
      <xdr:rowOff>180975</xdr:rowOff>
    </xdr:from>
    <xdr:to>
      <xdr:col>13</xdr:col>
      <xdr:colOff>0</xdr:colOff>
      <xdr:row>81</xdr:row>
      <xdr:rowOff>47625</xdr:rowOff>
    </xdr:to>
    <xdr:sp macro="" textlink="">
      <xdr:nvSpPr>
        <xdr:cNvPr id="99" name="Line 101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>
          <a:spLocks noChangeShapeType="1"/>
        </xdr:cNvSpPr>
      </xdr:nvSpPr>
      <xdr:spPr bwMode="auto">
        <a:xfrm flipV="1">
          <a:off x="10096500" y="20519571"/>
          <a:ext cx="1632857" cy="29255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78</xdr:row>
      <xdr:rowOff>152400</xdr:rowOff>
    </xdr:from>
    <xdr:to>
      <xdr:col>16</xdr:col>
      <xdr:colOff>0</xdr:colOff>
      <xdr:row>79</xdr:row>
      <xdr:rowOff>180975</xdr:rowOff>
    </xdr:to>
    <xdr:sp macro="" textlink="">
      <xdr:nvSpPr>
        <xdr:cNvPr id="100" name="Line 102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ShapeType="1"/>
        </xdr:cNvSpPr>
      </xdr:nvSpPr>
      <xdr:spPr bwMode="auto">
        <a:xfrm flipV="1">
          <a:off x="11689080" y="20848320"/>
          <a:ext cx="162306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76</xdr:row>
      <xdr:rowOff>228600</xdr:rowOff>
    </xdr:from>
    <xdr:to>
      <xdr:col>19</xdr:col>
      <xdr:colOff>0</xdr:colOff>
      <xdr:row>78</xdr:row>
      <xdr:rowOff>171450</xdr:rowOff>
    </xdr:to>
    <xdr:sp macro="" textlink="">
      <xdr:nvSpPr>
        <xdr:cNvPr id="101" name="Line 103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>
          <a:spLocks noChangeShapeType="1"/>
        </xdr:cNvSpPr>
      </xdr:nvSpPr>
      <xdr:spPr bwMode="auto">
        <a:xfrm flipV="1">
          <a:off x="13362214" y="20258314"/>
          <a:ext cx="1632857" cy="26125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72</xdr:row>
      <xdr:rowOff>180975</xdr:rowOff>
    </xdr:from>
    <xdr:to>
      <xdr:col>22</xdr:col>
      <xdr:colOff>9525</xdr:colOff>
      <xdr:row>76</xdr:row>
      <xdr:rowOff>209550</xdr:rowOff>
    </xdr:to>
    <xdr:sp macro="" textlink="">
      <xdr:nvSpPr>
        <xdr:cNvPr id="102" name="Line 104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>
          <a:spLocks noChangeShapeType="1"/>
        </xdr:cNvSpPr>
      </xdr:nvSpPr>
      <xdr:spPr bwMode="auto">
        <a:xfrm flipV="1">
          <a:off x="14935200" y="19413855"/>
          <a:ext cx="1632585" cy="10039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68</xdr:row>
      <xdr:rowOff>142875</xdr:rowOff>
    </xdr:from>
    <xdr:to>
      <xdr:col>25</xdr:col>
      <xdr:colOff>0</xdr:colOff>
      <xdr:row>72</xdr:row>
      <xdr:rowOff>180975</xdr:rowOff>
    </xdr:to>
    <xdr:sp macro="" textlink="">
      <xdr:nvSpPr>
        <xdr:cNvPr id="103" name="Line 105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>
          <a:spLocks noChangeShapeType="1"/>
        </xdr:cNvSpPr>
      </xdr:nvSpPr>
      <xdr:spPr bwMode="auto">
        <a:xfrm flipV="1">
          <a:off x="16567785" y="18400395"/>
          <a:ext cx="1613535" cy="1013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180975</xdr:rowOff>
    </xdr:from>
    <xdr:to>
      <xdr:col>28</xdr:col>
      <xdr:colOff>9525</xdr:colOff>
      <xdr:row>68</xdr:row>
      <xdr:rowOff>142875</xdr:rowOff>
    </xdr:to>
    <xdr:sp macro="" textlink="">
      <xdr:nvSpPr>
        <xdr:cNvPr id="104" name="Line 106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>
          <a:spLocks noChangeShapeType="1"/>
        </xdr:cNvSpPr>
      </xdr:nvSpPr>
      <xdr:spPr bwMode="auto">
        <a:xfrm flipV="1">
          <a:off x="18181320" y="16990695"/>
          <a:ext cx="1632585" cy="140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54</xdr:row>
      <xdr:rowOff>200025</xdr:rowOff>
    </xdr:from>
    <xdr:to>
      <xdr:col>31</xdr:col>
      <xdr:colOff>0</xdr:colOff>
      <xdr:row>62</xdr:row>
      <xdr:rowOff>180975</xdr:rowOff>
    </xdr:to>
    <xdr:sp macro="" textlink="">
      <xdr:nvSpPr>
        <xdr:cNvPr id="105" name="Line 107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ShapeType="1"/>
        </xdr:cNvSpPr>
      </xdr:nvSpPr>
      <xdr:spPr bwMode="auto">
        <a:xfrm flipV="1">
          <a:off x="19804380" y="15059025"/>
          <a:ext cx="1623060" cy="19316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45</xdr:row>
      <xdr:rowOff>85725</xdr:rowOff>
    </xdr:from>
    <xdr:to>
      <xdr:col>33</xdr:col>
      <xdr:colOff>571500</xdr:colOff>
      <xdr:row>54</xdr:row>
      <xdr:rowOff>209550</xdr:rowOff>
    </xdr:to>
    <xdr:sp macro="" textlink="">
      <xdr:nvSpPr>
        <xdr:cNvPr id="106" name="Line 108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>
          <a:spLocks noChangeShapeType="1"/>
        </xdr:cNvSpPr>
      </xdr:nvSpPr>
      <xdr:spPr bwMode="auto">
        <a:xfrm flipV="1">
          <a:off x="21427440" y="12750165"/>
          <a:ext cx="1623060" cy="231838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571500</xdr:colOff>
      <xdr:row>32</xdr:row>
      <xdr:rowOff>171450</xdr:rowOff>
    </xdr:from>
    <xdr:to>
      <xdr:col>37</xdr:col>
      <xdr:colOff>9525</xdr:colOff>
      <xdr:row>45</xdr:row>
      <xdr:rowOff>104775</xdr:rowOff>
    </xdr:to>
    <xdr:sp macro="" textlink="">
      <xdr:nvSpPr>
        <xdr:cNvPr id="107" name="Line 109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>
          <a:spLocks noChangeShapeType="1"/>
        </xdr:cNvSpPr>
      </xdr:nvSpPr>
      <xdr:spPr bwMode="auto">
        <a:xfrm flipV="1">
          <a:off x="23050500" y="9665970"/>
          <a:ext cx="1632585" cy="31032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9525</xdr:colOff>
      <xdr:row>23</xdr:row>
      <xdr:rowOff>66675</xdr:rowOff>
    </xdr:from>
    <xdr:to>
      <xdr:col>40</xdr:col>
      <xdr:colOff>0</xdr:colOff>
      <xdr:row>32</xdr:row>
      <xdr:rowOff>171450</xdr:rowOff>
    </xdr:to>
    <xdr:sp macro="" textlink="">
      <xdr:nvSpPr>
        <xdr:cNvPr id="108" name="Line 110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>
          <a:spLocks noChangeShapeType="1"/>
        </xdr:cNvSpPr>
      </xdr:nvSpPr>
      <xdr:spPr bwMode="auto">
        <a:xfrm flipV="1">
          <a:off x="24683085" y="7366635"/>
          <a:ext cx="1613535" cy="2299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571500</xdr:colOff>
      <xdr:row>17</xdr:row>
      <xdr:rowOff>57150</xdr:rowOff>
    </xdr:from>
    <xdr:to>
      <xdr:col>43</xdr:col>
      <xdr:colOff>0</xdr:colOff>
      <xdr:row>23</xdr:row>
      <xdr:rowOff>76200</xdr:rowOff>
    </xdr:to>
    <xdr:sp macro="" textlink="">
      <xdr:nvSpPr>
        <xdr:cNvPr id="109" name="Line 111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>
          <a:spLocks noChangeShapeType="1"/>
        </xdr:cNvSpPr>
      </xdr:nvSpPr>
      <xdr:spPr bwMode="auto">
        <a:xfrm flipV="1">
          <a:off x="26296620" y="5894070"/>
          <a:ext cx="1623060" cy="14820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12</xdr:row>
      <xdr:rowOff>85725</xdr:rowOff>
    </xdr:from>
    <xdr:to>
      <xdr:col>46</xdr:col>
      <xdr:colOff>0</xdr:colOff>
      <xdr:row>17</xdr:row>
      <xdr:rowOff>66675</xdr:rowOff>
    </xdr:to>
    <xdr:sp macro="" textlink="">
      <xdr:nvSpPr>
        <xdr:cNvPr id="110" name="Line 11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>
          <a:spLocks noChangeShapeType="1"/>
        </xdr:cNvSpPr>
      </xdr:nvSpPr>
      <xdr:spPr bwMode="auto">
        <a:xfrm flipV="1">
          <a:off x="27919680" y="4733925"/>
          <a:ext cx="1623060" cy="11696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9525</xdr:colOff>
      <xdr:row>11</xdr:row>
      <xdr:rowOff>19050</xdr:rowOff>
    </xdr:from>
    <xdr:to>
      <xdr:col>49</xdr:col>
      <xdr:colOff>0</xdr:colOff>
      <xdr:row>12</xdr:row>
      <xdr:rowOff>85725</xdr:rowOff>
    </xdr:to>
    <xdr:sp macro="" textlink="">
      <xdr:nvSpPr>
        <xdr:cNvPr id="111" name="Line 113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>
          <a:spLocks noChangeShapeType="1"/>
        </xdr:cNvSpPr>
      </xdr:nvSpPr>
      <xdr:spPr bwMode="auto">
        <a:xfrm flipV="1">
          <a:off x="29552265" y="4438650"/>
          <a:ext cx="1613535" cy="295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12" name="Line 114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>
          <a:spLocks noChangeShapeType="1"/>
        </xdr:cNvSpPr>
      </xdr:nvSpPr>
      <xdr:spPr bwMode="auto">
        <a:xfrm>
          <a:off x="6819900" y="5349240"/>
          <a:ext cx="1082040" cy="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15</xdr:row>
      <xdr:rowOff>0</xdr:rowOff>
    </xdr:from>
    <xdr:to>
      <xdr:col>6</xdr:col>
      <xdr:colOff>9525</xdr:colOff>
      <xdr:row>17</xdr:row>
      <xdr:rowOff>9525</xdr:rowOff>
    </xdr:to>
    <xdr:sp macro="" textlink="">
      <xdr:nvSpPr>
        <xdr:cNvPr id="113" name="Line 115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 noChangeShapeType="1"/>
        </xdr:cNvSpPr>
      </xdr:nvSpPr>
      <xdr:spPr bwMode="auto">
        <a:xfrm>
          <a:off x="7911465" y="5349240"/>
          <a:ext cx="0" cy="49720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16</xdr:row>
      <xdr:rowOff>238125</xdr:rowOff>
    </xdr:from>
    <xdr:to>
      <xdr:col>6</xdr:col>
      <xdr:colOff>571500</xdr:colOff>
      <xdr:row>17</xdr:row>
      <xdr:rowOff>9525</xdr:rowOff>
    </xdr:to>
    <xdr:sp macro="" textlink="">
      <xdr:nvSpPr>
        <xdr:cNvPr id="114" name="Line 116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 noChangeShapeType="1"/>
        </xdr:cNvSpPr>
      </xdr:nvSpPr>
      <xdr:spPr bwMode="auto">
        <a:xfrm flipV="1">
          <a:off x="7911465" y="5831205"/>
          <a:ext cx="531495" cy="1524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238125</xdr:rowOff>
    </xdr:from>
    <xdr:to>
      <xdr:col>7</xdr:col>
      <xdr:colOff>0</xdr:colOff>
      <xdr:row>19</xdr:row>
      <xdr:rowOff>9525</xdr:rowOff>
    </xdr:to>
    <xdr:sp macro="" textlink="">
      <xdr:nvSpPr>
        <xdr:cNvPr id="115" name="Line 117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>
          <a:spLocks noChangeShapeType="1"/>
        </xdr:cNvSpPr>
      </xdr:nvSpPr>
      <xdr:spPr bwMode="auto">
        <a:xfrm>
          <a:off x="8442960" y="5831205"/>
          <a:ext cx="0" cy="50292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9525</xdr:rowOff>
    </xdr:from>
    <xdr:to>
      <xdr:col>20</xdr:col>
      <xdr:colOff>0</xdr:colOff>
      <xdr:row>19</xdr:row>
      <xdr:rowOff>9525</xdr:rowOff>
    </xdr:to>
    <xdr:sp macro="" textlink="">
      <xdr:nvSpPr>
        <xdr:cNvPr id="116" name="Line 118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>
          <a:spLocks noChangeShapeType="1"/>
        </xdr:cNvSpPr>
      </xdr:nvSpPr>
      <xdr:spPr bwMode="auto">
        <a:xfrm>
          <a:off x="8452485" y="6334125"/>
          <a:ext cx="7023735" cy="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19</xdr:row>
      <xdr:rowOff>9525</xdr:rowOff>
    </xdr:from>
    <xdr:to>
      <xdr:col>20</xdr:col>
      <xdr:colOff>0</xdr:colOff>
      <xdr:row>21</xdr:row>
      <xdr:rowOff>0</xdr:rowOff>
    </xdr:to>
    <xdr:sp macro="" textlink="">
      <xdr:nvSpPr>
        <xdr:cNvPr id="117" name="Line 119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>
          <a:spLocks noChangeShapeType="1"/>
        </xdr:cNvSpPr>
      </xdr:nvSpPr>
      <xdr:spPr bwMode="auto">
        <a:xfrm>
          <a:off x="15476220" y="6334125"/>
          <a:ext cx="0" cy="47815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571500</xdr:colOff>
      <xdr:row>21</xdr:row>
      <xdr:rowOff>19050</xdr:rowOff>
    </xdr:from>
    <xdr:to>
      <xdr:col>28</xdr:col>
      <xdr:colOff>0</xdr:colOff>
      <xdr:row>21</xdr:row>
      <xdr:rowOff>19050</xdr:rowOff>
    </xdr:to>
    <xdr:sp macro="" textlink="">
      <xdr:nvSpPr>
        <xdr:cNvPr id="118" name="Line 120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>
          <a:spLocks noChangeShapeType="1"/>
        </xdr:cNvSpPr>
      </xdr:nvSpPr>
      <xdr:spPr bwMode="auto">
        <a:xfrm>
          <a:off x="15476220" y="6831330"/>
          <a:ext cx="4328160" cy="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21</xdr:row>
      <xdr:rowOff>9525</xdr:rowOff>
    </xdr:from>
    <xdr:to>
      <xdr:col>28</xdr:col>
      <xdr:colOff>0</xdr:colOff>
      <xdr:row>22</xdr:row>
      <xdr:rowOff>238125</xdr:rowOff>
    </xdr:to>
    <xdr:sp macro="" textlink="">
      <xdr:nvSpPr>
        <xdr:cNvPr id="119" name="Line 121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>
          <a:spLocks noChangeShapeType="1"/>
        </xdr:cNvSpPr>
      </xdr:nvSpPr>
      <xdr:spPr bwMode="auto">
        <a:xfrm>
          <a:off x="19804380" y="6821805"/>
          <a:ext cx="0" cy="47244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571500</xdr:colOff>
      <xdr:row>23</xdr:row>
      <xdr:rowOff>9525</xdr:rowOff>
    </xdr:from>
    <xdr:to>
      <xdr:col>34</xdr:col>
      <xdr:colOff>0</xdr:colOff>
      <xdr:row>23</xdr:row>
      <xdr:rowOff>9525</xdr:rowOff>
    </xdr:to>
    <xdr:sp macro="" textlink="">
      <xdr:nvSpPr>
        <xdr:cNvPr id="120" name="Line 122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>
          <a:spLocks noChangeShapeType="1"/>
        </xdr:cNvSpPr>
      </xdr:nvSpPr>
      <xdr:spPr bwMode="auto">
        <a:xfrm>
          <a:off x="19804380" y="7309485"/>
          <a:ext cx="3246120" cy="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23</xdr:row>
      <xdr:rowOff>9525</xdr:rowOff>
    </xdr:from>
    <xdr:to>
      <xdr:col>34</xdr:col>
      <xdr:colOff>0</xdr:colOff>
      <xdr:row>39</xdr:row>
      <xdr:rowOff>0</xdr:rowOff>
    </xdr:to>
    <xdr:sp macro="" textlink="">
      <xdr:nvSpPr>
        <xdr:cNvPr id="121" name="Line 123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>
          <a:spLocks noChangeShapeType="1"/>
        </xdr:cNvSpPr>
      </xdr:nvSpPr>
      <xdr:spPr bwMode="auto">
        <a:xfrm>
          <a:off x="23050500" y="7309485"/>
          <a:ext cx="0" cy="389191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38</xdr:row>
      <xdr:rowOff>238125</xdr:rowOff>
    </xdr:from>
    <xdr:to>
      <xdr:col>48</xdr:col>
      <xdr:colOff>0</xdr:colOff>
      <xdr:row>39</xdr:row>
      <xdr:rowOff>0</xdr:rowOff>
    </xdr:to>
    <xdr:sp macro="" textlink="">
      <xdr:nvSpPr>
        <xdr:cNvPr id="122" name="Line 124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>
          <a:spLocks noChangeShapeType="1"/>
        </xdr:cNvSpPr>
      </xdr:nvSpPr>
      <xdr:spPr bwMode="auto">
        <a:xfrm>
          <a:off x="23050500" y="11195685"/>
          <a:ext cx="7574280" cy="571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0</xdr:colOff>
      <xdr:row>39</xdr:row>
      <xdr:rowOff>19050</xdr:rowOff>
    </xdr:from>
    <xdr:to>
      <xdr:col>48</xdr:col>
      <xdr:colOff>0</xdr:colOff>
      <xdr:row>41</xdr:row>
      <xdr:rowOff>9525</xdr:rowOff>
    </xdr:to>
    <xdr:sp macro="" textlink="">
      <xdr:nvSpPr>
        <xdr:cNvPr id="123" name="Line 125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>
          <a:spLocks noChangeShapeType="1"/>
        </xdr:cNvSpPr>
      </xdr:nvSpPr>
      <xdr:spPr bwMode="auto">
        <a:xfrm>
          <a:off x="30624780" y="11220450"/>
          <a:ext cx="0" cy="47815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0</xdr:colOff>
      <xdr:row>41</xdr:row>
      <xdr:rowOff>9525</xdr:rowOff>
    </xdr:from>
    <xdr:to>
      <xdr:col>49</xdr:col>
      <xdr:colOff>0</xdr:colOff>
      <xdr:row>41</xdr:row>
      <xdr:rowOff>9525</xdr:rowOff>
    </xdr:to>
    <xdr:sp macro="" textlink="">
      <xdr:nvSpPr>
        <xdr:cNvPr id="124" name="Line 126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>
          <a:spLocks noChangeShapeType="1"/>
        </xdr:cNvSpPr>
      </xdr:nvSpPr>
      <xdr:spPr bwMode="auto">
        <a:xfrm>
          <a:off x="30624780" y="11698605"/>
          <a:ext cx="541020" cy="0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66675</xdr:colOff>
      <xdr:row>15</xdr:row>
      <xdr:rowOff>85725</xdr:rowOff>
    </xdr:from>
    <xdr:to>
      <xdr:col>45</xdr:col>
      <xdr:colOff>552450</xdr:colOff>
      <xdr:row>15</xdr:row>
      <xdr:rowOff>152400</xdr:rowOff>
    </xdr:to>
    <xdr:sp macro="" textlink="">
      <xdr:nvSpPr>
        <xdr:cNvPr id="125" name="Line 129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>
          <a:spLocks noChangeShapeType="1"/>
        </xdr:cNvSpPr>
      </xdr:nvSpPr>
      <xdr:spPr bwMode="auto">
        <a:xfrm>
          <a:off x="7968615" y="5434965"/>
          <a:ext cx="21570315" cy="666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561975</xdr:colOff>
      <xdr:row>17</xdr:row>
      <xdr:rowOff>66675</xdr:rowOff>
    </xdr:from>
    <xdr:to>
      <xdr:col>21</xdr:col>
      <xdr:colOff>561975</xdr:colOff>
      <xdr:row>17</xdr:row>
      <xdr:rowOff>85725</xdr:rowOff>
    </xdr:to>
    <xdr:sp macro="" textlink="">
      <xdr:nvSpPr>
        <xdr:cNvPr id="126" name="Line 130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>
          <a:spLocks noChangeShapeType="1"/>
        </xdr:cNvSpPr>
      </xdr:nvSpPr>
      <xdr:spPr bwMode="auto">
        <a:xfrm flipV="1">
          <a:off x="7900035" y="5903595"/>
          <a:ext cx="8656320" cy="190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95250</xdr:rowOff>
    </xdr:from>
    <xdr:to>
      <xdr:col>21</xdr:col>
      <xdr:colOff>28575</xdr:colOff>
      <xdr:row>19</xdr:row>
      <xdr:rowOff>123825</xdr:rowOff>
    </xdr:to>
    <xdr:sp macro="" textlink="">
      <xdr:nvSpPr>
        <xdr:cNvPr id="127" name="Line 13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>
          <a:spLocks noChangeShapeType="1"/>
        </xdr:cNvSpPr>
      </xdr:nvSpPr>
      <xdr:spPr bwMode="auto">
        <a:xfrm flipV="1">
          <a:off x="8452485" y="6419850"/>
          <a:ext cx="7593330" cy="285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95250</xdr:rowOff>
    </xdr:from>
    <xdr:to>
      <xdr:col>19</xdr:col>
      <xdr:colOff>361950</xdr:colOff>
      <xdr:row>21</xdr:row>
      <xdr:rowOff>123825</xdr:rowOff>
    </xdr:to>
    <xdr:sp macro="" textlink="">
      <xdr:nvSpPr>
        <xdr:cNvPr id="128" name="Line 132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>
          <a:spLocks noChangeShapeType="1"/>
        </xdr:cNvSpPr>
      </xdr:nvSpPr>
      <xdr:spPr bwMode="auto">
        <a:xfrm flipV="1">
          <a:off x="9534525" y="6907530"/>
          <a:ext cx="5762625" cy="285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28575</xdr:colOff>
      <xdr:row>25</xdr:row>
      <xdr:rowOff>104775</xdr:rowOff>
    </xdr:from>
    <xdr:to>
      <xdr:col>36</xdr:col>
      <xdr:colOff>561975</xdr:colOff>
      <xdr:row>25</xdr:row>
      <xdr:rowOff>114300</xdr:rowOff>
    </xdr:to>
    <xdr:sp macro="" textlink="">
      <xdr:nvSpPr>
        <xdr:cNvPr id="129" name="Line 133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>
          <a:spLocks noChangeShapeType="1"/>
        </xdr:cNvSpPr>
      </xdr:nvSpPr>
      <xdr:spPr bwMode="auto">
        <a:xfrm flipV="1">
          <a:off x="21456015" y="7892415"/>
          <a:ext cx="3215640" cy="952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342900</xdr:colOff>
      <xdr:row>11</xdr:row>
      <xdr:rowOff>0</xdr:rowOff>
    </xdr:from>
    <xdr:ext cx="114300" cy="285750"/>
    <xdr:sp macro="" textlink="">
      <xdr:nvSpPr>
        <xdr:cNvPr id="130" name="Text Box 15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>
          <a:spLocks noChangeArrowheads="1"/>
        </xdr:cNvSpPr>
      </xdr:nvSpPr>
      <xdr:spPr bwMode="auto">
        <a:xfrm>
          <a:off x="7162800" y="4419600"/>
          <a:ext cx="1143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10</xdr:col>
      <xdr:colOff>185855</xdr:colOff>
      <xdr:row>31</xdr:row>
      <xdr:rowOff>59322</xdr:rowOff>
    </xdr:from>
    <xdr:to>
      <xdr:col>26</xdr:col>
      <xdr:colOff>276300</xdr:colOff>
      <xdr:row>39</xdr:row>
      <xdr:rowOff>183877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8BFB6CDF-4C45-4FCA-9005-40451DC7B550}"/>
            </a:ext>
          </a:extLst>
        </xdr:cNvPr>
        <xdr:cNvSpPr/>
      </xdr:nvSpPr>
      <xdr:spPr>
        <a:xfrm rot="20503159">
          <a:off x="10247719" y="9064777"/>
          <a:ext cx="8680263" cy="2064191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72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 editAs="oneCell">
    <xdr:from>
      <xdr:col>0</xdr:col>
      <xdr:colOff>917862</xdr:colOff>
      <xdr:row>0</xdr:row>
      <xdr:rowOff>121226</xdr:rowOff>
    </xdr:from>
    <xdr:to>
      <xdr:col>1</xdr:col>
      <xdr:colOff>1246907</xdr:colOff>
      <xdr:row>1</xdr:row>
      <xdr:rowOff>502226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100DE632-7863-441D-B3E8-E94F5589C0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487" y="178376"/>
          <a:ext cx="2053070" cy="88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30</xdr:row>
      <xdr:rowOff>133350</xdr:rowOff>
    </xdr:from>
    <xdr:to>
      <xdr:col>8</xdr:col>
      <xdr:colOff>266700</xdr:colOff>
      <xdr:row>30</xdr:row>
      <xdr:rowOff>142875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 bwMode="auto">
        <a:xfrm flipV="1">
          <a:off x="5836920" y="9711690"/>
          <a:ext cx="510540" cy="9525"/>
        </a:xfrm>
        <a:prstGeom prst="line">
          <a:avLst/>
        </a:prstGeom>
        <a:noFill/>
        <a:ln w="26670">
          <a:solidFill>
            <a:srgbClr val="FF0000"/>
          </a:solidFill>
          <a:round/>
          <a:headEnd type="none" w="sm" len="lg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29</xdr:row>
      <xdr:rowOff>133350</xdr:rowOff>
    </xdr:from>
    <xdr:to>
      <xdr:col>8</xdr:col>
      <xdr:colOff>247650</xdr:colOff>
      <xdr:row>29</xdr:row>
      <xdr:rowOff>133350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 flipV="1">
          <a:off x="5827395" y="9460230"/>
          <a:ext cx="501015" cy="0"/>
        </a:xfrm>
        <a:prstGeom prst="line">
          <a:avLst/>
        </a:prstGeom>
        <a:noFill/>
        <a:ln w="26670">
          <a:solidFill>
            <a:srgbClr val="3366FF"/>
          </a:solidFill>
          <a:prstDash val="sysDash"/>
          <a:round/>
          <a:headEnd type="none" w="sm" len="lg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228601</xdr:colOff>
      <xdr:row>0</xdr:row>
      <xdr:rowOff>66676</xdr:rowOff>
    </xdr:from>
    <xdr:to>
      <xdr:col>1</xdr:col>
      <xdr:colOff>828676</xdr:colOff>
      <xdr:row>1</xdr:row>
      <xdr:rowOff>390526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3B14814-747C-40F7-A4D5-FE32EE3971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66676"/>
          <a:ext cx="1638300" cy="704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7" name="Oval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9" name="Oval 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1082040" y="304038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9525</xdr:colOff>
      <xdr:row>36</xdr:row>
      <xdr:rowOff>0</xdr:rowOff>
    </xdr:from>
    <xdr:to>
      <xdr:col>36</xdr:col>
      <xdr:colOff>19050</xdr:colOff>
      <xdr:row>36</xdr:row>
      <xdr:rowOff>0</xdr:rowOff>
    </xdr:to>
    <xdr:sp macro="" textlink="">
      <xdr:nvSpPr>
        <xdr:cNvPr id="12" name="Line 10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V="1">
          <a:off x="6090285" y="9418320"/>
          <a:ext cx="762190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28575</xdr:colOff>
      <xdr:row>36</xdr:row>
      <xdr:rowOff>95250</xdr:rowOff>
    </xdr:from>
    <xdr:to>
      <xdr:col>16</xdr:col>
      <xdr:colOff>9525</xdr:colOff>
      <xdr:row>36</xdr:row>
      <xdr:rowOff>95250</xdr:rowOff>
    </xdr:to>
    <xdr:sp macro="" textlink="">
      <xdr:nvSpPr>
        <xdr:cNvPr id="13" name="Line 1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 flipV="1">
          <a:off x="6109335" y="9513570"/>
          <a:ext cx="195453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10</xdr:row>
      <xdr:rowOff>171450</xdr:rowOff>
    </xdr:from>
    <xdr:to>
      <xdr:col>12</xdr:col>
      <xdr:colOff>0</xdr:colOff>
      <xdr:row>10</xdr:row>
      <xdr:rowOff>171450</xdr:rowOff>
    </xdr:to>
    <xdr:sp macro="" textlink="">
      <xdr:nvSpPr>
        <xdr:cNvPr id="14" name="Line 12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 flipV="1">
          <a:off x="6362700" y="3448050"/>
          <a:ext cx="563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19050</xdr:colOff>
      <xdr:row>12</xdr:row>
      <xdr:rowOff>171450</xdr:rowOff>
    </xdr:from>
    <xdr:to>
      <xdr:col>14</xdr:col>
      <xdr:colOff>9525</xdr:colOff>
      <xdr:row>12</xdr:row>
      <xdr:rowOff>171450</xdr:rowOff>
    </xdr:to>
    <xdr:sp macro="" textlink="">
      <xdr:nvSpPr>
        <xdr:cNvPr id="15" name="Line 13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 flipV="1">
          <a:off x="5535930" y="3920490"/>
          <a:ext cx="196405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9</xdr:row>
      <xdr:rowOff>180975</xdr:rowOff>
    </xdr:from>
    <xdr:to>
      <xdr:col>11</xdr:col>
      <xdr:colOff>485775</xdr:colOff>
      <xdr:row>9</xdr:row>
      <xdr:rowOff>180975</xdr:rowOff>
    </xdr:to>
    <xdr:sp macro="" textlink="">
      <xdr:nvSpPr>
        <xdr:cNvPr id="16" name="Line 1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>
          <a:off x="6362700" y="3221355"/>
          <a:ext cx="56197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57150</xdr:colOff>
      <xdr:row>11</xdr:row>
      <xdr:rowOff>171450</xdr:rowOff>
    </xdr:from>
    <xdr:to>
      <xdr:col>14</xdr:col>
      <xdr:colOff>0</xdr:colOff>
      <xdr:row>11</xdr:row>
      <xdr:rowOff>171450</xdr:rowOff>
    </xdr:to>
    <xdr:sp macro="" textlink="">
      <xdr:nvSpPr>
        <xdr:cNvPr id="17" name="Line 1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>
          <a:off x="5574030" y="3684270"/>
          <a:ext cx="191643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21</xdr:row>
      <xdr:rowOff>171450</xdr:rowOff>
    </xdr:from>
    <xdr:to>
      <xdr:col>14</xdr:col>
      <xdr:colOff>476250</xdr:colOff>
      <xdr:row>21</xdr:row>
      <xdr:rowOff>171450</xdr:rowOff>
    </xdr:to>
    <xdr:sp macro="" textlink="">
      <xdr:nvSpPr>
        <xdr:cNvPr id="18" name="Line 16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 flipV="1">
          <a:off x="5526405" y="6046470"/>
          <a:ext cx="224218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33</xdr:row>
      <xdr:rowOff>171450</xdr:rowOff>
    </xdr:from>
    <xdr:to>
      <xdr:col>38</xdr:col>
      <xdr:colOff>9525</xdr:colOff>
      <xdr:row>33</xdr:row>
      <xdr:rowOff>171450</xdr:rowOff>
    </xdr:to>
    <xdr:sp macro="" textlink="">
      <xdr:nvSpPr>
        <xdr:cNvPr id="19" name="Line 17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 flipV="1">
          <a:off x="5526405" y="8881110"/>
          <a:ext cx="874014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19050</xdr:colOff>
      <xdr:row>34</xdr:row>
      <xdr:rowOff>171450</xdr:rowOff>
    </xdr:from>
    <xdr:to>
      <xdr:col>13</xdr:col>
      <xdr:colOff>485775</xdr:colOff>
      <xdr:row>34</xdr:row>
      <xdr:rowOff>171450</xdr:rowOff>
    </xdr:to>
    <xdr:sp macro="" textlink="">
      <xdr:nvSpPr>
        <xdr:cNvPr id="20" name="Line 18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ShapeType="1"/>
        </xdr:cNvSpPr>
      </xdr:nvSpPr>
      <xdr:spPr bwMode="auto">
        <a:xfrm flipV="1">
          <a:off x="5535930" y="9117330"/>
          <a:ext cx="19526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22</xdr:row>
      <xdr:rowOff>161925</xdr:rowOff>
    </xdr:from>
    <xdr:to>
      <xdr:col>14</xdr:col>
      <xdr:colOff>9525</xdr:colOff>
      <xdr:row>22</xdr:row>
      <xdr:rowOff>161925</xdr:rowOff>
    </xdr:to>
    <xdr:sp macro="" textlink="">
      <xdr:nvSpPr>
        <xdr:cNvPr id="21" name="Line 1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ShapeType="1"/>
        </xdr:cNvSpPr>
      </xdr:nvSpPr>
      <xdr:spPr bwMode="auto">
        <a:xfrm flipV="1">
          <a:off x="5526405" y="6273165"/>
          <a:ext cx="1973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16</xdr:row>
      <xdr:rowOff>180975</xdr:rowOff>
    </xdr:from>
    <xdr:to>
      <xdr:col>14</xdr:col>
      <xdr:colOff>0</xdr:colOff>
      <xdr:row>16</xdr:row>
      <xdr:rowOff>180975</xdr:rowOff>
    </xdr:to>
    <xdr:sp macro="" textlink="">
      <xdr:nvSpPr>
        <xdr:cNvPr id="22" name="Line 20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ShapeType="1"/>
        </xdr:cNvSpPr>
      </xdr:nvSpPr>
      <xdr:spPr bwMode="auto">
        <a:xfrm flipV="1">
          <a:off x="5516880" y="4874895"/>
          <a:ext cx="1973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15</xdr:row>
      <xdr:rowOff>180975</xdr:rowOff>
    </xdr:from>
    <xdr:to>
      <xdr:col>14</xdr:col>
      <xdr:colOff>19050</xdr:colOff>
      <xdr:row>15</xdr:row>
      <xdr:rowOff>180975</xdr:rowOff>
    </xdr:to>
    <xdr:sp macro="" textlink="">
      <xdr:nvSpPr>
        <xdr:cNvPr id="23" name="Line 21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ShapeType="1"/>
        </xdr:cNvSpPr>
      </xdr:nvSpPr>
      <xdr:spPr bwMode="auto">
        <a:xfrm>
          <a:off x="5516880" y="4638675"/>
          <a:ext cx="199263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29</xdr:row>
      <xdr:rowOff>180975</xdr:rowOff>
    </xdr:from>
    <xdr:to>
      <xdr:col>34</xdr:col>
      <xdr:colOff>28575</xdr:colOff>
      <xdr:row>29</xdr:row>
      <xdr:rowOff>180975</xdr:rowOff>
    </xdr:to>
    <xdr:sp macro="" textlink="">
      <xdr:nvSpPr>
        <xdr:cNvPr id="24" name="Line 22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ShapeType="1"/>
        </xdr:cNvSpPr>
      </xdr:nvSpPr>
      <xdr:spPr bwMode="auto">
        <a:xfrm flipV="1">
          <a:off x="7208520" y="7945755"/>
          <a:ext cx="594931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28</xdr:row>
      <xdr:rowOff>161925</xdr:rowOff>
    </xdr:from>
    <xdr:to>
      <xdr:col>14</xdr:col>
      <xdr:colOff>19050</xdr:colOff>
      <xdr:row>28</xdr:row>
      <xdr:rowOff>161925</xdr:rowOff>
    </xdr:to>
    <xdr:sp macro="" textlink="">
      <xdr:nvSpPr>
        <xdr:cNvPr id="25" name="Line 23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ShapeType="1"/>
        </xdr:cNvSpPr>
      </xdr:nvSpPr>
      <xdr:spPr bwMode="auto">
        <a:xfrm flipV="1">
          <a:off x="7218045" y="7690485"/>
          <a:ext cx="29146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9525</xdr:colOff>
      <xdr:row>15</xdr:row>
      <xdr:rowOff>180975</xdr:rowOff>
    </xdr:from>
    <xdr:to>
      <xdr:col>34</xdr:col>
      <xdr:colOff>19050</xdr:colOff>
      <xdr:row>15</xdr:row>
      <xdr:rowOff>180975</xdr:rowOff>
    </xdr:to>
    <xdr:sp macro="" textlink="">
      <xdr:nvSpPr>
        <xdr:cNvPr id="26" name="Line 24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ShapeType="1"/>
        </xdr:cNvSpPr>
      </xdr:nvSpPr>
      <xdr:spPr bwMode="auto">
        <a:xfrm>
          <a:off x="7499985" y="4638675"/>
          <a:ext cx="564832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18</xdr:row>
      <xdr:rowOff>180975</xdr:rowOff>
    </xdr:from>
    <xdr:to>
      <xdr:col>14</xdr:col>
      <xdr:colOff>0</xdr:colOff>
      <xdr:row>18</xdr:row>
      <xdr:rowOff>180975</xdr:rowOff>
    </xdr:to>
    <xdr:sp macro="" textlink="">
      <xdr:nvSpPr>
        <xdr:cNvPr id="27" name="Line 25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ShapeType="1"/>
        </xdr:cNvSpPr>
      </xdr:nvSpPr>
      <xdr:spPr bwMode="auto">
        <a:xfrm flipV="1">
          <a:off x="5516880" y="5347335"/>
          <a:ext cx="1973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17</xdr:row>
      <xdr:rowOff>180975</xdr:rowOff>
    </xdr:from>
    <xdr:to>
      <xdr:col>14</xdr:col>
      <xdr:colOff>19050</xdr:colOff>
      <xdr:row>17</xdr:row>
      <xdr:rowOff>180975</xdr:rowOff>
    </xdr:to>
    <xdr:sp macro="" textlink="">
      <xdr:nvSpPr>
        <xdr:cNvPr id="28" name="Line 26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 noChangeShapeType="1"/>
        </xdr:cNvSpPr>
      </xdr:nvSpPr>
      <xdr:spPr bwMode="auto">
        <a:xfrm>
          <a:off x="5516880" y="5111115"/>
          <a:ext cx="199263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9525</xdr:colOff>
      <xdr:row>17</xdr:row>
      <xdr:rowOff>180975</xdr:rowOff>
    </xdr:from>
    <xdr:to>
      <xdr:col>34</xdr:col>
      <xdr:colOff>19050</xdr:colOff>
      <xdr:row>17</xdr:row>
      <xdr:rowOff>180975</xdr:rowOff>
    </xdr:to>
    <xdr:sp macro="" textlink="">
      <xdr:nvSpPr>
        <xdr:cNvPr id="29" name="Line 27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ShapeType="1"/>
        </xdr:cNvSpPr>
      </xdr:nvSpPr>
      <xdr:spPr bwMode="auto">
        <a:xfrm>
          <a:off x="7499985" y="5111115"/>
          <a:ext cx="564832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0</xdr:colOff>
      <xdr:row>21</xdr:row>
      <xdr:rowOff>171450</xdr:rowOff>
    </xdr:from>
    <xdr:to>
      <xdr:col>34</xdr:col>
      <xdr:colOff>19050</xdr:colOff>
      <xdr:row>21</xdr:row>
      <xdr:rowOff>171450</xdr:rowOff>
    </xdr:to>
    <xdr:sp macro="" textlink="">
      <xdr:nvSpPr>
        <xdr:cNvPr id="30" name="Line 28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 noChangeShapeType="1"/>
        </xdr:cNvSpPr>
      </xdr:nvSpPr>
      <xdr:spPr bwMode="auto">
        <a:xfrm>
          <a:off x="7772400" y="6046470"/>
          <a:ext cx="537591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9525</xdr:colOff>
      <xdr:row>25</xdr:row>
      <xdr:rowOff>180975</xdr:rowOff>
    </xdr:from>
    <xdr:to>
      <xdr:col>36</xdr:col>
      <xdr:colOff>28575</xdr:colOff>
      <xdr:row>25</xdr:row>
      <xdr:rowOff>180975</xdr:rowOff>
    </xdr:to>
    <xdr:sp macro="" textlink="">
      <xdr:nvSpPr>
        <xdr:cNvPr id="31" name="Line 2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 noChangeShapeType="1"/>
        </xdr:cNvSpPr>
      </xdr:nvSpPr>
      <xdr:spPr bwMode="auto">
        <a:xfrm flipV="1">
          <a:off x="7499985" y="7000875"/>
          <a:ext cx="622173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19050</xdr:colOff>
      <xdr:row>31</xdr:row>
      <xdr:rowOff>171450</xdr:rowOff>
    </xdr:from>
    <xdr:to>
      <xdr:col>12</xdr:col>
      <xdr:colOff>9525</xdr:colOff>
      <xdr:row>31</xdr:row>
      <xdr:rowOff>171450</xdr:rowOff>
    </xdr:to>
    <xdr:sp macro="" textlink="">
      <xdr:nvSpPr>
        <xdr:cNvPr id="32" name="Line 30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ShapeType="1"/>
        </xdr:cNvSpPr>
      </xdr:nvSpPr>
      <xdr:spPr bwMode="auto">
        <a:xfrm>
          <a:off x="5535930" y="8408670"/>
          <a:ext cx="140017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</xdr:row>
      <xdr:rowOff>161925</xdr:rowOff>
    </xdr:from>
    <xdr:to>
      <xdr:col>38</xdr:col>
      <xdr:colOff>0</xdr:colOff>
      <xdr:row>13</xdr:row>
      <xdr:rowOff>161925</xdr:rowOff>
    </xdr:to>
    <xdr:sp macro="" textlink="">
      <xdr:nvSpPr>
        <xdr:cNvPr id="33" name="Line 31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ShapeType="1"/>
        </xdr:cNvSpPr>
      </xdr:nvSpPr>
      <xdr:spPr bwMode="auto">
        <a:xfrm>
          <a:off x="6926580" y="4147185"/>
          <a:ext cx="733044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19</xdr:row>
      <xdr:rowOff>171450</xdr:rowOff>
    </xdr:from>
    <xdr:to>
      <xdr:col>10</xdr:col>
      <xdr:colOff>0</xdr:colOff>
      <xdr:row>19</xdr:row>
      <xdr:rowOff>171450</xdr:rowOff>
    </xdr:to>
    <xdr:sp macro="" textlink="">
      <xdr:nvSpPr>
        <xdr:cNvPr id="34" name="Line 32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>
          <a:spLocks noChangeShapeType="1"/>
        </xdr:cNvSpPr>
      </xdr:nvSpPr>
      <xdr:spPr bwMode="auto">
        <a:xfrm flipV="1">
          <a:off x="5526405" y="5574030"/>
          <a:ext cx="83629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20</xdr:row>
      <xdr:rowOff>161925</xdr:rowOff>
    </xdr:from>
    <xdr:to>
      <xdr:col>14</xdr:col>
      <xdr:colOff>9525</xdr:colOff>
      <xdr:row>20</xdr:row>
      <xdr:rowOff>161925</xdr:rowOff>
    </xdr:to>
    <xdr:sp macro="" textlink="">
      <xdr:nvSpPr>
        <xdr:cNvPr id="35" name="Line 33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ShapeType="1"/>
        </xdr:cNvSpPr>
      </xdr:nvSpPr>
      <xdr:spPr bwMode="auto">
        <a:xfrm flipV="1">
          <a:off x="5526405" y="5800725"/>
          <a:ext cx="1973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9525</xdr:colOff>
      <xdr:row>19</xdr:row>
      <xdr:rowOff>171450</xdr:rowOff>
    </xdr:from>
    <xdr:to>
      <xdr:col>15</xdr:col>
      <xdr:colOff>9525</xdr:colOff>
      <xdr:row>19</xdr:row>
      <xdr:rowOff>171450</xdr:rowOff>
    </xdr:to>
    <xdr:sp macro="" textlink="">
      <xdr:nvSpPr>
        <xdr:cNvPr id="36" name="Line 3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ShapeType="1"/>
        </xdr:cNvSpPr>
      </xdr:nvSpPr>
      <xdr:spPr bwMode="auto">
        <a:xfrm>
          <a:off x="6372225" y="5574030"/>
          <a:ext cx="140970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485775</xdr:colOff>
      <xdr:row>14</xdr:row>
      <xdr:rowOff>171450</xdr:rowOff>
    </xdr:from>
    <xdr:to>
      <xdr:col>14</xdr:col>
      <xdr:colOff>9525</xdr:colOff>
      <xdr:row>14</xdr:row>
      <xdr:rowOff>171450</xdr:rowOff>
    </xdr:to>
    <xdr:sp macro="" textlink="">
      <xdr:nvSpPr>
        <xdr:cNvPr id="37" name="Line 35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ShapeType="1"/>
        </xdr:cNvSpPr>
      </xdr:nvSpPr>
      <xdr:spPr bwMode="auto">
        <a:xfrm flipV="1">
          <a:off x="6924675" y="4392930"/>
          <a:ext cx="57531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30</xdr:row>
      <xdr:rowOff>161925</xdr:rowOff>
    </xdr:from>
    <xdr:to>
      <xdr:col>14</xdr:col>
      <xdr:colOff>19050</xdr:colOff>
      <xdr:row>30</xdr:row>
      <xdr:rowOff>161925</xdr:rowOff>
    </xdr:to>
    <xdr:sp macro="" textlink="">
      <xdr:nvSpPr>
        <xdr:cNvPr id="38" name="Line 36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ShapeType="1"/>
        </xdr:cNvSpPr>
      </xdr:nvSpPr>
      <xdr:spPr bwMode="auto">
        <a:xfrm flipV="1">
          <a:off x="7218045" y="8162925"/>
          <a:ext cx="29146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9525</xdr:colOff>
      <xdr:row>28</xdr:row>
      <xdr:rowOff>161925</xdr:rowOff>
    </xdr:from>
    <xdr:to>
      <xdr:col>12</xdr:col>
      <xdr:colOff>19050</xdr:colOff>
      <xdr:row>28</xdr:row>
      <xdr:rowOff>161925</xdr:rowOff>
    </xdr:to>
    <xdr:sp macro="" textlink="">
      <xdr:nvSpPr>
        <xdr:cNvPr id="39" name="Line 37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 noChangeShapeType="1"/>
        </xdr:cNvSpPr>
      </xdr:nvSpPr>
      <xdr:spPr bwMode="auto">
        <a:xfrm flipV="1">
          <a:off x="6654165" y="7690485"/>
          <a:ext cx="29146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9525</xdr:colOff>
      <xdr:row>11</xdr:row>
      <xdr:rowOff>171450</xdr:rowOff>
    </xdr:from>
    <xdr:to>
      <xdr:col>34</xdr:col>
      <xdr:colOff>19050</xdr:colOff>
      <xdr:row>11</xdr:row>
      <xdr:rowOff>171450</xdr:rowOff>
    </xdr:to>
    <xdr:sp macro="" textlink="">
      <xdr:nvSpPr>
        <xdr:cNvPr id="40" name="Line 38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 noChangeShapeType="1"/>
        </xdr:cNvSpPr>
      </xdr:nvSpPr>
      <xdr:spPr bwMode="auto">
        <a:xfrm>
          <a:off x="7499985" y="3684270"/>
          <a:ext cx="564832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</xdr:colOff>
      <xdr:row>9</xdr:row>
      <xdr:rowOff>171450</xdr:rowOff>
    </xdr:from>
    <xdr:to>
      <xdr:col>34</xdr:col>
      <xdr:colOff>9525</xdr:colOff>
      <xdr:row>9</xdr:row>
      <xdr:rowOff>171450</xdr:rowOff>
    </xdr:to>
    <xdr:sp macro="" textlink="">
      <xdr:nvSpPr>
        <xdr:cNvPr id="41" name="Line 3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>
          <a:spLocks noChangeShapeType="1"/>
        </xdr:cNvSpPr>
      </xdr:nvSpPr>
      <xdr:spPr bwMode="auto">
        <a:xfrm>
          <a:off x="6945630" y="3211830"/>
          <a:ext cx="619315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9525</xdr:colOff>
      <xdr:row>19</xdr:row>
      <xdr:rowOff>180975</xdr:rowOff>
    </xdr:from>
    <xdr:to>
      <xdr:col>17</xdr:col>
      <xdr:colOff>0</xdr:colOff>
      <xdr:row>19</xdr:row>
      <xdr:rowOff>180975</xdr:rowOff>
    </xdr:to>
    <xdr:sp macro="" textlink="">
      <xdr:nvSpPr>
        <xdr:cNvPr id="42" name="Line 40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 noChangeShapeType="1"/>
        </xdr:cNvSpPr>
      </xdr:nvSpPr>
      <xdr:spPr bwMode="auto">
        <a:xfrm>
          <a:off x="7781925" y="5583555"/>
          <a:ext cx="55435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9525</xdr:colOff>
      <xdr:row>32</xdr:row>
      <xdr:rowOff>171450</xdr:rowOff>
    </xdr:from>
    <xdr:to>
      <xdr:col>12</xdr:col>
      <xdr:colOff>9525</xdr:colOff>
      <xdr:row>32</xdr:row>
      <xdr:rowOff>171450</xdr:rowOff>
    </xdr:to>
    <xdr:sp macro="" textlink="">
      <xdr:nvSpPr>
        <xdr:cNvPr id="43" name="Line 41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>
          <a:spLocks noChangeShapeType="1"/>
        </xdr:cNvSpPr>
      </xdr:nvSpPr>
      <xdr:spPr bwMode="auto">
        <a:xfrm flipV="1">
          <a:off x="5808345" y="8644890"/>
          <a:ext cx="1127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9525</xdr:colOff>
      <xdr:row>31</xdr:row>
      <xdr:rowOff>171450</xdr:rowOff>
    </xdr:from>
    <xdr:to>
      <xdr:col>38</xdr:col>
      <xdr:colOff>0</xdr:colOff>
      <xdr:row>31</xdr:row>
      <xdr:rowOff>171450</xdr:rowOff>
    </xdr:to>
    <xdr:sp macro="" textlink="">
      <xdr:nvSpPr>
        <xdr:cNvPr id="44" name="Line 42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 noChangeShapeType="1"/>
        </xdr:cNvSpPr>
      </xdr:nvSpPr>
      <xdr:spPr bwMode="auto">
        <a:xfrm flipV="1">
          <a:off x="8063865" y="8408670"/>
          <a:ext cx="619315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9525</xdr:colOff>
      <xdr:row>27</xdr:row>
      <xdr:rowOff>171450</xdr:rowOff>
    </xdr:from>
    <xdr:to>
      <xdr:col>16</xdr:col>
      <xdr:colOff>0</xdr:colOff>
      <xdr:row>27</xdr:row>
      <xdr:rowOff>171450</xdr:rowOff>
    </xdr:to>
    <xdr:sp macro="" textlink="">
      <xdr:nvSpPr>
        <xdr:cNvPr id="45" name="Line 43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>
          <a:spLocks noChangeShapeType="1"/>
        </xdr:cNvSpPr>
      </xdr:nvSpPr>
      <xdr:spPr bwMode="auto">
        <a:xfrm flipV="1">
          <a:off x="6654165" y="7463790"/>
          <a:ext cx="140017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23</xdr:row>
      <xdr:rowOff>180975</xdr:rowOff>
    </xdr:from>
    <xdr:to>
      <xdr:col>12</xdr:col>
      <xdr:colOff>485775</xdr:colOff>
      <xdr:row>23</xdr:row>
      <xdr:rowOff>180975</xdr:rowOff>
    </xdr:to>
    <xdr:sp macro="" textlink="">
      <xdr:nvSpPr>
        <xdr:cNvPr id="46" name="Line 44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>
          <a:spLocks noChangeShapeType="1"/>
        </xdr:cNvSpPr>
      </xdr:nvSpPr>
      <xdr:spPr bwMode="auto">
        <a:xfrm flipV="1">
          <a:off x="5526405" y="6528435"/>
          <a:ext cx="1680210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19050</xdr:colOff>
      <xdr:row>24</xdr:row>
      <xdr:rowOff>171450</xdr:rowOff>
    </xdr:from>
    <xdr:to>
      <xdr:col>14</xdr:col>
      <xdr:colOff>0</xdr:colOff>
      <xdr:row>24</xdr:row>
      <xdr:rowOff>171450</xdr:rowOff>
    </xdr:to>
    <xdr:sp macro="" textlink="">
      <xdr:nvSpPr>
        <xdr:cNvPr id="47" name="Line 45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>
          <a:spLocks noChangeShapeType="1"/>
        </xdr:cNvSpPr>
      </xdr:nvSpPr>
      <xdr:spPr bwMode="auto">
        <a:xfrm flipV="1">
          <a:off x="5535930" y="6755130"/>
          <a:ext cx="195453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23</xdr:row>
      <xdr:rowOff>180975</xdr:rowOff>
    </xdr:from>
    <xdr:to>
      <xdr:col>35</xdr:col>
      <xdr:colOff>9525</xdr:colOff>
      <xdr:row>23</xdr:row>
      <xdr:rowOff>180975</xdr:rowOff>
    </xdr:to>
    <xdr:sp macro="" textlink="">
      <xdr:nvSpPr>
        <xdr:cNvPr id="48" name="Line 46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>
          <a:spLocks noChangeShapeType="1"/>
        </xdr:cNvSpPr>
      </xdr:nvSpPr>
      <xdr:spPr bwMode="auto">
        <a:xfrm>
          <a:off x="7208520" y="6528435"/>
          <a:ext cx="621220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none" w="sm" len="lg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9525</xdr:colOff>
      <xdr:row>26</xdr:row>
      <xdr:rowOff>161925</xdr:rowOff>
    </xdr:from>
    <xdr:to>
      <xdr:col>13</xdr:col>
      <xdr:colOff>28575</xdr:colOff>
      <xdr:row>26</xdr:row>
      <xdr:rowOff>161925</xdr:rowOff>
    </xdr:to>
    <xdr:sp macro="" textlink="">
      <xdr:nvSpPr>
        <xdr:cNvPr id="49" name="Line 47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>
          <a:spLocks noChangeShapeType="1"/>
        </xdr:cNvSpPr>
      </xdr:nvSpPr>
      <xdr:spPr bwMode="auto">
        <a:xfrm flipV="1">
          <a:off x="6654165" y="7218045"/>
          <a:ext cx="58293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9525</xdr:colOff>
      <xdr:row>25</xdr:row>
      <xdr:rowOff>171450</xdr:rowOff>
    </xdr:from>
    <xdr:to>
      <xdr:col>13</xdr:col>
      <xdr:colOff>19050</xdr:colOff>
      <xdr:row>25</xdr:row>
      <xdr:rowOff>171450</xdr:rowOff>
    </xdr:to>
    <xdr:sp macro="" textlink="">
      <xdr:nvSpPr>
        <xdr:cNvPr id="50" name="Line 48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>
          <a:spLocks noChangeShapeType="1"/>
        </xdr:cNvSpPr>
      </xdr:nvSpPr>
      <xdr:spPr bwMode="auto">
        <a:xfrm flipV="1">
          <a:off x="6654165" y="6991350"/>
          <a:ext cx="573405" cy="0"/>
        </a:xfrm>
        <a:prstGeom prst="line">
          <a:avLst/>
        </a:prstGeom>
        <a:noFill/>
        <a:ln w="2667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173755</xdr:colOff>
      <xdr:row>17</xdr:row>
      <xdr:rowOff>122485</xdr:rowOff>
    </xdr:from>
    <xdr:to>
      <xdr:col>22</xdr:col>
      <xdr:colOff>167090</xdr:colOff>
      <xdr:row>21</xdr:row>
      <xdr:rowOff>154123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630551DB-A01C-4AE1-9722-8AE3E7811244}"/>
            </a:ext>
          </a:extLst>
        </xdr:cNvPr>
        <xdr:cNvSpPr/>
      </xdr:nvSpPr>
      <xdr:spPr>
        <a:xfrm rot="20503159">
          <a:off x="5707780" y="5065960"/>
          <a:ext cx="4279585" cy="984138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0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8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 editAs="oneCell">
    <xdr:from>
      <xdr:col>1</xdr:col>
      <xdr:colOff>228601</xdr:colOff>
      <xdr:row>1</xdr:row>
      <xdr:rowOff>57151</xdr:rowOff>
    </xdr:from>
    <xdr:to>
      <xdr:col>2</xdr:col>
      <xdr:colOff>828676</xdr:colOff>
      <xdr:row>2</xdr:row>
      <xdr:rowOff>381001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F9FF1145-63A8-4331-8BF1-6DD627E8BA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114301"/>
          <a:ext cx="1638300" cy="704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1158240" y="271272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1158240" y="271272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158240" y="271272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158240" y="271272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 bwMode="auto">
        <a:xfrm>
          <a:off x="1158240" y="271272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232172</xdr:colOff>
      <xdr:row>34</xdr:row>
      <xdr:rowOff>133349</xdr:rowOff>
    </xdr:from>
    <xdr:to>
      <xdr:col>9</xdr:col>
      <xdr:colOff>0</xdr:colOff>
      <xdr:row>34</xdr:row>
      <xdr:rowOff>133349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6922532" y="8766809"/>
          <a:ext cx="621268" cy="0"/>
        </a:xfrm>
        <a:prstGeom prst="line">
          <a:avLst/>
        </a:prstGeom>
        <a:noFill/>
        <a:ln w="26670">
          <a:solidFill>
            <a:srgbClr val="FF0000"/>
          </a:solidFill>
          <a:round/>
          <a:headEnd type="none" w="sm" len="lg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33</xdr:row>
      <xdr:rowOff>123825</xdr:rowOff>
    </xdr:from>
    <xdr:to>
      <xdr:col>8</xdr:col>
      <xdr:colOff>428625</xdr:colOff>
      <xdr:row>33</xdr:row>
      <xdr:rowOff>123825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ShapeType="1"/>
        </xdr:cNvSpPr>
      </xdr:nvSpPr>
      <xdr:spPr bwMode="auto">
        <a:xfrm>
          <a:off x="6899910" y="8505825"/>
          <a:ext cx="645795" cy="0"/>
        </a:xfrm>
        <a:prstGeom prst="line">
          <a:avLst/>
        </a:prstGeom>
        <a:noFill/>
        <a:ln w="26670">
          <a:solidFill>
            <a:srgbClr val="3366FF"/>
          </a:solidFill>
          <a:prstDash val="sysDash"/>
          <a:round/>
          <a:headEnd type="none" w="sm" len="lg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352426</xdr:colOff>
      <xdr:row>0</xdr:row>
      <xdr:rowOff>66676</xdr:rowOff>
    </xdr:from>
    <xdr:to>
      <xdr:col>1</xdr:col>
      <xdr:colOff>762000</xdr:colOff>
      <xdr:row>1</xdr:row>
      <xdr:rowOff>323850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A691C1-F6C9-4DF7-A72C-5B252D2128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123826"/>
          <a:ext cx="1523999" cy="638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7" name="Oval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9" name="Oval 3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1158240" y="2651760"/>
          <a:ext cx="0" cy="0"/>
        </a:xfrm>
        <a:prstGeom prst="ellips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9525</xdr:colOff>
      <xdr:row>36</xdr:row>
      <xdr:rowOff>0</xdr:rowOff>
    </xdr:from>
    <xdr:to>
      <xdr:col>18</xdr:col>
      <xdr:colOff>19050</xdr:colOff>
      <xdr:row>36</xdr:row>
      <xdr:rowOff>0</xdr:rowOff>
    </xdr:to>
    <xdr:sp macro="" textlink="">
      <xdr:nvSpPr>
        <xdr:cNvPr id="12" name="Line 8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 flipV="1">
          <a:off x="7126605" y="8206740"/>
          <a:ext cx="427672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28575</xdr:colOff>
      <xdr:row>36</xdr:row>
      <xdr:rowOff>95250</xdr:rowOff>
    </xdr:from>
    <xdr:to>
      <xdr:col>15</xdr:col>
      <xdr:colOff>9525</xdr:colOff>
      <xdr:row>36</xdr:row>
      <xdr:rowOff>95250</xdr:rowOff>
    </xdr:to>
    <xdr:sp macro="" textlink="">
      <xdr:nvSpPr>
        <xdr:cNvPr id="13" name="Line 9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 flipV="1">
          <a:off x="7145655" y="8301990"/>
          <a:ext cx="296799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0</xdr:colOff>
      <xdr:row>10</xdr:row>
      <xdr:rowOff>171450</xdr:rowOff>
    </xdr:from>
    <xdr:to>
      <xdr:col>11</xdr:col>
      <xdr:colOff>0</xdr:colOff>
      <xdr:row>10</xdr:row>
      <xdr:rowOff>171450</xdr:rowOff>
    </xdr:to>
    <xdr:sp macro="" textlink="">
      <xdr:nvSpPr>
        <xdr:cNvPr id="14" name="Line 10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 flipV="1">
          <a:off x="7543800" y="3028950"/>
          <a:ext cx="8534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12</xdr:row>
      <xdr:rowOff>171450</xdr:rowOff>
    </xdr:from>
    <xdr:to>
      <xdr:col>13</xdr:col>
      <xdr:colOff>9525</xdr:colOff>
      <xdr:row>12</xdr:row>
      <xdr:rowOff>171450</xdr:rowOff>
    </xdr:to>
    <xdr:sp macro="" textlink="">
      <xdr:nvSpPr>
        <xdr:cNvPr id="15" name="Line 1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ShapeType="1"/>
        </xdr:cNvSpPr>
      </xdr:nvSpPr>
      <xdr:spPr bwMode="auto">
        <a:xfrm flipV="1">
          <a:off x="6282690" y="3440430"/>
          <a:ext cx="297751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0</xdr:colOff>
      <xdr:row>9</xdr:row>
      <xdr:rowOff>180975</xdr:rowOff>
    </xdr:from>
    <xdr:to>
      <xdr:col>10</xdr:col>
      <xdr:colOff>485775</xdr:colOff>
      <xdr:row>9</xdr:row>
      <xdr:rowOff>180975</xdr:rowOff>
    </xdr:to>
    <xdr:sp macro="" textlink="">
      <xdr:nvSpPr>
        <xdr:cNvPr id="16" name="Line 1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>
          <a:off x="7543800" y="2832735"/>
          <a:ext cx="85153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57150</xdr:colOff>
      <xdr:row>11</xdr:row>
      <xdr:rowOff>171450</xdr:rowOff>
    </xdr:from>
    <xdr:to>
      <xdr:col>13</xdr:col>
      <xdr:colOff>0</xdr:colOff>
      <xdr:row>11</xdr:row>
      <xdr:rowOff>171450</xdr:rowOff>
    </xdr:to>
    <xdr:sp macro="" textlink="">
      <xdr:nvSpPr>
        <xdr:cNvPr id="17" name="Line 13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>
          <a:off x="6320790" y="3234690"/>
          <a:ext cx="292989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21</xdr:row>
      <xdr:rowOff>171450</xdr:rowOff>
    </xdr:from>
    <xdr:to>
      <xdr:col>13</xdr:col>
      <xdr:colOff>476250</xdr:colOff>
      <xdr:row>21</xdr:row>
      <xdr:rowOff>171450</xdr:rowOff>
    </xdr:to>
    <xdr:sp macro="" textlink="">
      <xdr:nvSpPr>
        <xdr:cNvPr id="18" name="Line 1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 flipV="1">
          <a:off x="6273165" y="5292090"/>
          <a:ext cx="340042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33</xdr:row>
      <xdr:rowOff>171450</xdr:rowOff>
    </xdr:from>
    <xdr:to>
      <xdr:col>20</xdr:col>
      <xdr:colOff>9525</xdr:colOff>
      <xdr:row>33</xdr:row>
      <xdr:rowOff>171450</xdr:rowOff>
    </xdr:to>
    <xdr:sp macro="" textlink="">
      <xdr:nvSpPr>
        <xdr:cNvPr id="19" name="Line 15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ShapeType="1"/>
        </xdr:cNvSpPr>
      </xdr:nvSpPr>
      <xdr:spPr bwMode="auto">
        <a:xfrm flipV="1">
          <a:off x="6273165" y="7760970"/>
          <a:ext cx="597408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34</xdr:row>
      <xdr:rowOff>171450</xdr:rowOff>
    </xdr:from>
    <xdr:to>
      <xdr:col>12</xdr:col>
      <xdr:colOff>485775</xdr:colOff>
      <xdr:row>34</xdr:row>
      <xdr:rowOff>171450</xdr:rowOff>
    </xdr:to>
    <xdr:sp macro="" textlink="">
      <xdr:nvSpPr>
        <xdr:cNvPr id="20" name="Line 16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ShapeType="1"/>
        </xdr:cNvSpPr>
      </xdr:nvSpPr>
      <xdr:spPr bwMode="auto">
        <a:xfrm flipV="1">
          <a:off x="6282690" y="7966710"/>
          <a:ext cx="296608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22</xdr:row>
      <xdr:rowOff>161925</xdr:rowOff>
    </xdr:from>
    <xdr:to>
      <xdr:col>13</xdr:col>
      <xdr:colOff>9525</xdr:colOff>
      <xdr:row>22</xdr:row>
      <xdr:rowOff>161925</xdr:rowOff>
    </xdr:to>
    <xdr:sp macro="" textlink="">
      <xdr:nvSpPr>
        <xdr:cNvPr id="21" name="Line 17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ShapeType="1"/>
        </xdr:cNvSpPr>
      </xdr:nvSpPr>
      <xdr:spPr bwMode="auto">
        <a:xfrm flipV="1">
          <a:off x="6273165" y="5488305"/>
          <a:ext cx="2987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0</xdr:colOff>
      <xdr:row>16</xdr:row>
      <xdr:rowOff>180975</xdr:rowOff>
    </xdr:from>
    <xdr:to>
      <xdr:col>13</xdr:col>
      <xdr:colOff>0</xdr:colOff>
      <xdr:row>16</xdr:row>
      <xdr:rowOff>180975</xdr:rowOff>
    </xdr:to>
    <xdr:sp macro="" textlink="">
      <xdr:nvSpPr>
        <xdr:cNvPr id="22" name="Line 18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ShapeType="1"/>
        </xdr:cNvSpPr>
      </xdr:nvSpPr>
      <xdr:spPr bwMode="auto">
        <a:xfrm flipV="1">
          <a:off x="6263640" y="4272915"/>
          <a:ext cx="2987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0</xdr:colOff>
      <xdr:row>15</xdr:row>
      <xdr:rowOff>180975</xdr:rowOff>
    </xdr:from>
    <xdr:to>
      <xdr:col>13</xdr:col>
      <xdr:colOff>19050</xdr:colOff>
      <xdr:row>15</xdr:row>
      <xdr:rowOff>180975</xdr:rowOff>
    </xdr:to>
    <xdr:sp macro="" textlink="">
      <xdr:nvSpPr>
        <xdr:cNvPr id="23" name="Line 19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ShapeType="1"/>
        </xdr:cNvSpPr>
      </xdr:nvSpPr>
      <xdr:spPr bwMode="auto">
        <a:xfrm>
          <a:off x="6263640" y="4067175"/>
          <a:ext cx="300609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29</xdr:row>
      <xdr:rowOff>180975</xdr:rowOff>
    </xdr:from>
    <xdr:to>
      <xdr:col>16</xdr:col>
      <xdr:colOff>28575</xdr:colOff>
      <xdr:row>29</xdr:row>
      <xdr:rowOff>180975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ShapeType="1"/>
        </xdr:cNvSpPr>
      </xdr:nvSpPr>
      <xdr:spPr bwMode="auto">
        <a:xfrm flipV="1">
          <a:off x="8823960" y="6947535"/>
          <a:ext cx="173545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9525</xdr:colOff>
      <xdr:row>28</xdr:row>
      <xdr:rowOff>161925</xdr:rowOff>
    </xdr:from>
    <xdr:to>
      <xdr:col>13</xdr:col>
      <xdr:colOff>19050</xdr:colOff>
      <xdr:row>28</xdr:row>
      <xdr:rowOff>161925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 noChangeShapeType="1"/>
        </xdr:cNvSpPr>
      </xdr:nvSpPr>
      <xdr:spPr bwMode="auto">
        <a:xfrm flipV="1">
          <a:off x="8833485" y="6722745"/>
          <a:ext cx="43624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15</xdr:row>
      <xdr:rowOff>180975</xdr:rowOff>
    </xdr:from>
    <xdr:to>
      <xdr:col>16</xdr:col>
      <xdr:colOff>19050</xdr:colOff>
      <xdr:row>15</xdr:row>
      <xdr:rowOff>180975</xdr:rowOff>
    </xdr:to>
    <xdr:sp macro="" textlink="">
      <xdr:nvSpPr>
        <xdr:cNvPr id="26" name="Line 22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 noChangeShapeType="1"/>
        </xdr:cNvSpPr>
      </xdr:nvSpPr>
      <xdr:spPr bwMode="auto">
        <a:xfrm>
          <a:off x="9260205" y="4067175"/>
          <a:ext cx="128968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0</xdr:colOff>
      <xdr:row>18</xdr:row>
      <xdr:rowOff>180975</xdr:rowOff>
    </xdr:from>
    <xdr:to>
      <xdr:col>13</xdr:col>
      <xdr:colOff>0</xdr:colOff>
      <xdr:row>18</xdr:row>
      <xdr:rowOff>180975</xdr:rowOff>
    </xdr:to>
    <xdr:sp macro="" textlink="">
      <xdr:nvSpPr>
        <xdr:cNvPr id="27" name="Line 2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ShapeType="1"/>
        </xdr:cNvSpPr>
      </xdr:nvSpPr>
      <xdr:spPr bwMode="auto">
        <a:xfrm flipV="1">
          <a:off x="6263640" y="4684395"/>
          <a:ext cx="2987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0</xdr:colOff>
      <xdr:row>17</xdr:row>
      <xdr:rowOff>180975</xdr:rowOff>
    </xdr:from>
    <xdr:to>
      <xdr:col>13</xdr:col>
      <xdr:colOff>19050</xdr:colOff>
      <xdr:row>17</xdr:row>
      <xdr:rowOff>180975</xdr:rowOff>
    </xdr:to>
    <xdr:sp macro="" textlink="">
      <xdr:nvSpPr>
        <xdr:cNvPr id="28" name="Line 2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ShapeType="1"/>
        </xdr:cNvSpPr>
      </xdr:nvSpPr>
      <xdr:spPr bwMode="auto">
        <a:xfrm>
          <a:off x="6263640" y="4478655"/>
          <a:ext cx="300609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17</xdr:row>
      <xdr:rowOff>180975</xdr:rowOff>
    </xdr:from>
    <xdr:to>
      <xdr:col>16</xdr:col>
      <xdr:colOff>19050</xdr:colOff>
      <xdr:row>17</xdr:row>
      <xdr:rowOff>180975</xdr:rowOff>
    </xdr:to>
    <xdr:sp macro="" textlink="">
      <xdr:nvSpPr>
        <xdr:cNvPr id="29" name="Line 2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 noChangeShapeType="1"/>
        </xdr:cNvSpPr>
      </xdr:nvSpPr>
      <xdr:spPr bwMode="auto">
        <a:xfrm>
          <a:off x="9260205" y="4478655"/>
          <a:ext cx="128968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0</xdr:colOff>
      <xdr:row>21</xdr:row>
      <xdr:rowOff>171450</xdr:rowOff>
    </xdr:from>
    <xdr:to>
      <xdr:col>16</xdr:col>
      <xdr:colOff>19050</xdr:colOff>
      <xdr:row>21</xdr:row>
      <xdr:rowOff>171450</xdr:rowOff>
    </xdr:to>
    <xdr:sp macro="" textlink="">
      <xdr:nvSpPr>
        <xdr:cNvPr id="30" name="Line 2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ShapeType="1"/>
        </xdr:cNvSpPr>
      </xdr:nvSpPr>
      <xdr:spPr bwMode="auto">
        <a:xfrm>
          <a:off x="9677400" y="5292090"/>
          <a:ext cx="87249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25</xdr:row>
      <xdr:rowOff>180975</xdr:rowOff>
    </xdr:from>
    <xdr:to>
      <xdr:col>18</xdr:col>
      <xdr:colOff>28575</xdr:colOff>
      <xdr:row>25</xdr:row>
      <xdr:rowOff>180975</xdr:rowOff>
    </xdr:to>
    <xdr:sp macro="" textlink="">
      <xdr:nvSpPr>
        <xdr:cNvPr id="31" name="Line 2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ShapeType="1"/>
        </xdr:cNvSpPr>
      </xdr:nvSpPr>
      <xdr:spPr bwMode="auto">
        <a:xfrm flipV="1">
          <a:off x="9260205" y="6124575"/>
          <a:ext cx="215265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31</xdr:row>
      <xdr:rowOff>171450</xdr:rowOff>
    </xdr:from>
    <xdr:to>
      <xdr:col>11</xdr:col>
      <xdr:colOff>9525</xdr:colOff>
      <xdr:row>31</xdr:row>
      <xdr:rowOff>171450</xdr:rowOff>
    </xdr:to>
    <xdr:sp macro="" textlink="">
      <xdr:nvSpPr>
        <xdr:cNvPr id="32" name="Line 2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ShapeType="1"/>
        </xdr:cNvSpPr>
      </xdr:nvSpPr>
      <xdr:spPr bwMode="auto">
        <a:xfrm>
          <a:off x="6282690" y="7349490"/>
          <a:ext cx="212407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476250</xdr:colOff>
      <xdr:row>13</xdr:row>
      <xdr:rowOff>161925</xdr:rowOff>
    </xdr:from>
    <xdr:to>
      <xdr:col>19</xdr:col>
      <xdr:colOff>485775</xdr:colOff>
      <xdr:row>13</xdr:row>
      <xdr:rowOff>161925</xdr:rowOff>
    </xdr:to>
    <xdr:sp macro="" textlink="">
      <xdr:nvSpPr>
        <xdr:cNvPr id="33" name="Line 2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ShapeType="1"/>
        </xdr:cNvSpPr>
      </xdr:nvSpPr>
      <xdr:spPr bwMode="auto">
        <a:xfrm>
          <a:off x="8393430" y="3636645"/>
          <a:ext cx="384238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19</xdr:row>
      <xdr:rowOff>171450</xdr:rowOff>
    </xdr:from>
    <xdr:to>
      <xdr:col>9</xdr:col>
      <xdr:colOff>0</xdr:colOff>
      <xdr:row>19</xdr:row>
      <xdr:rowOff>171450</xdr:rowOff>
    </xdr:to>
    <xdr:sp macro="" textlink="">
      <xdr:nvSpPr>
        <xdr:cNvPr id="34" name="Line 3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ShapeType="1"/>
        </xdr:cNvSpPr>
      </xdr:nvSpPr>
      <xdr:spPr bwMode="auto">
        <a:xfrm flipV="1">
          <a:off x="6273165" y="4880610"/>
          <a:ext cx="127063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20</xdr:row>
      <xdr:rowOff>161925</xdr:rowOff>
    </xdr:from>
    <xdr:to>
      <xdr:col>13</xdr:col>
      <xdr:colOff>9525</xdr:colOff>
      <xdr:row>20</xdr:row>
      <xdr:rowOff>161925</xdr:rowOff>
    </xdr:to>
    <xdr:sp macro="" textlink="">
      <xdr:nvSpPr>
        <xdr:cNvPr id="35" name="Line 3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ShapeType="1"/>
        </xdr:cNvSpPr>
      </xdr:nvSpPr>
      <xdr:spPr bwMode="auto">
        <a:xfrm flipV="1">
          <a:off x="6273165" y="5076825"/>
          <a:ext cx="2987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9525</xdr:colOff>
      <xdr:row>19</xdr:row>
      <xdr:rowOff>171450</xdr:rowOff>
    </xdr:from>
    <xdr:to>
      <xdr:col>14</xdr:col>
      <xdr:colOff>9525</xdr:colOff>
      <xdr:row>19</xdr:row>
      <xdr:rowOff>171450</xdr:rowOff>
    </xdr:to>
    <xdr:sp macro="" textlink="">
      <xdr:nvSpPr>
        <xdr:cNvPr id="36" name="Line 3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ShapeType="1"/>
        </xdr:cNvSpPr>
      </xdr:nvSpPr>
      <xdr:spPr bwMode="auto">
        <a:xfrm>
          <a:off x="7553325" y="4880610"/>
          <a:ext cx="213360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485775</xdr:colOff>
      <xdr:row>14</xdr:row>
      <xdr:rowOff>171450</xdr:rowOff>
    </xdr:from>
    <xdr:to>
      <xdr:col>13</xdr:col>
      <xdr:colOff>9525</xdr:colOff>
      <xdr:row>14</xdr:row>
      <xdr:rowOff>171450</xdr:rowOff>
    </xdr:to>
    <xdr:sp macro="" textlink="">
      <xdr:nvSpPr>
        <xdr:cNvPr id="37" name="Line 3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ShapeType="1"/>
        </xdr:cNvSpPr>
      </xdr:nvSpPr>
      <xdr:spPr bwMode="auto">
        <a:xfrm flipV="1">
          <a:off x="8395335" y="3851910"/>
          <a:ext cx="86487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9525</xdr:colOff>
      <xdr:row>30</xdr:row>
      <xdr:rowOff>161925</xdr:rowOff>
    </xdr:from>
    <xdr:to>
      <xdr:col>13</xdr:col>
      <xdr:colOff>19050</xdr:colOff>
      <xdr:row>30</xdr:row>
      <xdr:rowOff>161925</xdr:rowOff>
    </xdr:to>
    <xdr:sp macro="" textlink="">
      <xdr:nvSpPr>
        <xdr:cNvPr id="38" name="Line 3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ShapeType="1"/>
        </xdr:cNvSpPr>
      </xdr:nvSpPr>
      <xdr:spPr bwMode="auto">
        <a:xfrm flipV="1">
          <a:off x="8833485" y="7134225"/>
          <a:ext cx="43624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9525</xdr:colOff>
      <xdr:row>28</xdr:row>
      <xdr:rowOff>161925</xdr:rowOff>
    </xdr:from>
    <xdr:to>
      <xdr:col>11</xdr:col>
      <xdr:colOff>19050</xdr:colOff>
      <xdr:row>28</xdr:row>
      <xdr:rowOff>161925</xdr:rowOff>
    </xdr:to>
    <xdr:sp macro="" textlink="">
      <xdr:nvSpPr>
        <xdr:cNvPr id="39" name="Line 3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ShapeType="1"/>
        </xdr:cNvSpPr>
      </xdr:nvSpPr>
      <xdr:spPr bwMode="auto">
        <a:xfrm flipV="1">
          <a:off x="7980045" y="6722745"/>
          <a:ext cx="43624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11</xdr:row>
      <xdr:rowOff>171450</xdr:rowOff>
    </xdr:from>
    <xdr:to>
      <xdr:col>16</xdr:col>
      <xdr:colOff>19050</xdr:colOff>
      <xdr:row>11</xdr:row>
      <xdr:rowOff>171450</xdr:rowOff>
    </xdr:to>
    <xdr:sp macro="" textlink="">
      <xdr:nvSpPr>
        <xdr:cNvPr id="40" name="Line 3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ShapeType="1"/>
        </xdr:cNvSpPr>
      </xdr:nvSpPr>
      <xdr:spPr bwMode="auto">
        <a:xfrm>
          <a:off x="9260205" y="3234690"/>
          <a:ext cx="128968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19050</xdr:colOff>
      <xdr:row>9</xdr:row>
      <xdr:rowOff>171450</xdr:rowOff>
    </xdr:from>
    <xdr:to>
      <xdr:col>16</xdr:col>
      <xdr:colOff>9525</xdr:colOff>
      <xdr:row>9</xdr:row>
      <xdr:rowOff>171450</xdr:rowOff>
    </xdr:to>
    <xdr:sp macro="" textlink="">
      <xdr:nvSpPr>
        <xdr:cNvPr id="41" name="Line 3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ShapeType="1"/>
        </xdr:cNvSpPr>
      </xdr:nvSpPr>
      <xdr:spPr bwMode="auto">
        <a:xfrm>
          <a:off x="8416290" y="2823210"/>
          <a:ext cx="212407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9525</xdr:colOff>
      <xdr:row>19</xdr:row>
      <xdr:rowOff>180975</xdr:rowOff>
    </xdr:from>
    <xdr:to>
      <xdr:col>16</xdr:col>
      <xdr:colOff>0</xdr:colOff>
      <xdr:row>19</xdr:row>
      <xdr:rowOff>180975</xdr:rowOff>
    </xdr:to>
    <xdr:sp macro="" textlink="">
      <xdr:nvSpPr>
        <xdr:cNvPr id="42" name="Line 3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ShapeType="1"/>
        </xdr:cNvSpPr>
      </xdr:nvSpPr>
      <xdr:spPr bwMode="auto">
        <a:xfrm>
          <a:off x="9686925" y="4890135"/>
          <a:ext cx="84391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9525</xdr:colOff>
      <xdr:row>32</xdr:row>
      <xdr:rowOff>171450</xdr:rowOff>
    </xdr:from>
    <xdr:to>
      <xdr:col>11</xdr:col>
      <xdr:colOff>9525</xdr:colOff>
      <xdr:row>32</xdr:row>
      <xdr:rowOff>171450</xdr:rowOff>
    </xdr:to>
    <xdr:sp macro="" textlink="">
      <xdr:nvSpPr>
        <xdr:cNvPr id="43" name="Line 3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ShapeType="1"/>
        </xdr:cNvSpPr>
      </xdr:nvSpPr>
      <xdr:spPr bwMode="auto">
        <a:xfrm flipV="1">
          <a:off x="6699885" y="7555230"/>
          <a:ext cx="1706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9525</xdr:colOff>
      <xdr:row>31</xdr:row>
      <xdr:rowOff>171450</xdr:rowOff>
    </xdr:from>
    <xdr:to>
      <xdr:col>20</xdr:col>
      <xdr:colOff>0</xdr:colOff>
      <xdr:row>31</xdr:row>
      <xdr:rowOff>171450</xdr:rowOff>
    </xdr:to>
    <xdr:sp macro="" textlink="">
      <xdr:nvSpPr>
        <xdr:cNvPr id="44" name="Line 4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ShapeType="1"/>
        </xdr:cNvSpPr>
      </xdr:nvSpPr>
      <xdr:spPr bwMode="auto">
        <a:xfrm flipV="1">
          <a:off x="10113645" y="7349490"/>
          <a:ext cx="212407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9525</xdr:colOff>
      <xdr:row>27</xdr:row>
      <xdr:rowOff>171450</xdr:rowOff>
    </xdr:from>
    <xdr:to>
      <xdr:col>15</xdr:col>
      <xdr:colOff>0</xdr:colOff>
      <xdr:row>27</xdr:row>
      <xdr:rowOff>171450</xdr:rowOff>
    </xdr:to>
    <xdr:sp macro="" textlink="">
      <xdr:nvSpPr>
        <xdr:cNvPr id="45" name="Line 4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ShapeType="1"/>
        </xdr:cNvSpPr>
      </xdr:nvSpPr>
      <xdr:spPr bwMode="auto">
        <a:xfrm flipV="1">
          <a:off x="7980045" y="6526530"/>
          <a:ext cx="212407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23</xdr:row>
      <xdr:rowOff>180975</xdr:rowOff>
    </xdr:from>
    <xdr:to>
      <xdr:col>11</xdr:col>
      <xdr:colOff>485775</xdr:colOff>
      <xdr:row>23</xdr:row>
      <xdr:rowOff>180975</xdr:rowOff>
    </xdr:to>
    <xdr:sp macro="" textlink="">
      <xdr:nvSpPr>
        <xdr:cNvPr id="46" name="Line 4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ShapeType="1"/>
        </xdr:cNvSpPr>
      </xdr:nvSpPr>
      <xdr:spPr bwMode="auto">
        <a:xfrm flipV="1">
          <a:off x="6273165" y="5713095"/>
          <a:ext cx="2548890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24</xdr:row>
      <xdr:rowOff>171450</xdr:rowOff>
    </xdr:from>
    <xdr:to>
      <xdr:col>13</xdr:col>
      <xdr:colOff>0</xdr:colOff>
      <xdr:row>24</xdr:row>
      <xdr:rowOff>171450</xdr:rowOff>
    </xdr:to>
    <xdr:sp macro="" textlink="">
      <xdr:nvSpPr>
        <xdr:cNvPr id="47" name="Line 4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ShapeType="1"/>
        </xdr:cNvSpPr>
      </xdr:nvSpPr>
      <xdr:spPr bwMode="auto">
        <a:xfrm flipV="1">
          <a:off x="6282690" y="5909310"/>
          <a:ext cx="296799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23</xdr:row>
      <xdr:rowOff>180975</xdr:rowOff>
    </xdr:from>
    <xdr:to>
      <xdr:col>17</xdr:col>
      <xdr:colOff>9525</xdr:colOff>
      <xdr:row>23</xdr:row>
      <xdr:rowOff>180975</xdr:rowOff>
    </xdr:to>
    <xdr:sp macro="" textlink="">
      <xdr:nvSpPr>
        <xdr:cNvPr id="48" name="Line 4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ShapeType="1"/>
        </xdr:cNvSpPr>
      </xdr:nvSpPr>
      <xdr:spPr bwMode="auto">
        <a:xfrm>
          <a:off x="8823960" y="5713095"/>
          <a:ext cx="214312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9525</xdr:colOff>
      <xdr:row>26</xdr:row>
      <xdr:rowOff>161925</xdr:rowOff>
    </xdr:from>
    <xdr:to>
      <xdr:col>12</xdr:col>
      <xdr:colOff>28575</xdr:colOff>
      <xdr:row>26</xdr:row>
      <xdr:rowOff>161925</xdr:rowOff>
    </xdr:to>
    <xdr:sp macro="" textlink="">
      <xdr:nvSpPr>
        <xdr:cNvPr id="49" name="Line 4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ShapeType="1"/>
        </xdr:cNvSpPr>
      </xdr:nvSpPr>
      <xdr:spPr bwMode="auto">
        <a:xfrm flipV="1">
          <a:off x="7980045" y="6311265"/>
          <a:ext cx="87249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9525</xdr:colOff>
      <xdr:row>25</xdr:row>
      <xdr:rowOff>171450</xdr:rowOff>
    </xdr:from>
    <xdr:to>
      <xdr:col>12</xdr:col>
      <xdr:colOff>19050</xdr:colOff>
      <xdr:row>25</xdr:row>
      <xdr:rowOff>171450</xdr:rowOff>
    </xdr:to>
    <xdr:sp macro="" textlink="">
      <xdr:nvSpPr>
        <xdr:cNvPr id="50" name="Line 46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ShapeType="1"/>
        </xdr:cNvSpPr>
      </xdr:nvSpPr>
      <xdr:spPr bwMode="auto">
        <a:xfrm flipV="1">
          <a:off x="7980045" y="6115050"/>
          <a:ext cx="862965" cy="0"/>
        </a:xfrm>
        <a:prstGeom prst="line">
          <a:avLst/>
        </a:prstGeom>
        <a:noFill/>
        <a:ln w="25400">
          <a:solidFill>
            <a:srgbClr val="0000FF"/>
          </a:solidFill>
          <a:prstDash val="dash"/>
          <a:round/>
          <a:headEnd type="oval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7772</xdr:colOff>
      <xdr:row>20</xdr:row>
      <xdr:rowOff>155098</xdr:rowOff>
    </xdr:from>
    <xdr:to>
      <xdr:col>11</xdr:col>
      <xdr:colOff>233749</xdr:colOff>
      <xdr:row>24</xdr:row>
      <xdr:rowOff>204923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DC00DCC3-8FA4-4FE7-A2FA-78BDA71E30D5}"/>
            </a:ext>
          </a:extLst>
        </xdr:cNvPr>
        <xdr:cNvSpPr/>
      </xdr:nvSpPr>
      <xdr:spPr>
        <a:xfrm rot="20503159">
          <a:off x="4817897" y="5098573"/>
          <a:ext cx="3835952" cy="888025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 editAs="oneCell">
    <xdr:from>
      <xdr:col>0</xdr:col>
      <xdr:colOff>352426</xdr:colOff>
      <xdr:row>0</xdr:row>
      <xdr:rowOff>66676</xdr:rowOff>
    </xdr:from>
    <xdr:to>
      <xdr:col>1</xdr:col>
      <xdr:colOff>762000</xdr:colOff>
      <xdr:row>1</xdr:row>
      <xdr:rowOff>323850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1AF8223-8938-452F-8BBB-49560F9DE3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123826"/>
          <a:ext cx="1523999" cy="6381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302731</xdr:colOff>
      <xdr:row>0</xdr:row>
      <xdr:rowOff>57977</xdr:rowOff>
    </xdr:from>
    <xdr:to>
      <xdr:col>1</xdr:col>
      <xdr:colOff>720588</xdr:colOff>
      <xdr:row>1</xdr:row>
      <xdr:rowOff>207065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B63B5A-1020-4A9A-9FCA-B4C7ACFD1B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7" y="115955"/>
          <a:ext cx="815422" cy="3561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66260</xdr:rowOff>
    </xdr:from>
    <xdr:to>
      <xdr:col>3</xdr:col>
      <xdr:colOff>268771</xdr:colOff>
      <xdr:row>0</xdr:row>
      <xdr:rowOff>422413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213D92-2F33-4616-AB97-DB93B57127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392" y="124238"/>
          <a:ext cx="815422" cy="356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85726</xdr:rowOff>
    </xdr:from>
    <xdr:to>
      <xdr:col>1</xdr:col>
      <xdr:colOff>485774</xdr:colOff>
      <xdr:row>1</xdr:row>
      <xdr:rowOff>222804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2C2C7A-FD52-4DBE-AB7B-02382CD05F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142876"/>
          <a:ext cx="942975" cy="384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81"/>
  <sheetViews>
    <sheetView showGridLines="0" view="pageBreakPreview" zoomScale="55" zoomScaleNormal="55" zoomScaleSheetLayoutView="55" workbookViewId="0">
      <selection activeCell="N29" sqref="N29"/>
    </sheetView>
  </sheetViews>
  <sheetFormatPr defaultColWidth="9" defaultRowHeight="17.25"/>
  <cols>
    <col min="1" max="1" width="22.625" style="13" customWidth="1"/>
    <col min="2" max="2" width="28.625" style="13" customWidth="1"/>
    <col min="3" max="3" width="21.125" style="14" customWidth="1"/>
    <col min="4" max="4" width="16.625" style="15" customWidth="1"/>
    <col min="5" max="49" width="7.125" style="13" customWidth="1"/>
    <col min="50" max="50" width="6.875" style="13" customWidth="1"/>
    <col min="51" max="54" width="15.625" style="13" customWidth="1"/>
    <col min="55" max="16384" width="9" style="13"/>
  </cols>
  <sheetData>
    <row r="1" spans="1:50" ht="39.950000000000003" customHeight="1">
      <c r="A1" s="435"/>
      <c r="B1" s="435"/>
      <c r="C1" s="436" t="s">
        <v>25</v>
      </c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8"/>
      <c r="AM1" s="445" t="s">
        <v>26</v>
      </c>
      <c r="AN1" s="445"/>
      <c r="AO1" s="445"/>
      <c r="AP1" s="445"/>
      <c r="AQ1" s="445" t="s">
        <v>27</v>
      </c>
      <c r="AR1" s="445"/>
      <c r="AS1" s="445"/>
      <c r="AT1" s="445"/>
      <c r="AU1" s="445" t="s">
        <v>28</v>
      </c>
      <c r="AV1" s="445"/>
      <c r="AW1" s="445"/>
      <c r="AX1" s="445"/>
    </row>
    <row r="2" spans="1:50" ht="50.1" customHeight="1">
      <c r="A2" s="435"/>
      <c r="B2" s="435"/>
      <c r="C2" s="439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1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</row>
    <row r="3" spans="1:50" ht="50.1" customHeight="1">
      <c r="A3" s="447" t="s">
        <v>29</v>
      </c>
      <c r="B3" s="447"/>
      <c r="C3" s="439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1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</row>
    <row r="4" spans="1:50" ht="39.950000000000003" customHeight="1">
      <c r="A4" s="447"/>
      <c r="B4" s="447"/>
      <c r="C4" s="442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4"/>
      <c r="AM4" s="448" t="s">
        <v>30</v>
      </c>
      <c r="AN4" s="449"/>
      <c r="AO4" s="449"/>
      <c r="AP4" s="449"/>
      <c r="AQ4" s="449"/>
      <c r="AR4" s="450"/>
      <c r="AS4" s="451" t="s">
        <v>31</v>
      </c>
      <c r="AT4" s="452"/>
      <c r="AU4" s="452"/>
      <c r="AV4" s="452"/>
      <c r="AW4" s="452"/>
      <c r="AX4" s="453"/>
    </row>
    <row r="5" spans="1:50" s="20" customFormat="1" ht="51" customHeight="1">
      <c r="A5" s="16" t="s">
        <v>32</v>
      </c>
      <c r="B5" s="17"/>
      <c r="C5" s="18"/>
      <c r="D5" s="19"/>
      <c r="AX5" s="21"/>
    </row>
    <row r="6" spans="1:50" ht="18" customHeight="1">
      <c r="A6" s="454" t="s">
        <v>33</v>
      </c>
      <c r="B6" s="454" t="s">
        <v>34</v>
      </c>
      <c r="C6" s="457" t="s">
        <v>35</v>
      </c>
      <c r="D6" s="460" t="s">
        <v>36</v>
      </c>
      <c r="E6" s="463" t="s">
        <v>37</v>
      </c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5"/>
      <c r="Z6" s="463" t="s">
        <v>38</v>
      </c>
      <c r="AA6" s="464"/>
      <c r="AB6" s="464"/>
      <c r="AC6" s="464"/>
      <c r="AD6" s="464"/>
      <c r="AE6" s="464"/>
      <c r="AF6" s="464"/>
      <c r="AG6" s="464"/>
      <c r="AH6" s="464"/>
      <c r="AI6" s="464"/>
      <c r="AJ6" s="464"/>
      <c r="AK6" s="464"/>
      <c r="AL6" s="464"/>
      <c r="AM6" s="464"/>
      <c r="AN6" s="464"/>
      <c r="AO6" s="464"/>
      <c r="AP6" s="464"/>
      <c r="AQ6" s="464"/>
      <c r="AR6" s="464"/>
      <c r="AS6" s="464"/>
      <c r="AT6" s="464"/>
      <c r="AU6" s="464"/>
      <c r="AV6" s="464"/>
      <c r="AW6" s="464"/>
      <c r="AX6" s="466" t="s">
        <v>39</v>
      </c>
    </row>
    <row r="7" spans="1:50" s="23" customFormat="1" ht="18" customHeight="1">
      <c r="A7" s="455"/>
      <c r="B7" s="455"/>
      <c r="C7" s="458"/>
      <c r="D7" s="461"/>
      <c r="E7" s="469" t="s">
        <v>40</v>
      </c>
      <c r="F7" s="469"/>
      <c r="G7" s="469"/>
      <c r="H7" s="463" t="s">
        <v>41</v>
      </c>
      <c r="I7" s="464"/>
      <c r="J7" s="465"/>
      <c r="K7" s="469" t="s">
        <v>42</v>
      </c>
      <c r="L7" s="469"/>
      <c r="M7" s="469"/>
      <c r="N7" s="463" t="s">
        <v>43</v>
      </c>
      <c r="O7" s="464"/>
      <c r="P7" s="465"/>
      <c r="Q7" s="469" t="s">
        <v>44</v>
      </c>
      <c r="R7" s="469"/>
      <c r="S7" s="469"/>
      <c r="T7" s="463" t="s">
        <v>45</v>
      </c>
      <c r="U7" s="464"/>
      <c r="V7" s="465"/>
      <c r="W7" s="469" t="s">
        <v>46</v>
      </c>
      <c r="X7" s="469"/>
      <c r="Y7" s="469"/>
      <c r="Z7" s="463" t="s">
        <v>47</v>
      </c>
      <c r="AA7" s="464"/>
      <c r="AB7" s="465"/>
      <c r="AC7" s="469" t="s">
        <v>48</v>
      </c>
      <c r="AD7" s="469"/>
      <c r="AE7" s="469"/>
      <c r="AF7" s="463" t="s">
        <v>49</v>
      </c>
      <c r="AG7" s="464"/>
      <c r="AH7" s="465"/>
      <c r="AI7" s="469" t="s">
        <v>50</v>
      </c>
      <c r="AJ7" s="469"/>
      <c r="AK7" s="469"/>
      <c r="AL7" s="463" t="s">
        <v>51</v>
      </c>
      <c r="AM7" s="464"/>
      <c r="AN7" s="465"/>
      <c r="AO7" s="469" t="s">
        <v>52</v>
      </c>
      <c r="AP7" s="469"/>
      <c r="AQ7" s="469"/>
      <c r="AR7" s="463" t="s">
        <v>53</v>
      </c>
      <c r="AS7" s="464"/>
      <c r="AT7" s="465"/>
      <c r="AU7" s="469" t="s">
        <v>42</v>
      </c>
      <c r="AV7" s="469"/>
      <c r="AW7" s="469"/>
      <c r="AX7" s="467"/>
    </row>
    <row r="8" spans="1:50" ht="18" customHeight="1" thickBot="1">
      <c r="A8" s="456"/>
      <c r="B8" s="456"/>
      <c r="C8" s="459"/>
      <c r="D8" s="462"/>
      <c r="E8" s="24">
        <v>10</v>
      </c>
      <c r="F8" s="25">
        <v>20</v>
      </c>
      <c r="G8" s="26">
        <v>30</v>
      </c>
      <c r="H8" s="24">
        <v>10</v>
      </c>
      <c r="I8" s="25">
        <v>20</v>
      </c>
      <c r="J8" s="26">
        <v>30</v>
      </c>
      <c r="K8" s="24">
        <v>10</v>
      </c>
      <c r="L8" s="25">
        <v>20</v>
      </c>
      <c r="M8" s="26">
        <v>30</v>
      </c>
      <c r="N8" s="24">
        <v>10</v>
      </c>
      <c r="O8" s="25">
        <v>20</v>
      </c>
      <c r="P8" s="26">
        <v>30</v>
      </c>
      <c r="Q8" s="24">
        <v>10</v>
      </c>
      <c r="R8" s="25">
        <v>20</v>
      </c>
      <c r="S8" s="26">
        <v>30</v>
      </c>
      <c r="T8" s="24">
        <v>10</v>
      </c>
      <c r="U8" s="25">
        <v>20</v>
      </c>
      <c r="V8" s="26">
        <v>30</v>
      </c>
      <c r="W8" s="24">
        <v>10</v>
      </c>
      <c r="X8" s="25">
        <v>20</v>
      </c>
      <c r="Y8" s="26">
        <v>30</v>
      </c>
      <c r="Z8" s="24">
        <v>10</v>
      </c>
      <c r="AA8" s="25">
        <v>20</v>
      </c>
      <c r="AB8" s="26">
        <v>30</v>
      </c>
      <c r="AC8" s="24">
        <v>10</v>
      </c>
      <c r="AD8" s="25">
        <v>20</v>
      </c>
      <c r="AE8" s="26">
        <v>30</v>
      </c>
      <c r="AF8" s="24">
        <v>10</v>
      </c>
      <c r="AG8" s="25">
        <v>20</v>
      </c>
      <c r="AH8" s="26">
        <v>30</v>
      </c>
      <c r="AI8" s="24">
        <v>10</v>
      </c>
      <c r="AJ8" s="25">
        <v>20</v>
      </c>
      <c r="AK8" s="26">
        <v>30</v>
      </c>
      <c r="AL8" s="24">
        <v>10</v>
      </c>
      <c r="AM8" s="25">
        <v>20</v>
      </c>
      <c r="AN8" s="26">
        <v>30</v>
      </c>
      <c r="AO8" s="24">
        <v>10</v>
      </c>
      <c r="AP8" s="25">
        <v>20</v>
      </c>
      <c r="AQ8" s="26">
        <v>30</v>
      </c>
      <c r="AR8" s="24">
        <v>10</v>
      </c>
      <c r="AS8" s="25">
        <v>20</v>
      </c>
      <c r="AT8" s="26">
        <v>30</v>
      </c>
      <c r="AU8" s="24">
        <v>10</v>
      </c>
      <c r="AV8" s="25">
        <v>20</v>
      </c>
      <c r="AW8" s="26">
        <v>30</v>
      </c>
      <c r="AX8" s="468"/>
    </row>
    <row r="9" spans="1:50" ht="20.100000000000001" customHeight="1" thickTop="1">
      <c r="A9" s="470" t="s">
        <v>54</v>
      </c>
      <c r="B9" s="471"/>
      <c r="C9" s="471"/>
      <c r="D9" s="472"/>
      <c r="E9" s="28"/>
      <c r="F9" s="29"/>
      <c r="G9" s="30"/>
      <c r="H9" s="28"/>
      <c r="I9" s="29"/>
      <c r="J9" s="30"/>
      <c r="K9" s="28"/>
      <c r="L9" s="29"/>
      <c r="M9" s="30"/>
      <c r="N9" s="28"/>
      <c r="O9" s="29"/>
      <c r="P9" s="30"/>
      <c r="Q9" s="28"/>
      <c r="R9" s="29"/>
      <c r="S9" s="30"/>
      <c r="T9" s="28"/>
      <c r="U9" s="29"/>
      <c r="V9" s="30"/>
      <c r="W9" s="28"/>
      <c r="X9" s="29"/>
      <c r="Y9" s="30"/>
      <c r="Z9" s="28"/>
      <c r="AA9" s="29"/>
      <c r="AB9" s="30"/>
      <c r="AC9" s="28"/>
      <c r="AD9" s="29"/>
      <c r="AE9" s="30"/>
      <c r="AF9" s="28"/>
      <c r="AG9" s="29"/>
      <c r="AH9" s="30"/>
      <c r="AI9" s="28"/>
      <c r="AJ9" s="29"/>
      <c r="AK9" s="30"/>
      <c r="AL9" s="28"/>
      <c r="AM9" s="29"/>
      <c r="AN9" s="30"/>
      <c r="AO9" s="28"/>
      <c r="AP9" s="29"/>
      <c r="AQ9" s="30"/>
      <c r="AR9" s="28"/>
      <c r="AS9" s="29"/>
      <c r="AT9" s="30"/>
      <c r="AU9" s="28"/>
      <c r="AV9" s="29"/>
      <c r="AW9" s="30"/>
      <c r="AX9" s="31"/>
    </row>
    <row r="10" spans="1:50" ht="20.100000000000001" customHeight="1">
      <c r="A10" s="473"/>
      <c r="B10" s="474"/>
      <c r="C10" s="474"/>
      <c r="D10" s="475"/>
      <c r="E10" s="32"/>
      <c r="F10" s="33"/>
      <c r="G10" s="34"/>
      <c r="H10" s="32"/>
      <c r="I10" s="33"/>
      <c r="J10" s="34"/>
      <c r="K10" s="35"/>
      <c r="L10" s="33"/>
      <c r="M10" s="36"/>
      <c r="N10" s="35"/>
      <c r="O10" s="33"/>
      <c r="P10" s="36"/>
      <c r="Q10" s="35"/>
      <c r="R10" s="37"/>
      <c r="S10" s="36"/>
      <c r="T10" s="32"/>
      <c r="U10" s="33"/>
      <c r="V10" s="36"/>
      <c r="W10" s="35"/>
      <c r="X10" s="33"/>
      <c r="Y10" s="34"/>
      <c r="Z10" s="32"/>
      <c r="AA10" s="33"/>
      <c r="AB10" s="36"/>
      <c r="AC10" s="32"/>
      <c r="AD10" s="33"/>
      <c r="AE10" s="36"/>
      <c r="AF10" s="35"/>
      <c r="AG10" s="33"/>
      <c r="AH10" s="36"/>
      <c r="AI10" s="32"/>
      <c r="AJ10" s="37"/>
      <c r="AK10" s="36"/>
      <c r="AL10" s="32"/>
      <c r="AM10" s="33"/>
      <c r="AN10" s="34"/>
      <c r="AO10" s="32"/>
      <c r="AP10" s="33"/>
      <c r="AQ10" s="36"/>
      <c r="AR10" s="32"/>
      <c r="AS10" s="33"/>
      <c r="AT10" s="36"/>
      <c r="AU10" s="32"/>
      <c r="AV10" s="33"/>
      <c r="AW10" s="36"/>
      <c r="AX10" s="38"/>
    </row>
    <row r="11" spans="1:50" s="43" customFormat="1" ht="20.100000000000001" customHeight="1">
      <c r="A11" s="476"/>
      <c r="B11" s="477"/>
      <c r="C11" s="477"/>
      <c r="D11" s="478"/>
      <c r="E11" s="39"/>
      <c r="F11" s="40"/>
      <c r="G11" s="41"/>
      <c r="H11" s="39"/>
      <c r="I11" s="40"/>
      <c r="J11" s="41"/>
      <c r="K11" s="39"/>
      <c r="L11" s="40"/>
      <c r="M11" s="41"/>
      <c r="N11" s="39"/>
      <c r="O11" s="40"/>
      <c r="P11" s="41"/>
      <c r="Q11" s="39"/>
      <c r="R11" s="40"/>
      <c r="S11" s="41"/>
      <c r="T11" s="39"/>
      <c r="U11" s="40"/>
      <c r="V11" s="41"/>
      <c r="W11" s="39"/>
      <c r="X11" s="40"/>
      <c r="Y11" s="41"/>
      <c r="Z11" s="39"/>
      <c r="AA11" s="40"/>
      <c r="AB11" s="41"/>
      <c r="AC11" s="39"/>
      <c r="AD11" s="40"/>
      <c r="AE11" s="41"/>
      <c r="AF11" s="39"/>
      <c r="AG11" s="40"/>
      <c r="AH11" s="41"/>
      <c r="AI11" s="39"/>
      <c r="AJ11" s="40"/>
      <c r="AK11" s="41"/>
      <c r="AL11" s="39"/>
      <c r="AM11" s="40"/>
      <c r="AN11" s="41"/>
      <c r="AO11" s="39"/>
      <c r="AP11" s="40"/>
      <c r="AQ11" s="41"/>
      <c r="AR11" s="39"/>
      <c r="AS11" s="40"/>
      <c r="AT11" s="41"/>
      <c r="AU11" s="39"/>
      <c r="AV11" s="40"/>
      <c r="AW11" s="41"/>
      <c r="AX11" s="42"/>
    </row>
    <row r="12" spans="1:50" s="43" customFormat="1" ht="18" customHeight="1">
      <c r="A12" s="479" t="s">
        <v>55</v>
      </c>
      <c r="B12" s="481"/>
      <c r="C12" s="483"/>
      <c r="D12" s="485"/>
      <c r="E12" s="44"/>
      <c r="F12" s="45"/>
      <c r="G12" s="46"/>
      <c r="H12" s="47"/>
      <c r="I12" s="48"/>
      <c r="J12" s="46"/>
      <c r="K12" s="47"/>
      <c r="L12" s="45"/>
      <c r="M12" s="46"/>
      <c r="N12" s="44"/>
      <c r="O12" s="45"/>
      <c r="P12" s="46"/>
      <c r="Q12" s="49"/>
      <c r="R12" s="50"/>
      <c r="S12" s="46"/>
      <c r="T12" s="44"/>
      <c r="U12" s="45"/>
      <c r="V12" s="46"/>
      <c r="W12" s="44"/>
      <c r="X12" s="45"/>
      <c r="Y12" s="46"/>
      <c r="Z12" s="44"/>
      <c r="AA12" s="45"/>
      <c r="AB12" s="46"/>
      <c r="AC12" s="44"/>
      <c r="AD12" s="45"/>
      <c r="AE12" s="51"/>
      <c r="AF12" s="47"/>
      <c r="AG12" s="48"/>
      <c r="AH12" s="51"/>
      <c r="AI12" s="47"/>
      <c r="AJ12" s="48"/>
      <c r="AK12" s="51"/>
      <c r="AL12" s="44"/>
      <c r="AM12" s="45"/>
      <c r="AN12" s="46"/>
      <c r="AO12" s="44"/>
      <c r="AP12" s="45"/>
      <c r="AQ12" s="46"/>
      <c r="AR12" s="44"/>
      <c r="AS12" s="45"/>
      <c r="AT12" s="46"/>
      <c r="AU12" s="44"/>
      <c r="AV12" s="45"/>
      <c r="AW12" s="46"/>
      <c r="AX12" s="52"/>
    </row>
    <row r="13" spans="1:50" s="43" customFormat="1" ht="18" customHeight="1">
      <c r="A13" s="480"/>
      <c r="B13" s="482"/>
      <c r="C13" s="484"/>
      <c r="D13" s="486"/>
      <c r="E13" s="44"/>
      <c r="F13" s="45"/>
      <c r="G13" s="46"/>
      <c r="H13" s="44"/>
      <c r="I13" s="53"/>
      <c r="J13" s="46"/>
      <c r="K13" s="44"/>
      <c r="L13" s="53"/>
      <c r="M13" s="54"/>
      <c r="N13" s="44"/>
      <c r="O13" s="45"/>
      <c r="P13" s="46"/>
      <c r="Q13" s="49"/>
      <c r="R13" s="45"/>
      <c r="S13" s="46"/>
      <c r="T13" s="44"/>
      <c r="U13" s="45"/>
      <c r="V13" s="46"/>
      <c r="W13" s="44"/>
      <c r="X13" s="45"/>
      <c r="Y13" s="46"/>
      <c r="Z13" s="44"/>
      <c r="AA13" s="45"/>
      <c r="AB13" s="46"/>
      <c r="AC13" s="44"/>
      <c r="AD13" s="45"/>
      <c r="AE13" s="46"/>
      <c r="AF13" s="44"/>
      <c r="AG13" s="45"/>
      <c r="AH13" s="46"/>
      <c r="AI13" s="44"/>
      <c r="AJ13" s="45"/>
      <c r="AK13" s="46"/>
      <c r="AL13" s="44"/>
      <c r="AM13" s="45"/>
      <c r="AN13" s="46"/>
      <c r="AO13" s="44"/>
      <c r="AP13" s="45"/>
      <c r="AQ13" s="46"/>
      <c r="AR13" s="44"/>
      <c r="AS13" s="45"/>
      <c r="AT13" s="46"/>
      <c r="AU13" s="44"/>
      <c r="AV13" s="45"/>
      <c r="AW13" s="46"/>
      <c r="AX13" s="52"/>
    </row>
    <row r="14" spans="1:50" s="43" customFormat="1" ht="18" customHeight="1">
      <c r="A14" s="480"/>
      <c r="B14" s="482"/>
      <c r="C14" s="484"/>
      <c r="D14" s="486"/>
      <c r="E14" s="47"/>
      <c r="F14" s="48"/>
      <c r="G14" s="46"/>
      <c r="H14" s="47"/>
      <c r="I14" s="45"/>
      <c r="J14" s="46"/>
      <c r="K14" s="47"/>
      <c r="L14" s="48"/>
      <c r="M14" s="51"/>
      <c r="N14" s="44"/>
      <c r="O14" s="48"/>
      <c r="P14" s="51"/>
      <c r="Q14" s="47"/>
      <c r="R14" s="55"/>
      <c r="S14" s="46"/>
      <c r="T14" s="44"/>
      <c r="U14" s="45"/>
      <c r="V14" s="46"/>
      <c r="W14" s="44"/>
      <c r="X14" s="55"/>
      <c r="Y14" s="46"/>
      <c r="Z14" s="44"/>
      <c r="AA14" s="45"/>
      <c r="AB14" s="46"/>
      <c r="AC14" s="47"/>
      <c r="AD14" s="48"/>
      <c r="AE14" s="51"/>
      <c r="AF14" s="47"/>
      <c r="AG14" s="48"/>
      <c r="AH14" s="51"/>
      <c r="AI14" s="44"/>
      <c r="AJ14" s="45"/>
      <c r="AK14" s="46"/>
      <c r="AL14" s="44"/>
      <c r="AM14" s="45"/>
      <c r="AN14" s="46"/>
      <c r="AO14" s="44"/>
      <c r="AP14" s="45"/>
      <c r="AQ14" s="46"/>
      <c r="AR14" s="44"/>
      <c r="AS14" s="45"/>
      <c r="AT14" s="46"/>
      <c r="AU14" s="44"/>
      <c r="AV14" s="45"/>
      <c r="AW14" s="46"/>
      <c r="AX14" s="52"/>
    </row>
    <row r="15" spans="1:50" s="43" customFormat="1" ht="18" customHeight="1">
      <c r="A15" s="480"/>
      <c r="B15" s="482"/>
      <c r="C15" s="484"/>
      <c r="D15" s="486"/>
      <c r="E15" s="44"/>
      <c r="F15" s="45"/>
      <c r="G15" s="46"/>
      <c r="H15" s="44"/>
      <c r="I15" s="45"/>
      <c r="J15" s="46"/>
      <c r="K15" s="44"/>
      <c r="L15" s="45"/>
      <c r="M15" s="46"/>
      <c r="N15" s="44"/>
      <c r="O15" s="45"/>
      <c r="P15" s="46"/>
      <c r="Q15" s="49"/>
      <c r="R15" s="50"/>
      <c r="S15" s="46"/>
      <c r="T15" s="44"/>
      <c r="U15" s="45"/>
      <c r="V15" s="46"/>
      <c r="W15" s="44"/>
      <c r="X15" s="45"/>
      <c r="Y15" s="46"/>
      <c r="Z15" s="44"/>
      <c r="AA15" s="45"/>
      <c r="AB15" s="46"/>
      <c r="AC15" s="44"/>
      <c r="AD15" s="45"/>
      <c r="AE15" s="46"/>
      <c r="AF15" s="44"/>
      <c r="AG15" s="45"/>
      <c r="AH15" s="46"/>
      <c r="AI15" s="44"/>
      <c r="AJ15" s="45"/>
      <c r="AK15" s="46"/>
      <c r="AL15" s="44"/>
      <c r="AM15" s="45"/>
      <c r="AN15" s="46"/>
      <c r="AO15" s="44"/>
      <c r="AP15" s="45"/>
      <c r="AQ15" s="46"/>
      <c r="AR15" s="44"/>
      <c r="AS15" s="45"/>
      <c r="AT15" s="46"/>
      <c r="AU15" s="44"/>
      <c r="AV15" s="45"/>
      <c r="AW15" s="46"/>
      <c r="AX15" s="52"/>
    </row>
    <row r="16" spans="1:50" s="43" customFormat="1" ht="18" customHeight="1">
      <c r="A16" s="480"/>
      <c r="B16" s="487"/>
      <c r="C16" s="484"/>
      <c r="D16" s="490"/>
      <c r="E16" s="44"/>
      <c r="F16" s="45"/>
      <c r="G16" s="46"/>
      <c r="H16" s="44"/>
      <c r="I16" s="45"/>
      <c r="J16" s="51"/>
      <c r="K16" s="44"/>
      <c r="L16" s="45"/>
      <c r="M16" s="46"/>
      <c r="N16" s="44"/>
      <c r="O16" s="45"/>
      <c r="P16" s="46"/>
      <c r="Q16" s="47"/>
      <c r="R16" s="48"/>
      <c r="S16" s="51"/>
      <c r="T16" s="47"/>
      <c r="U16" s="45"/>
      <c r="V16" s="46"/>
      <c r="W16" s="44"/>
      <c r="X16" s="48"/>
      <c r="Y16" s="46"/>
      <c r="Z16" s="44"/>
      <c r="AA16" s="45"/>
      <c r="AB16" s="46"/>
      <c r="AC16" s="47"/>
      <c r="AD16" s="45"/>
      <c r="AE16" s="46"/>
      <c r="AF16" s="44"/>
      <c r="AG16" s="45"/>
      <c r="AH16" s="51"/>
      <c r="AI16" s="44"/>
      <c r="AJ16" s="48"/>
      <c r="AK16" s="46"/>
      <c r="AL16" s="44"/>
      <c r="AM16" s="45"/>
      <c r="AN16" s="46"/>
      <c r="AO16" s="44"/>
      <c r="AP16" s="45"/>
      <c r="AQ16" s="46"/>
      <c r="AR16" s="44"/>
      <c r="AS16" s="45"/>
      <c r="AT16" s="46"/>
      <c r="AU16" s="44"/>
      <c r="AV16" s="45"/>
      <c r="AW16" s="46"/>
      <c r="AX16" s="52"/>
    </row>
    <row r="17" spans="1:50" s="43" customFormat="1" ht="18" customHeight="1">
      <c r="A17" s="480"/>
      <c r="B17" s="481"/>
      <c r="C17" s="484"/>
      <c r="D17" s="485"/>
      <c r="E17" s="44"/>
      <c r="F17" s="45"/>
      <c r="G17" s="46"/>
      <c r="H17" s="44"/>
      <c r="I17" s="45"/>
      <c r="J17" s="46"/>
      <c r="K17" s="44"/>
      <c r="L17" s="45"/>
      <c r="M17" s="46"/>
      <c r="N17" s="44"/>
      <c r="O17" s="45"/>
      <c r="P17" s="46"/>
      <c r="Q17" s="49"/>
      <c r="R17" s="50"/>
      <c r="S17" s="51"/>
      <c r="T17" s="44"/>
      <c r="U17" s="45"/>
      <c r="V17" s="46"/>
      <c r="W17" s="44"/>
      <c r="X17" s="45"/>
      <c r="Y17" s="46"/>
      <c r="Z17" s="44"/>
      <c r="AA17" s="45"/>
      <c r="AB17" s="46"/>
      <c r="AC17" s="44"/>
      <c r="AD17" s="45"/>
      <c r="AE17" s="46"/>
      <c r="AF17" s="44"/>
      <c r="AG17" s="45"/>
      <c r="AH17" s="46"/>
      <c r="AI17" s="44"/>
      <c r="AJ17" s="45"/>
      <c r="AK17" s="46"/>
      <c r="AL17" s="44"/>
      <c r="AM17" s="45"/>
      <c r="AN17" s="46"/>
      <c r="AO17" s="44"/>
      <c r="AP17" s="45"/>
      <c r="AQ17" s="46"/>
      <c r="AR17" s="44"/>
      <c r="AS17" s="48"/>
      <c r="AT17" s="46"/>
      <c r="AU17" s="44"/>
      <c r="AV17" s="45"/>
      <c r="AW17" s="46"/>
      <c r="AX17" s="52"/>
    </row>
    <row r="18" spans="1:50" s="43" customFormat="1" ht="18" customHeight="1">
      <c r="A18" s="480"/>
      <c r="B18" s="487"/>
      <c r="C18" s="484"/>
      <c r="D18" s="490"/>
      <c r="E18" s="44"/>
      <c r="F18" s="45"/>
      <c r="G18" s="46"/>
      <c r="H18" s="56"/>
      <c r="I18" s="45"/>
      <c r="J18" s="46"/>
      <c r="K18" s="44"/>
      <c r="L18" s="45"/>
      <c r="M18" s="46"/>
      <c r="N18" s="44"/>
      <c r="O18" s="45"/>
      <c r="P18" s="46"/>
      <c r="Q18" s="44"/>
      <c r="R18" s="55"/>
      <c r="S18" s="51"/>
      <c r="T18" s="44"/>
      <c r="U18" s="45"/>
      <c r="V18" s="51"/>
      <c r="W18" s="47"/>
      <c r="X18" s="48"/>
      <c r="Y18" s="51"/>
      <c r="Z18" s="44"/>
      <c r="AA18" s="45"/>
      <c r="AB18" s="46"/>
      <c r="AC18" s="44"/>
      <c r="AD18" s="48"/>
      <c r="AE18" s="46"/>
      <c r="AF18" s="44"/>
      <c r="AG18" s="48"/>
      <c r="AH18" s="51"/>
      <c r="AI18" s="47"/>
      <c r="AJ18" s="45"/>
      <c r="AK18" s="46"/>
      <c r="AL18" s="44"/>
      <c r="AM18" s="45"/>
      <c r="AN18" s="46"/>
      <c r="AO18" s="44"/>
      <c r="AP18" s="45"/>
      <c r="AQ18" s="46"/>
      <c r="AR18" s="44"/>
      <c r="AS18" s="45"/>
      <c r="AT18" s="46"/>
      <c r="AU18" s="44"/>
      <c r="AV18" s="45"/>
      <c r="AW18" s="46"/>
      <c r="AX18" s="52"/>
    </row>
    <row r="19" spans="1:50" s="43" customFormat="1" ht="18" customHeight="1">
      <c r="A19" s="480"/>
      <c r="B19" s="481"/>
      <c r="C19" s="484"/>
      <c r="D19" s="485"/>
      <c r="E19" s="44"/>
      <c r="F19" s="45"/>
      <c r="G19" s="46"/>
      <c r="H19" s="56"/>
      <c r="I19" s="45"/>
      <c r="J19" s="46"/>
      <c r="K19" s="44"/>
      <c r="L19" s="45"/>
      <c r="M19" s="46"/>
      <c r="N19" s="44"/>
      <c r="O19" s="45"/>
      <c r="P19" s="46"/>
      <c r="Q19" s="49"/>
      <c r="R19" s="50"/>
      <c r="S19" s="46"/>
      <c r="T19" s="44"/>
      <c r="U19" s="45"/>
      <c r="V19" s="46"/>
      <c r="W19" s="44"/>
      <c r="X19" s="45"/>
      <c r="Y19" s="46"/>
      <c r="Z19" s="44"/>
      <c r="AA19" s="45"/>
      <c r="AB19" s="46"/>
      <c r="AC19" s="44"/>
      <c r="AD19" s="45"/>
      <c r="AE19" s="46"/>
      <c r="AF19" s="44"/>
      <c r="AG19" s="45"/>
      <c r="AH19" s="46"/>
      <c r="AI19" s="44"/>
      <c r="AJ19" s="45"/>
      <c r="AK19" s="46"/>
      <c r="AL19" s="44"/>
      <c r="AM19" s="45"/>
      <c r="AN19" s="46"/>
      <c r="AO19" s="44"/>
      <c r="AP19" s="45"/>
      <c r="AQ19" s="46"/>
      <c r="AR19" s="44"/>
      <c r="AS19" s="45"/>
      <c r="AT19" s="46"/>
      <c r="AU19" s="44"/>
      <c r="AV19" s="45"/>
      <c r="AW19" s="46"/>
      <c r="AX19" s="52"/>
    </row>
    <row r="20" spans="1:50" s="43" customFormat="1" ht="18" customHeight="1">
      <c r="A20" s="480"/>
      <c r="B20" s="487"/>
      <c r="C20" s="484"/>
      <c r="D20" s="490"/>
      <c r="E20" s="44"/>
      <c r="F20" s="45"/>
      <c r="G20" s="46"/>
      <c r="H20" s="44"/>
      <c r="I20" s="45"/>
      <c r="J20" s="46"/>
      <c r="K20" s="44"/>
      <c r="L20" s="48"/>
      <c r="M20" s="46"/>
      <c r="N20" s="47"/>
      <c r="O20" s="48"/>
      <c r="P20" s="51"/>
      <c r="Q20" s="47"/>
      <c r="R20" s="45"/>
      <c r="S20" s="46"/>
      <c r="T20" s="47"/>
      <c r="U20" s="48"/>
      <c r="V20" s="46"/>
      <c r="W20" s="44"/>
      <c r="X20" s="45"/>
      <c r="Y20" s="46"/>
      <c r="Z20" s="44"/>
      <c r="AA20" s="45"/>
      <c r="AB20" s="51"/>
      <c r="AC20" s="44"/>
      <c r="AD20" s="45"/>
      <c r="AE20" s="46"/>
      <c r="AF20" s="44"/>
      <c r="AG20" s="45"/>
      <c r="AH20" s="51"/>
      <c r="AI20" s="44"/>
      <c r="AJ20" s="45"/>
      <c r="AK20" s="46"/>
      <c r="AL20" s="44"/>
      <c r="AM20" s="45"/>
      <c r="AN20" s="46"/>
      <c r="AO20" s="47"/>
      <c r="AP20" s="45"/>
      <c r="AQ20" s="46"/>
      <c r="AR20" s="44"/>
      <c r="AS20" s="45"/>
      <c r="AT20" s="46"/>
      <c r="AU20" s="44"/>
      <c r="AV20" s="45"/>
      <c r="AW20" s="51"/>
      <c r="AX20" s="52"/>
    </row>
    <row r="21" spans="1:50" s="43" customFormat="1" ht="18" customHeight="1">
      <c r="A21" s="480"/>
      <c r="B21" s="481"/>
      <c r="C21" s="484"/>
      <c r="D21" s="485"/>
      <c r="E21" s="44"/>
      <c r="F21" s="45"/>
      <c r="G21" s="46"/>
      <c r="H21" s="44"/>
      <c r="I21" s="45"/>
      <c r="J21" s="46"/>
      <c r="K21" s="44"/>
      <c r="L21" s="45"/>
      <c r="M21" s="46"/>
      <c r="N21" s="44"/>
      <c r="O21" s="53"/>
      <c r="P21" s="46"/>
      <c r="Q21" s="49"/>
      <c r="R21" s="57"/>
      <c r="S21" s="46"/>
      <c r="T21" s="44"/>
      <c r="U21" s="45"/>
      <c r="V21" s="46"/>
      <c r="W21" s="44"/>
      <c r="X21" s="45"/>
      <c r="Y21" s="46"/>
      <c r="Z21" s="44"/>
      <c r="AA21" s="45"/>
      <c r="AB21" s="46"/>
      <c r="AC21" s="44"/>
      <c r="AD21" s="45"/>
      <c r="AE21" s="46"/>
      <c r="AF21" s="44"/>
      <c r="AG21" s="45"/>
      <c r="AH21" s="46"/>
      <c r="AI21" s="44"/>
      <c r="AJ21" s="45"/>
      <c r="AK21" s="46"/>
      <c r="AL21" s="44"/>
      <c r="AM21" s="45"/>
      <c r="AN21" s="46"/>
      <c r="AO21" s="44"/>
      <c r="AP21" s="45"/>
      <c r="AQ21" s="46"/>
      <c r="AR21" s="44"/>
      <c r="AS21" s="45"/>
      <c r="AT21" s="46"/>
      <c r="AU21" s="44"/>
      <c r="AV21" s="45"/>
      <c r="AW21" s="46"/>
      <c r="AX21" s="52"/>
    </row>
    <row r="22" spans="1:50" s="43" customFormat="1" ht="18" customHeight="1">
      <c r="A22" s="480"/>
      <c r="B22" s="487"/>
      <c r="C22" s="484"/>
      <c r="D22" s="490"/>
      <c r="E22" s="44"/>
      <c r="F22" s="45"/>
      <c r="G22" s="58"/>
      <c r="H22" s="44"/>
      <c r="I22" s="48"/>
      <c r="J22" s="59"/>
      <c r="K22" s="47"/>
      <c r="L22" s="48"/>
      <c r="M22" s="60"/>
      <c r="N22" s="47"/>
      <c r="O22" s="45"/>
      <c r="P22" s="51"/>
      <c r="Q22" s="47"/>
      <c r="R22" s="50"/>
      <c r="S22" s="46"/>
      <c r="T22" s="44"/>
      <c r="U22" s="45"/>
      <c r="V22" s="46"/>
      <c r="W22" s="44"/>
      <c r="X22" s="45"/>
      <c r="Y22" s="46"/>
      <c r="Z22" s="47"/>
      <c r="AA22" s="45"/>
      <c r="AB22" s="51"/>
      <c r="AC22" s="44"/>
      <c r="AD22" s="48"/>
      <c r="AE22" s="46"/>
      <c r="AF22" s="44"/>
      <c r="AG22" s="48"/>
      <c r="AH22" s="46"/>
      <c r="AI22" s="47"/>
      <c r="AJ22" s="45"/>
      <c r="AK22" s="51"/>
      <c r="AL22" s="44"/>
      <c r="AM22" s="48"/>
      <c r="AN22" s="46"/>
      <c r="AO22" s="44"/>
      <c r="AP22" s="48"/>
      <c r="AQ22" s="46"/>
      <c r="AR22" s="44"/>
      <c r="AS22" s="45"/>
      <c r="AT22" s="46"/>
      <c r="AU22" s="44"/>
      <c r="AV22" s="45"/>
      <c r="AW22" s="46"/>
      <c r="AX22" s="52"/>
    </row>
    <row r="23" spans="1:50" s="43" customFormat="1" ht="18" customHeight="1">
      <c r="A23" s="480"/>
      <c r="B23" s="488"/>
      <c r="C23" s="489"/>
      <c r="D23" s="491"/>
      <c r="E23" s="44"/>
      <c r="F23" s="45"/>
      <c r="G23" s="58"/>
      <c r="H23" s="44"/>
      <c r="I23" s="45"/>
      <c r="J23" s="46"/>
      <c r="K23" s="44"/>
      <c r="L23" s="45"/>
      <c r="M23" s="46"/>
      <c r="N23" s="44"/>
      <c r="O23" s="45"/>
      <c r="P23" s="46"/>
      <c r="Q23" s="49"/>
      <c r="R23" s="50"/>
      <c r="S23" s="46"/>
      <c r="T23" s="44"/>
      <c r="U23" s="45"/>
      <c r="V23" s="46"/>
      <c r="W23" s="44"/>
      <c r="X23" s="45"/>
      <c r="Y23" s="46"/>
      <c r="Z23" s="44"/>
      <c r="AA23" s="45"/>
      <c r="AB23" s="46"/>
      <c r="AC23" s="44"/>
      <c r="AD23" s="45"/>
      <c r="AE23" s="46"/>
      <c r="AF23" s="44"/>
      <c r="AG23" s="45"/>
      <c r="AH23" s="46"/>
      <c r="AI23" s="44"/>
      <c r="AJ23" s="45"/>
      <c r="AK23" s="46"/>
      <c r="AL23" s="44"/>
      <c r="AM23" s="45"/>
      <c r="AN23" s="46"/>
      <c r="AO23" s="44"/>
      <c r="AP23" s="45"/>
      <c r="AQ23" s="46"/>
      <c r="AR23" s="44"/>
      <c r="AS23" s="45"/>
      <c r="AT23" s="46"/>
      <c r="AU23" s="44"/>
      <c r="AV23" s="45"/>
      <c r="AW23" s="46"/>
      <c r="AX23" s="52"/>
    </row>
    <row r="24" spans="1:50" s="43" customFormat="1" ht="18" customHeight="1">
      <c r="A24" s="480"/>
      <c r="B24" s="492" t="s">
        <v>56</v>
      </c>
      <c r="C24" s="494">
        <f>SUM(C12:C23)</f>
        <v>0</v>
      </c>
      <c r="D24" s="496">
        <f>SUM(D12:D23)</f>
        <v>0</v>
      </c>
      <c r="E24" s="61"/>
      <c r="F24" s="62"/>
      <c r="G24" s="63"/>
      <c r="H24" s="61"/>
      <c r="I24" s="62"/>
      <c r="J24" s="63"/>
      <c r="K24" s="61"/>
      <c r="L24" s="62"/>
      <c r="M24" s="63"/>
      <c r="N24" s="64"/>
      <c r="O24" s="62"/>
      <c r="P24" s="63"/>
      <c r="Q24" s="65"/>
      <c r="R24" s="66"/>
      <c r="S24" s="63"/>
      <c r="T24" s="61"/>
      <c r="U24" s="62"/>
      <c r="V24" s="67"/>
      <c r="W24" s="61"/>
      <c r="X24" s="62"/>
      <c r="Y24" s="63"/>
      <c r="Z24" s="61"/>
      <c r="AA24" s="62"/>
      <c r="AB24" s="63"/>
      <c r="AC24" s="61"/>
      <c r="AD24" s="62"/>
      <c r="AE24" s="68"/>
      <c r="AF24" s="61"/>
      <c r="AG24" s="69"/>
      <c r="AH24" s="63"/>
      <c r="AI24" s="64"/>
      <c r="AJ24" s="62"/>
      <c r="AK24" s="68"/>
      <c r="AL24" s="61"/>
      <c r="AM24" s="69"/>
      <c r="AN24" s="63"/>
      <c r="AO24" s="64"/>
      <c r="AP24" s="62"/>
      <c r="AQ24" s="63"/>
      <c r="AR24" s="61"/>
      <c r="AS24" s="62"/>
      <c r="AT24" s="63"/>
      <c r="AU24" s="61"/>
      <c r="AV24" s="62"/>
      <c r="AW24" s="63"/>
      <c r="AX24" s="70"/>
    </row>
    <row r="25" spans="1:50" s="43" customFormat="1" ht="18" customHeight="1">
      <c r="A25" s="480"/>
      <c r="B25" s="493"/>
      <c r="C25" s="495"/>
      <c r="D25" s="497"/>
      <c r="E25" s="71"/>
      <c r="F25" s="72"/>
      <c r="G25" s="73"/>
      <c r="H25" s="71"/>
      <c r="I25" s="72"/>
      <c r="J25" s="74"/>
      <c r="K25" s="71"/>
      <c r="L25" s="72"/>
      <c r="M25" s="74"/>
      <c r="N25" s="71"/>
      <c r="O25" s="72"/>
      <c r="P25" s="74"/>
      <c r="Q25" s="75"/>
      <c r="R25" s="76"/>
      <c r="S25" s="74"/>
      <c r="T25" s="71"/>
      <c r="U25" s="72"/>
      <c r="V25" s="74"/>
      <c r="W25" s="71"/>
      <c r="X25" s="72"/>
      <c r="Y25" s="74"/>
      <c r="Z25" s="71"/>
      <c r="AA25" s="72"/>
      <c r="AB25" s="74"/>
      <c r="AC25" s="71"/>
      <c r="AD25" s="72"/>
      <c r="AE25" s="74"/>
      <c r="AF25" s="71"/>
      <c r="AG25" s="72"/>
      <c r="AH25" s="74"/>
      <c r="AI25" s="71"/>
      <c r="AJ25" s="72"/>
      <c r="AK25" s="74"/>
      <c r="AL25" s="71"/>
      <c r="AM25" s="72"/>
      <c r="AN25" s="74"/>
      <c r="AO25" s="71"/>
      <c r="AP25" s="72"/>
      <c r="AQ25" s="74"/>
      <c r="AR25" s="71"/>
      <c r="AS25" s="72"/>
      <c r="AT25" s="74"/>
      <c r="AU25" s="71"/>
      <c r="AV25" s="72"/>
      <c r="AW25" s="74"/>
      <c r="AX25" s="77"/>
    </row>
    <row r="26" spans="1:50" s="43" customFormat="1" ht="18" customHeight="1">
      <c r="A26" s="479" t="s">
        <v>57</v>
      </c>
      <c r="B26" s="481"/>
      <c r="C26" s="483"/>
      <c r="D26" s="485"/>
      <c r="E26" s="44"/>
      <c r="F26" s="45"/>
      <c r="G26" s="46"/>
      <c r="H26" s="44"/>
      <c r="I26" s="45"/>
      <c r="J26" s="46"/>
      <c r="K26" s="44"/>
      <c r="L26" s="45"/>
      <c r="M26" s="46"/>
      <c r="N26" s="44"/>
      <c r="O26" s="45"/>
      <c r="P26" s="46"/>
      <c r="Q26" s="49"/>
      <c r="R26" s="50"/>
      <c r="S26" s="46"/>
      <c r="T26" s="44"/>
      <c r="U26" s="45"/>
      <c r="V26" s="46"/>
      <c r="W26" s="44"/>
      <c r="X26" s="45"/>
      <c r="Y26" s="46"/>
      <c r="Z26" s="44"/>
      <c r="AA26" s="45"/>
      <c r="AB26" s="46"/>
      <c r="AC26" s="44"/>
      <c r="AD26" s="48"/>
      <c r="AE26" s="51"/>
      <c r="AF26" s="44"/>
      <c r="AG26" s="48"/>
      <c r="AH26" s="46"/>
      <c r="AI26" s="47"/>
      <c r="AJ26" s="45"/>
      <c r="AK26" s="46"/>
      <c r="AL26" s="44"/>
      <c r="AM26" s="45"/>
      <c r="AN26" s="46"/>
      <c r="AO26" s="44"/>
      <c r="AP26" s="48"/>
      <c r="AQ26" s="46"/>
      <c r="AR26" s="44"/>
      <c r="AS26" s="45"/>
      <c r="AT26" s="46"/>
      <c r="AU26" s="44"/>
      <c r="AV26" s="45"/>
      <c r="AW26" s="46"/>
      <c r="AX26" s="52"/>
    </row>
    <row r="27" spans="1:50" s="43" customFormat="1" ht="18" customHeight="1">
      <c r="A27" s="480"/>
      <c r="B27" s="482"/>
      <c r="C27" s="484"/>
      <c r="D27" s="486"/>
      <c r="E27" s="44"/>
      <c r="F27" s="45"/>
      <c r="G27" s="46"/>
      <c r="H27" s="44"/>
      <c r="I27" s="45"/>
      <c r="J27" s="46"/>
      <c r="K27" s="44"/>
      <c r="L27" s="45"/>
      <c r="M27" s="46"/>
      <c r="N27" s="44"/>
      <c r="O27" s="45"/>
      <c r="P27" s="46"/>
      <c r="Q27" s="49"/>
      <c r="R27" s="50"/>
      <c r="S27" s="46"/>
      <c r="T27" s="44"/>
      <c r="U27" s="45"/>
      <c r="V27" s="46"/>
      <c r="W27" s="44"/>
      <c r="X27" s="45"/>
      <c r="Y27" s="46"/>
      <c r="Z27" s="44"/>
      <c r="AA27" s="45"/>
      <c r="AB27" s="46"/>
      <c r="AC27" s="44"/>
      <c r="AD27" s="45"/>
      <c r="AE27" s="46"/>
      <c r="AF27" s="44"/>
      <c r="AG27" s="45"/>
      <c r="AH27" s="46"/>
      <c r="AI27" s="44"/>
      <c r="AJ27" s="45"/>
      <c r="AK27" s="46"/>
      <c r="AL27" s="44"/>
      <c r="AM27" s="45"/>
      <c r="AN27" s="46"/>
      <c r="AO27" s="44"/>
      <c r="AP27" s="45"/>
      <c r="AQ27" s="46"/>
      <c r="AR27" s="44"/>
      <c r="AS27" s="45"/>
      <c r="AT27" s="46"/>
      <c r="AU27" s="44"/>
      <c r="AV27" s="45"/>
      <c r="AW27" s="46"/>
      <c r="AX27" s="52"/>
    </row>
    <row r="28" spans="1:50" s="43" customFormat="1" ht="18" customHeight="1">
      <c r="A28" s="480"/>
      <c r="B28" s="482"/>
      <c r="C28" s="484"/>
      <c r="D28" s="486"/>
      <c r="E28" s="44"/>
      <c r="F28" s="45"/>
      <c r="G28" s="46"/>
      <c r="H28" s="44"/>
      <c r="I28" s="55"/>
      <c r="J28" s="78"/>
      <c r="K28" s="79"/>
      <c r="L28" s="55"/>
      <c r="M28" s="78"/>
      <c r="N28" s="79"/>
      <c r="O28" s="55"/>
      <c r="P28" s="78"/>
      <c r="Q28" s="79"/>
      <c r="R28" s="50"/>
      <c r="S28" s="46"/>
      <c r="T28" s="44"/>
      <c r="U28" s="45"/>
      <c r="V28" s="46"/>
      <c r="W28" s="44"/>
      <c r="X28" s="45"/>
      <c r="Y28" s="46"/>
      <c r="Z28" s="47"/>
      <c r="AA28" s="45"/>
      <c r="AB28" s="46"/>
      <c r="AC28" s="44"/>
      <c r="AD28" s="45"/>
      <c r="AE28" s="46"/>
      <c r="AF28" s="47"/>
      <c r="AG28" s="48"/>
      <c r="AH28" s="46"/>
      <c r="AI28" s="47"/>
      <c r="AJ28" s="45"/>
      <c r="AK28" s="46"/>
      <c r="AL28" s="47"/>
      <c r="AM28" s="80"/>
      <c r="AN28" s="51"/>
      <c r="AO28" s="47"/>
      <c r="AP28" s="48"/>
      <c r="AQ28" s="81"/>
      <c r="AR28" s="48"/>
      <c r="AS28" s="45"/>
      <c r="AT28" s="51"/>
      <c r="AU28" s="44"/>
      <c r="AV28" s="45"/>
      <c r="AW28" s="46"/>
      <c r="AX28" s="52"/>
    </row>
    <row r="29" spans="1:50" s="43" customFormat="1" ht="18" customHeight="1">
      <c r="A29" s="480"/>
      <c r="B29" s="482"/>
      <c r="C29" s="484"/>
      <c r="D29" s="486"/>
      <c r="E29" s="44"/>
      <c r="F29" s="45"/>
      <c r="G29" s="46"/>
      <c r="H29" s="56"/>
      <c r="I29" s="55"/>
      <c r="J29" s="78"/>
      <c r="K29" s="79"/>
      <c r="L29" s="55"/>
      <c r="M29" s="78"/>
      <c r="N29" s="79"/>
      <c r="O29" s="55"/>
      <c r="P29" s="78"/>
      <c r="Q29" s="79"/>
      <c r="R29" s="50"/>
      <c r="S29" s="46"/>
      <c r="T29" s="44"/>
      <c r="U29" s="45"/>
      <c r="V29" s="46"/>
      <c r="W29" s="44"/>
      <c r="X29" s="45"/>
      <c r="Y29" s="46"/>
      <c r="Z29" s="44"/>
      <c r="AA29" s="45"/>
      <c r="AB29" s="46"/>
      <c r="AC29" s="44"/>
      <c r="AD29" s="45"/>
      <c r="AE29" s="46"/>
      <c r="AF29" s="44"/>
      <c r="AG29" s="45"/>
      <c r="AH29" s="46"/>
      <c r="AI29" s="44"/>
      <c r="AJ29" s="45"/>
      <c r="AK29" s="46"/>
      <c r="AL29" s="44"/>
      <c r="AM29" s="45"/>
      <c r="AN29" s="46"/>
      <c r="AO29" s="44"/>
      <c r="AP29" s="45"/>
      <c r="AQ29" s="46"/>
      <c r="AR29" s="44"/>
      <c r="AS29" s="45"/>
      <c r="AT29" s="46"/>
      <c r="AU29" s="44"/>
      <c r="AV29" s="45"/>
      <c r="AW29" s="46"/>
      <c r="AX29" s="52"/>
    </row>
    <row r="30" spans="1:50" s="43" customFormat="1" ht="18" customHeight="1">
      <c r="A30" s="480"/>
      <c r="B30" s="482"/>
      <c r="C30" s="484"/>
      <c r="D30" s="486"/>
      <c r="E30" s="44"/>
      <c r="F30" s="45"/>
      <c r="G30" s="46"/>
      <c r="H30" s="56"/>
      <c r="I30" s="82"/>
      <c r="J30" s="58"/>
      <c r="K30" s="56"/>
      <c r="L30" s="82"/>
      <c r="M30" s="58"/>
      <c r="N30" s="56"/>
      <c r="O30" s="82"/>
      <c r="P30" s="58"/>
      <c r="Q30" s="49"/>
      <c r="R30" s="50"/>
      <c r="S30" s="46"/>
      <c r="T30" s="44"/>
      <c r="U30" s="48"/>
      <c r="V30" s="46"/>
      <c r="W30" s="44"/>
      <c r="X30" s="45"/>
      <c r="Y30" s="46"/>
      <c r="Z30" s="44"/>
      <c r="AA30" s="48"/>
      <c r="AB30" s="46"/>
      <c r="AC30" s="47"/>
      <c r="AD30" s="45"/>
      <c r="AE30" s="51"/>
      <c r="AF30" s="44"/>
      <c r="AG30" s="45"/>
      <c r="AH30" s="46"/>
      <c r="AI30" s="44"/>
      <c r="AJ30" s="48"/>
      <c r="AK30" s="51"/>
      <c r="AL30" s="44"/>
      <c r="AM30" s="45"/>
      <c r="AN30" s="46"/>
      <c r="AO30" s="47"/>
      <c r="AP30" s="48"/>
      <c r="AQ30" s="46"/>
      <c r="AR30" s="44"/>
      <c r="AS30" s="45"/>
      <c r="AT30" s="51"/>
      <c r="AU30" s="44"/>
      <c r="AV30" s="45"/>
      <c r="AW30" s="46"/>
      <c r="AX30" s="52"/>
    </row>
    <row r="31" spans="1:50" s="43" customFormat="1" ht="18" customHeight="1">
      <c r="A31" s="480"/>
      <c r="B31" s="482"/>
      <c r="C31" s="484"/>
      <c r="D31" s="486"/>
      <c r="E31" s="44"/>
      <c r="F31" s="45"/>
      <c r="G31" s="46"/>
      <c r="H31" s="44"/>
      <c r="I31" s="45"/>
      <c r="J31" s="46"/>
      <c r="K31" s="44"/>
      <c r="L31" s="45"/>
      <c r="M31" s="46"/>
      <c r="N31" s="83"/>
      <c r="O31" s="84"/>
      <c r="P31" s="46"/>
      <c r="Q31" s="49"/>
      <c r="R31" s="50"/>
      <c r="S31" s="46"/>
      <c r="T31" s="44"/>
      <c r="U31" s="45"/>
      <c r="V31" s="46"/>
      <c r="W31" s="44"/>
      <c r="X31" s="45"/>
      <c r="Y31" s="46"/>
      <c r="Z31" s="44"/>
      <c r="AA31" s="45"/>
      <c r="AB31" s="46"/>
      <c r="AC31" s="44"/>
      <c r="AD31" s="45"/>
      <c r="AE31" s="46"/>
      <c r="AF31" s="44"/>
      <c r="AG31" s="45"/>
      <c r="AH31" s="46"/>
      <c r="AI31" s="44"/>
      <c r="AJ31" s="45"/>
      <c r="AK31" s="46"/>
      <c r="AL31" s="44"/>
      <c r="AM31" s="45"/>
      <c r="AN31" s="46"/>
      <c r="AO31" s="44"/>
      <c r="AP31" s="45"/>
      <c r="AQ31" s="46"/>
      <c r="AR31" s="44"/>
      <c r="AS31" s="45"/>
      <c r="AT31" s="46"/>
      <c r="AU31" s="44"/>
      <c r="AV31" s="45"/>
      <c r="AW31" s="46"/>
      <c r="AX31" s="52"/>
    </row>
    <row r="32" spans="1:50" s="43" customFormat="1" ht="18" customHeight="1">
      <c r="A32" s="480"/>
      <c r="B32" s="482"/>
      <c r="C32" s="484"/>
      <c r="D32" s="486"/>
      <c r="E32" s="44"/>
      <c r="F32" s="45"/>
      <c r="G32" s="46"/>
      <c r="H32" s="56"/>
      <c r="I32" s="82"/>
      <c r="J32" s="58"/>
      <c r="K32" s="56"/>
      <c r="L32" s="82"/>
      <c r="M32" s="58"/>
      <c r="N32" s="56"/>
      <c r="O32" s="82"/>
      <c r="P32" s="58"/>
      <c r="Q32" s="56"/>
      <c r="R32" s="82"/>
      <c r="S32" s="58"/>
      <c r="T32" s="56"/>
      <c r="U32" s="82"/>
      <c r="V32" s="58"/>
      <c r="W32" s="47"/>
      <c r="X32" s="45"/>
      <c r="Y32" s="46"/>
      <c r="Z32" s="44"/>
      <c r="AA32" s="45"/>
      <c r="AB32" s="46"/>
      <c r="AC32" s="44"/>
      <c r="AD32" s="45"/>
      <c r="AE32" s="51"/>
      <c r="AF32" s="44"/>
      <c r="AG32" s="45"/>
      <c r="AH32" s="46"/>
      <c r="AI32" s="44"/>
      <c r="AJ32" s="48"/>
      <c r="AK32" s="51"/>
      <c r="AL32" s="44"/>
      <c r="AM32" s="45"/>
      <c r="AN32" s="51"/>
      <c r="AO32" s="44"/>
      <c r="AP32" s="45"/>
      <c r="AQ32" s="46"/>
      <c r="AR32" s="47"/>
      <c r="AS32" s="45"/>
      <c r="AT32" s="46"/>
      <c r="AU32" s="44"/>
      <c r="AV32" s="45"/>
      <c r="AW32" s="46"/>
      <c r="AX32" s="52"/>
    </row>
    <row r="33" spans="1:50" s="43" customFormat="1" ht="18" customHeight="1">
      <c r="A33" s="480"/>
      <c r="B33" s="482"/>
      <c r="C33" s="484"/>
      <c r="D33" s="486"/>
      <c r="E33" s="44"/>
      <c r="F33" s="45"/>
      <c r="G33" s="46"/>
      <c r="H33" s="56"/>
      <c r="I33" s="82"/>
      <c r="J33" s="58"/>
      <c r="K33" s="56"/>
      <c r="L33" s="82"/>
      <c r="M33" s="78"/>
      <c r="N33" s="79"/>
      <c r="O33" s="55"/>
      <c r="P33" s="78"/>
      <c r="Q33" s="79"/>
      <c r="R33" s="55"/>
      <c r="S33" s="58"/>
      <c r="T33" s="56"/>
      <c r="U33" s="82"/>
      <c r="V33" s="58"/>
      <c r="W33" s="56"/>
      <c r="X33" s="45"/>
      <c r="Y33" s="46"/>
      <c r="Z33" s="44"/>
      <c r="AA33" s="45"/>
      <c r="AB33" s="46"/>
      <c r="AC33" s="44"/>
      <c r="AD33" s="45"/>
      <c r="AE33" s="46"/>
      <c r="AF33" s="44"/>
      <c r="AG33" s="45"/>
      <c r="AH33" s="46"/>
      <c r="AI33" s="44"/>
      <c r="AJ33" s="45"/>
      <c r="AK33" s="46"/>
      <c r="AL33" s="44"/>
      <c r="AM33" s="45"/>
      <c r="AN33" s="46"/>
      <c r="AO33" s="44"/>
      <c r="AP33" s="45"/>
      <c r="AQ33" s="46"/>
      <c r="AR33" s="44"/>
      <c r="AS33" s="45"/>
      <c r="AT33" s="46"/>
      <c r="AU33" s="44"/>
      <c r="AV33" s="45"/>
      <c r="AW33" s="46"/>
      <c r="AX33" s="52"/>
    </row>
    <row r="34" spans="1:50" s="43" customFormat="1" ht="18" customHeight="1">
      <c r="A34" s="480"/>
      <c r="B34" s="482"/>
      <c r="C34" s="484"/>
      <c r="D34" s="486"/>
      <c r="E34" s="44"/>
      <c r="F34" s="45"/>
      <c r="G34" s="46"/>
      <c r="H34" s="44"/>
      <c r="I34" s="45"/>
      <c r="J34" s="46"/>
      <c r="K34" s="44"/>
      <c r="L34" s="45"/>
      <c r="M34" s="46"/>
      <c r="N34" s="44"/>
      <c r="O34" s="45"/>
      <c r="P34" s="46"/>
      <c r="Q34" s="49"/>
      <c r="R34" s="50"/>
      <c r="S34" s="46"/>
      <c r="T34" s="44"/>
      <c r="U34" s="45"/>
      <c r="V34" s="46"/>
      <c r="W34" s="44"/>
      <c r="X34" s="45"/>
      <c r="Y34" s="46"/>
      <c r="Z34" s="44"/>
      <c r="AA34" s="45"/>
      <c r="AB34" s="46"/>
      <c r="AC34" s="44"/>
      <c r="AD34" s="45"/>
      <c r="AE34" s="51"/>
      <c r="AF34" s="44"/>
      <c r="AG34" s="48"/>
      <c r="AH34" s="46"/>
      <c r="AI34" s="85"/>
      <c r="AJ34" s="45"/>
      <c r="AK34" s="86"/>
      <c r="AL34" s="44"/>
      <c r="AM34" s="87"/>
      <c r="AN34" s="46"/>
      <c r="AO34" s="85"/>
      <c r="AP34" s="45"/>
      <c r="AQ34" s="86"/>
      <c r="AR34" s="44"/>
      <c r="AS34" s="87"/>
      <c r="AT34" s="46"/>
      <c r="AU34" s="85"/>
      <c r="AV34" s="45"/>
      <c r="AW34" s="46"/>
      <c r="AX34" s="52"/>
    </row>
    <row r="35" spans="1:50" s="43" customFormat="1" ht="18" customHeight="1">
      <c r="A35" s="480"/>
      <c r="B35" s="482"/>
      <c r="C35" s="484"/>
      <c r="D35" s="486"/>
      <c r="E35" s="44"/>
      <c r="F35" s="45"/>
      <c r="G35" s="46"/>
      <c r="H35" s="44"/>
      <c r="I35" s="45"/>
      <c r="J35" s="46"/>
      <c r="K35" s="44"/>
      <c r="L35" s="45"/>
      <c r="M35" s="46"/>
      <c r="N35" s="44"/>
      <c r="O35" s="45"/>
      <c r="P35" s="46"/>
      <c r="Q35" s="49"/>
      <c r="R35" s="50"/>
      <c r="S35" s="46"/>
      <c r="T35" s="44"/>
      <c r="U35" s="45"/>
      <c r="V35" s="46"/>
      <c r="W35" s="44"/>
      <c r="X35" s="45"/>
      <c r="Y35" s="46"/>
      <c r="Z35" s="44"/>
      <c r="AA35" s="45"/>
      <c r="AB35" s="46"/>
      <c r="AC35" s="44"/>
      <c r="AD35" s="45"/>
      <c r="AE35" s="46"/>
      <c r="AF35" s="44"/>
      <c r="AG35" s="45"/>
      <c r="AH35" s="46"/>
      <c r="AI35" s="44"/>
      <c r="AJ35" s="45"/>
      <c r="AK35" s="51"/>
      <c r="AL35" s="44"/>
      <c r="AM35" s="45"/>
      <c r="AN35" s="46"/>
      <c r="AO35" s="44"/>
      <c r="AP35" s="45"/>
      <c r="AQ35" s="46"/>
      <c r="AR35" s="44"/>
      <c r="AS35" s="45"/>
      <c r="AT35" s="46"/>
      <c r="AU35" s="44"/>
      <c r="AV35" s="45"/>
      <c r="AW35" s="46"/>
      <c r="AX35" s="52"/>
    </row>
    <row r="36" spans="1:50" s="43" customFormat="1" ht="18" customHeight="1">
      <c r="A36" s="480"/>
      <c r="B36" s="482"/>
      <c r="C36" s="484"/>
      <c r="D36" s="486"/>
      <c r="E36" s="44"/>
      <c r="F36" s="45"/>
      <c r="G36" s="46"/>
      <c r="H36" s="44"/>
      <c r="I36" s="45"/>
      <c r="J36" s="46"/>
      <c r="K36" s="44"/>
      <c r="L36" s="45"/>
      <c r="M36" s="46"/>
      <c r="N36" s="44"/>
      <c r="O36" s="45"/>
      <c r="P36" s="46"/>
      <c r="Q36" s="49"/>
      <c r="R36" s="50"/>
      <c r="S36" s="46"/>
      <c r="T36" s="44"/>
      <c r="U36" s="45"/>
      <c r="V36" s="46"/>
      <c r="W36" s="44"/>
      <c r="X36" s="45"/>
      <c r="Y36" s="46"/>
      <c r="Z36" s="44"/>
      <c r="AA36" s="45"/>
      <c r="AB36" s="46"/>
      <c r="AC36" s="44"/>
      <c r="AD36" s="45"/>
      <c r="AE36" s="46"/>
      <c r="AF36" s="47"/>
      <c r="AG36" s="48"/>
      <c r="AH36" s="46"/>
      <c r="AI36" s="44"/>
      <c r="AJ36" s="48"/>
      <c r="AK36" s="51"/>
      <c r="AL36" s="44"/>
      <c r="AM36" s="45"/>
      <c r="AN36" s="46"/>
      <c r="AO36" s="44"/>
      <c r="AP36" s="45"/>
      <c r="AQ36" s="46"/>
      <c r="AR36" s="47"/>
      <c r="AS36" s="45"/>
      <c r="AT36" s="46"/>
      <c r="AU36" s="47"/>
      <c r="AV36" s="48"/>
      <c r="AW36" s="46"/>
      <c r="AX36" s="52"/>
    </row>
    <row r="37" spans="1:50" s="43" customFormat="1" ht="18" customHeight="1">
      <c r="A37" s="480"/>
      <c r="B37" s="482"/>
      <c r="C37" s="484"/>
      <c r="D37" s="486"/>
      <c r="E37" s="44"/>
      <c r="F37" s="45"/>
      <c r="G37" s="46"/>
      <c r="H37" s="44"/>
      <c r="I37" s="82"/>
      <c r="J37" s="58"/>
      <c r="K37" s="56"/>
      <c r="L37" s="82"/>
      <c r="M37" s="46"/>
      <c r="N37" s="56"/>
      <c r="O37" s="82"/>
      <c r="P37" s="58"/>
      <c r="Q37" s="56"/>
      <c r="R37" s="50"/>
      <c r="S37" s="46"/>
      <c r="T37" s="44"/>
      <c r="U37" s="45"/>
      <c r="V37" s="46"/>
      <c r="W37" s="44"/>
      <c r="X37" s="45"/>
      <c r="Y37" s="46"/>
      <c r="Z37" s="44"/>
      <c r="AA37" s="45"/>
      <c r="AB37" s="46"/>
      <c r="AC37" s="44"/>
      <c r="AD37" s="45"/>
      <c r="AE37" s="46"/>
      <c r="AF37" s="44"/>
      <c r="AG37" s="45"/>
      <c r="AH37" s="46"/>
      <c r="AI37" s="44"/>
      <c r="AJ37" s="45"/>
      <c r="AK37" s="46"/>
      <c r="AL37" s="44"/>
      <c r="AM37" s="45"/>
      <c r="AN37" s="46"/>
      <c r="AO37" s="44"/>
      <c r="AP37" s="45"/>
      <c r="AQ37" s="46"/>
      <c r="AR37" s="44"/>
      <c r="AS37" s="45"/>
      <c r="AT37" s="46"/>
      <c r="AU37" s="44"/>
      <c r="AV37" s="45"/>
      <c r="AW37" s="46"/>
      <c r="AX37" s="52"/>
    </row>
    <row r="38" spans="1:50" s="43" customFormat="1" ht="18" customHeight="1">
      <c r="A38" s="480"/>
      <c r="B38" s="487"/>
      <c r="C38" s="484"/>
      <c r="D38" s="490"/>
      <c r="E38" s="44"/>
      <c r="F38" s="45"/>
      <c r="G38" s="46"/>
      <c r="H38" s="44"/>
      <c r="I38" s="82"/>
      <c r="J38" s="58"/>
      <c r="K38" s="56"/>
      <c r="L38" s="82"/>
      <c r="M38" s="46"/>
      <c r="N38" s="56"/>
      <c r="O38" s="82"/>
      <c r="P38" s="58"/>
      <c r="Q38" s="56"/>
      <c r="R38" s="50"/>
      <c r="S38" s="46"/>
      <c r="T38" s="44"/>
      <c r="U38" s="45"/>
      <c r="V38" s="46"/>
      <c r="W38" s="44"/>
      <c r="X38" s="45"/>
      <c r="Y38" s="46"/>
      <c r="Z38" s="44"/>
      <c r="AA38" s="45"/>
      <c r="AB38" s="46"/>
      <c r="AC38" s="44"/>
      <c r="AD38" s="45"/>
      <c r="AE38" s="46"/>
      <c r="AF38" s="44"/>
      <c r="AG38" s="45"/>
      <c r="AH38" s="51"/>
      <c r="AI38" s="44"/>
      <c r="AJ38" s="45"/>
      <c r="AK38" s="46"/>
      <c r="AL38" s="44"/>
      <c r="AM38" s="45"/>
      <c r="AN38" s="46"/>
      <c r="AO38" s="44"/>
      <c r="AP38" s="45"/>
      <c r="AQ38" s="46"/>
      <c r="AR38" s="44"/>
      <c r="AS38" s="45"/>
      <c r="AT38" s="46"/>
      <c r="AU38" s="44"/>
      <c r="AV38" s="48"/>
      <c r="AW38" s="46"/>
      <c r="AX38" s="52"/>
    </row>
    <row r="39" spans="1:50" s="43" customFormat="1" ht="18" customHeight="1">
      <c r="A39" s="480"/>
      <c r="B39" s="488"/>
      <c r="C39" s="489"/>
      <c r="D39" s="491"/>
      <c r="E39" s="44"/>
      <c r="F39" s="45"/>
      <c r="G39" s="46"/>
      <c r="H39" s="44"/>
      <c r="I39" s="82"/>
      <c r="J39" s="58"/>
      <c r="K39" s="56"/>
      <c r="L39" s="82"/>
      <c r="M39" s="46"/>
      <c r="N39" s="56"/>
      <c r="O39" s="82"/>
      <c r="P39" s="58"/>
      <c r="Q39" s="56"/>
      <c r="R39" s="50"/>
      <c r="S39" s="46"/>
      <c r="T39" s="44"/>
      <c r="U39" s="45"/>
      <c r="V39" s="46"/>
      <c r="W39" s="44"/>
      <c r="X39" s="45"/>
      <c r="Y39" s="46"/>
      <c r="Z39" s="44"/>
      <c r="AA39" s="45"/>
      <c r="AB39" s="46"/>
      <c r="AC39" s="44"/>
      <c r="AD39" s="45"/>
      <c r="AE39" s="46"/>
      <c r="AF39" s="44"/>
      <c r="AG39" s="45"/>
      <c r="AH39" s="46"/>
      <c r="AI39" s="44"/>
      <c r="AJ39" s="45"/>
      <c r="AK39" s="46"/>
      <c r="AL39" s="44"/>
      <c r="AM39" s="45"/>
      <c r="AN39" s="46"/>
      <c r="AO39" s="44"/>
      <c r="AP39" s="45"/>
      <c r="AQ39" s="46"/>
      <c r="AR39" s="44"/>
      <c r="AS39" s="45"/>
      <c r="AT39" s="46"/>
      <c r="AU39" s="44"/>
      <c r="AV39" s="45"/>
      <c r="AW39" s="46"/>
      <c r="AX39" s="52"/>
    </row>
    <row r="40" spans="1:50" s="43" customFormat="1" ht="18" customHeight="1">
      <c r="A40" s="480"/>
      <c r="B40" s="492" t="s">
        <v>56</v>
      </c>
      <c r="C40" s="494">
        <f>SUM(C26:C39)</f>
        <v>0</v>
      </c>
      <c r="D40" s="496">
        <f>SUM(D26:D39)</f>
        <v>0</v>
      </c>
      <c r="E40" s="61"/>
      <c r="F40" s="62"/>
      <c r="G40" s="63"/>
      <c r="H40" s="61"/>
      <c r="I40" s="88"/>
      <c r="J40" s="89"/>
      <c r="K40" s="90"/>
      <c r="L40" s="88"/>
      <c r="M40" s="89"/>
      <c r="N40" s="90"/>
      <c r="O40" s="88"/>
      <c r="P40" s="89"/>
      <c r="Q40" s="90"/>
      <c r="R40" s="66"/>
      <c r="S40" s="63"/>
      <c r="T40" s="61"/>
      <c r="U40" s="62"/>
      <c r="V40" s="63"/>
      <c r="W40" s="61"/>
      <c r="X40" s="62"/>
      <c r="Y40" s="63"/>
      <c r="Z40" s="61"/>
      <c r="AA40" s="62"/>
      <c r="AB40" s="63"/>
      <c r="AC40" s="61"/>
      <c r="AD40" s="62"/>
      <c r="AE40" s="63"/>
      <c r="AF40" s="61"/>
      <c r="AG40" s="62"/>
      <c r="AH40" s="63"/>
      <c r="AI40" s="61"/>
      <c r="AJ40" s="69"/>
      <c r="AK40" s="63"/>
      <c r="AL40" s="61"/>
      <c r="AM40" s="62"/>
      <c r="AN40" s="63"/>
      <c r="AO40" s="61"/>
      <c r="AP40" s="62"/>
      <c r="AQ40" s="63"/>
      <c r="AR40" s="61"/>
      <c r="AS40" s="62"/>
      <c r="AT40" s="63"/>
      <c r="AU40" s="61"/>
      <c r="AV40" s="62"/>
      <c r="AW40" s="63"/>
      <c r="AX40" s="70"/>
    </row>
    <row r="41" spans="1:50" s="43" customFormat="1" ht="18" customHeight="1">
      <c r="A41" s="498"/>
      <c r="B41" s="493"/>
      <c r="C41" s="495"/>
      <c r="D41" s="497"/>
      <c r="E41" s="71"/>
      <c r="F41" s="72"/>
      <c r="G41" s="74"/>
      <c r="H41" s="71"/>
      <c r="I41" s="72"/>
      <c r="J41" s="74"/>
      <c r="K41" s="71"/>
      <c r="L41" s="72"/>
      <c r="M41" s="74"/>
      <c r="N41" s="71"/>
      <c r="O41" s="72"/>
      <c r="P41" s="74"/>
      <c r="Q41" s="75"/>
      <c r="R41" s="76"/>
      <c r="S41" s="74"/>
      <c r="T41" s="71"/>
      <c r="U41" s="72"/>
      <c r="V41" s="74"/>
      <c r="W41" s="71"/>
      <c r="X41" s="72"/>
      <c r="Y41" s="74"/>
      <c r="Z41" s="71"/>
      <c r="AA41" s="72"/>
      <c r="AB41" s="74"/>
      <c r="AC41" s="71"/>
      <c r="AD41" s="72"/>
      <c r="AE41" s="74"/>
      <c r="AF41" s="71"/>
      <c r="AG41" s="72"/>
      <c r="AH41" s="74"/>
      <c r="AI41" s="71"/>
      <c r="AJ41" s="72"/>
      <c r="AK41" s="74"/>
      <c r="AL41" s="71"/>
      <c r="AM41" s="72"/>
      <c r="AN41" s="74"/>
      <c r="AO41" s="71"/>
      <c r="AP41" s="72"/>
      <c r="AQ41" s="74"/>
      <c r="AR41" s="71"/>
      <c r="AS41" s="72"/>
      <c r="AT41" s="74"/>
      <c r="AU41" s="71"/>
      <c r="AV41" s="72"/>
      <c r="AW41" s="74"/>
      <c r="AX41" s="77"/>
    </row>
    <row r="42" spans="1:50" s="43" customFormat="1" ht="18" customHeight="1">
      <c r="A42" s="479" t="s">
        <v>58</v>
      </c>
      <c r="B42" s="488"/>
      <c r="C42" s="483"/>
      <c r="D42" s="485"/>
      <c r="E42" s="44"/>
      <c r="F42" s="45"/>
      <c r="G42" s="46"/>
      <c r="H42" s="44"/>
      <c r="I42" s="45"/>
      <c r="J42" s="46"/>
      <c r="K42" s="44"/>
      <c r="L42" s="45"/>
      <c r="M42" s="46"/>
      <c r="N42" s="44"/>
      <c r="O42" s="45"/>
      <c r="P42" s="46"/>
      <c r="Q42" s="49"/>
      <c r="R42" s="50"/>
      <c r="S42" s="46"/>
      <c r="T42" s="44"/>
      <c r="U42" s="45"/>
      <c r="V42" s="51"/>
      <c r="W42" s="44"/>
      <c r="X42" s="45"/>
      <c r="Y42" s="46"/>
      <c r="Z42" s="91"/>
      <c r="AA42" s="45"/>
      <c r="AB42" s="46"/>
      <c r="AC42" s="44"/>
      <c r="AD42" s="45"/>
      <c r="AE42" s="51"/>
      <c r="AF42" s="47"/>
      <c r="AG42" s="48"/>
      <c r="AH42" s="51"/>
      <c r="AI42" s="47"/>
      <c r="AJ42" s="48"/>
      <c r="AK42" s="51"/>
      <c r="AL42" s="44"/>
      <c r="AM42" s="45"/>
      <c r="AN42" s="46"/>
      <c r="AO42" s="44"/>
      <c r="AP42" s="45"/>
      <c r="AQ42" s="46"/>
      <c r="AR42" s="44"/>
      <c r="AS42" s="45"/>
      <c r="AT42" s="46"/>
      <c r="AU42" s="44"/>
      <c r="AV42" s="45"/>
      <c r="AW42" s="46"/>
      <c r="AX42" s="52"/>
    </row>
    <row r="43" spans="1:50" s="43" customFormat="1" ht="18" customHeight="1">
      <c r="A43" s="480"/>
      <c r="B43" s="481"/>
      <c r="C43" s="484"/>
      <c r="D43" s="486"/>
      <c r="E43" s="44"/>
      <c r="F43" s="45"/>
      <c r="G43" s="46"/>
      <c r="H43" s="44"/>
      <c r="I43" s="45"/>
      <c r="J43" s="46"/>
      <c r="K43" s="44"/>
      <c r="L43" s="45"/>
      <c r="M43" s="46"/>
      <c r="N43" s="44"/>
      <c r="O43" s="45"/>
      <c r="P43" s="46"/>
      <c r="Q43" s="49"/>
      <c r="R43" s="50"/>
      <c r="S43" s="46"/>
      <c r="T43" s="44"/>
      <c r="U43" s="45"/>
      <c r="V43" s="46"/>
      <c r="W43" s="44"/>
      <c r="X43" s="45"/>
      <c r="Y43" s="46"/>
      <c r="Z43" s="44"/>
      <c r="AA43" s="45"/>
      <c r="AB43" s="46"/>
      <c r="AC43" s="44"/>
      <c r="AD43" s="45"/>
      <c r="AE43" s="46"/>
      <c r="AF43" s="44"/>
      <c r="AG43" s="45"/>
      <c r="AH43" s="46"/>
      <c r="AI43" s="44"/>
      <c r="AJ43" s="45"/>
      <c r="AK43" s="46"/>
      <c r="AL43" s="44"/>
      <c r="AM43" s="45"/>
      <c r="AN43" s="46"/>
      <c r="AO43" s="44"/>
      <c r="AP43" s="45"/>
      <c r="AQ43" s="46"/>
      <c r="AR43" s="44"/>
      <c r="AS43" s="45"/>
      <c r="AT43" s="46"/>
      <c r="AU43" s="44"/>
      <c r="AV43" s="45"/>
      <c r="AW43" s="46"/>
      <c r="AX43" s="52"/>
    </row>
    <row r="44" spans="1:50" s="43" customFormat="1" ht="18" customHeight="1">
      <c r="A44" s="480"/>
      <c r="B44" s="481"/>
      <c r="C44" s="484"/>
      <c r="D44" s="486"/>
      <c r="E44" s="44"/>
      <c r="F44" s="55"/>
      <c r="G44" s="78"/>
      <c r="H44" s="79"/>
      <c r="I44" s="55"/>
      <c r="J44" s="78"/>
      <c r="K44" s="79"/>
      <c r="L44" s="55"/>
      <c r="M44" s="78"/>
      <c r="N44" s="79"/>
      <c r="O44" s="55"/>
      <c r="P44" s="78"/>
      <c r="Q44" s="79"/>
      <c r="R44" s="55"/>
      <c r="S44" s="46"/>
      <c r="T44" s="44"/>
      <c r="U44" s="45"/>
      <c r="V44" s="46"/>
      <c r="W44" s="44"/>
      <c r="X44" s="45"/>
      <c r="Y44" s="46"/>
      <c r="Z44" s="44"/>
      <c r="AA44" s="45"/>
      <c r="AB44" s="46"/>
      <c r="AC44" s="44"/>
      <c r="AD44" s="45"/>
      <c r="AE44" s="51"/>
      <c r="AF44" s="44"/>
      <c r="AG44" s="45"/>
      <c r="AH44" s="46"/>
      <c r="AI44" s="91"/>
      <c r="AJ44" s="48"/>
      <c r="AK44" s="46"/>
      <c r="AL44" s="47"/>
      <c r="AM44" s="48"/>
      <c r="AN44" s="51"/>
      <c r="AO44" s="47"/>
      <c r="AP44" s="48"/>
      <c r="AQ44" s="51"/>
      <c r="AR44" s="44"/>
      <c r="AS44" s="45"/>
      <c r="AT44" s="46"/>
      <c r="AU44" s="44"/>
      <c r="AV44" s="45"/>
      <c r="AW44" s="46"/>
      <c r="AX44" s="52"/>
    </row>
    <row r="45" spans="1:50" s="43" customFormat="1" ht="18" customHeight="1">
      <c r="A45" s="480"/>
      <c r="B45" s="482"/>
      <c r="C45" s="484"/>
      <c r="D45" s="486"/>
      <c r="E45" s="44"/>
      <c r="F45" s="55"/>
      <c r="G45" s="78"/>
      <c r="H45" s="79"/>
      <c r="I45" s="55"/>
      <c r="J45" s="78"/>
      <c r="K45" s="79"/>
      <c r="L45" s="55"/>
      <c r="M45" s="78"/>
      <c r="N45" s="79"/>
      <c r="O45" s="55"/>
      <c r="P45" s="78"/>
      <c r="Q45" s="79"/>
      <c r="R45" s="55"/>
      <c r="S45" s="58"/>
      <c r="T45" s="56"/>
      <c r="U45" s="82"/>
      <c r="V45" s="58"/>
      <c r="W45" s="56"/>
      <c r="X45" s="45"/>
      <c r="Y45" s="46"/>
      <c r="Z45" s="44"/>
      <c r="AA45" s="45"/>
      <c r="AB45" s="46"/>
      <c r="AC45" s="44"/>
      <c r="AD45" s="45"/>
      <c r="AE45" s="46"/>
      <c r="AF45" s="44"/>
      <c r="AG45" s="45"/>
      <c r="AH45" s="46"/>
      <c r="AI45" s="92"/>
      <c r="AJ45" s="45"/>
      <c r="AK45" s="46"/>
      <c r="AL45" s="44"/>
      <c r="AM45" s="45"/>
      <c r="AN45" s="46"/>
      <c r="AO45" s="44"/>
      <c r="AP45" s="45"/>
      <c r="AQ45" s="46"/>
      <c r="AR45" s="44"/>
      <c r="AS45" s="45"/>
      <c r="AT45" s="46"/>
      <c r="AU45" s="44"/>
      <c r="AV45" s="45"/>
      <c r="AW45" s="46"/>
      <c r="AX45" s="52"/>
    </row>
    <row r="46" spans="1:50" s="43" customFormat="1" ht="18" customHeight="1">
      <c r="A46" s="480"/>
      <c r="B46" s="482"/>
      <c r="C46" s="484"/>
      <c r="D46" s="486"/>
      <c r="E46" s="44"/>
      <c r="F46" s="45"/>
      <c r="G46" s="46"/>
      <c r="H46" s="44"/>
      <c r="I46" s="45"/>
      <c r="J46" s="46"/>
      <c r="K46" s="44"/>
      <c r="L46" s="45"/>
      <c r="M46" s="46"/>
      <c r="N46" s="44"/>
      <c r="O46" s="45"/>
      <c r="P46" s="46"/>
      <c r="Q46" s="49"/>
      <c r="R46" s="82"/>
      <c r="S46" s="58"/>
      <c r="T46" s="56"/>
      <c r="U46" s="82"/>
      <c r="V46" s="58"/>
      <c r="W46" s="56"/>
      <c r="X46" s="45"/>
      <c r="Y46" s="46"/>
      <c r="Z46" s="44"/>
      <c r="AA46" s="45"/>
      <c r="AB46" s="46"/>
      <c r="AC46" s="44"/>
      <c r="AD46" s="45"/>
      <c r="AE46" s="51"/>
      <c r="AF46" s="44"/>
      <c r="AG46" s="45"/>
      <c r="AH46" s="46"/>
      <c r="AI46" s="44"/>
      <c r="AJ46" s="48"/>
      <c r="AK46" s="46"/>
      <c r="AL46" s="47"/>
      <c r="AM46" s="48"/>
      <c r="AN46" s="51"/>
      <c r="AO46" s="47"/>
      <c r="AP46" s="48"/>
      <c r="AQ46" s="51"/>
      <c r="AR46" s="47"/>
      <c r="AS46" s="45"/>
      <c r="AT46" s="46"/>
      <c r="AU46" s="47"/>
      <c r="AV46" s="45"/>
      <c r="AW46" s="46"/>
      <c r="AX46" s="52"/>
    </row>
    <row r="47" spans="1:50" s="43" customFormat="1" ht="18" customHeight="1">
      <c r="A47" s="480"/>
      <c r="B47" s="482"/>
      <c r="C47" s="484"/>
      <c r="D47" s="486"/>
      <c r="E47" s="44"/>
      <c r="F47" s="45"/>
      <c r="G47" s="46"/>
      <c r="H47" s="44"/>
      <c r="I47" s="45"/>
      <c r="J47" s="46"/>
      <c r="K47" s="44"/>
      <c r="L47" s="45"/>
      <c r="M47" s="46"/>
      <c r="N47" s="44"/>
      <c r="O47" s="45"/>
      <c r="P47" s="46"/>
      <c r="Q47" s="49"/>
      <c r="R47" s="50"/>
      <c r="S47" s="46"/>
      <c r="T47" s="44"/>
      <c r="U47" s="45"/>
      <c r="V47" s="46"/>
      <c r="W47" s="44"/>
      <c r="X47" s="45"/>
      <c r="Y47" s="46"/>
      <c r="Z47" s="44"/>
      <c r="AA47" s="45"/>
      <c r="AB47" s="46"/>
      <c r="AC47" s="44"/>
      <c r="AD47" s="45"/>
      <c r="AE47" s="46"/>
      <c r="AF47" s="44"/>
      <c r="AG47" s="45"/>
      <c r="AH47" s="46"/>
      <c r="AI47" s="44"/>
      <c r="AJ47" s="45"/>
      <c r="AK47" s="46"/>
      <c r="AL47" s="44"/>
      <c r="AM47" s="45"/>
      <c r="AN47" s="46"/>
      <c r="AO47" s="44"/>
      <c r="AP47" s="45"/>
      <c r="AQ47" s="46"/>
      <c r="AR47" s="44"/>
      <c r="AS47" s="45"/>
      <c r="AT47" s="46"/>
      <c r="AU47" s="44"/>
      <c r="AV47" s="45"/>
      <c r="AW47" s="46"/>
      <c r="AX47" s="52"/>
    </row>
    <row r="48" spans="1:50" s="43" customFormat="1" ht="18" customHeight="1">
      <c r="A48" s="480"/>
      <c r="B48" s="482"/>
      <c r="C48" s="484"/>
      <c r="D48" s="486"/>
      <c r="E48" s="44"/>
      <c r="F48" s="45"/>
      <c r="G48" s="46"/>
      <c r="H48" s="44"/>
      <c r="I48" s="45"/>
      <c r="J48" s="46"/>
      <c r="K48" s="44"/>
      <c r="L48" s="45"/>
      <c r="M48" s="46"/>
      <c r="N48" s="44"/>
      <c r="O48" s="45"/>
      <c r="P48" s="46"/>
      <c r="Q48" s="49"/>
      <c r="R48" s="82"/>
      <c r="S48" s="58"/>
      <c r="T48" s="56"/>
      <c r="U48" s="82"/>
      <c r="V48" s="58"/>
      <c r="W48" s="56"/>
      <c r="X48" s="45"/>
      <c r="Y48" s="46"/>
      <c r="Z48" s="44"/>
      <c r="AA48" s="45"/>
      <c r="AB48" s="46"/>
      <c r="AC48" s="44"/>
      <c r="AD48" s="45"/>
      <c r="AE48" s="46"/>
      <c r="AF48" s="44"/>
      <c r="AG48" s="45"/>
      <c r="AH48" s="51"/>
      <c r="AI48" s="44"/>
      <c r="AJ48" s="48"/>
      <c r="AK48" s="46"/>
      <c r="AL48" s="47"/>
      <c r="AM48" s="48"/>
      <c r="AN48" s="51"/>
      <c r="AO48" s="47"/>
      <c r="AP48" s="48"/>
      <c r="AQ48" s="51"/>
      <c r="AR48" s="47"/>
      <c r="AS48" s="45"/>
      <c r="AT48" s="46"/>
      <c r="AU48" s="47"/>
      <c r="AV48" s="45"/>
      <c r="AW48" s="46"/>
      <c r="AX48" s="52"/>
    </row>
    <row r="49" spans="1:50" s="43" customFormat="1" ht="18" customHeight="1">
      <c r="A49" s="480"/>
      <c r="B49" s="487"/>
      <c r="C49" s="489"/>
      <c r="D49" s="490"/>
      <c r="E49" s="44"/>
      <c r="F49" s="45"/>
      <c r="G49" s="46"/>
      <c r="H49" s="44"/>
      <c r="I49" s="45"/>
      <c r="J49" s="46"/>
      <c r="K49" s="44"/>
      <c r="L49" s="45"/>
      <c r="M49" s="46"/>
      <c r="N49" s="44"/>
      <c r="O49" s="45"/>
      <c r="P49" s="46"/>
      <c r="Q49" s="49"/>
      <c r="R49" s="50"/>
      <c r="S49" s="46"/>
      <c r="T49" s="44"/>
      <c r="U49" s="45"/>
      <c r="V49" s="46"/>
      <c r="W49" s="44"/>
      <c r="X49" s="45"/>
      <c r="Y49" s="46"/>
      <c r="Z49" s="44"/>
      <c r="AA49" s="45"/>
      <c r="AB49" s="46"/>
      <c r="AC49" s="44"/>
      <c r="AD49" s="45"/>
      <c r="AE49" s="46"/>
      <c r="AF49" s="44"/>
      <c r="AG49" s="45"/>
      <c r="AH49" s="46"/>
      <c r="AI49" s="44"/>
      <c r="AJ49" s="45"/>
      <c r="AK49" s="46"/>
      <c r="AL49" s="44"/>
      <c r="AM49" s="45"/>
      <c r="AN49" s="46"/>
      <c r="AO49" s="44"/>
      <c r="AP49" s="45"/>
      <c r="AQ49" s="46"/>
      <c r="AR49" s="44"/>
      <c r="AS49" s="45"/>
      <c r="AT49" s="46"/>
      <c r="AU49" s="44"/>
      <c r="AV49" s="45"/>
      <c r="AW49" s="46"/>
      <c r="AX49" s="52"/>
    </row>
    <row r="50" spans="1:50" s="43" customFormat="1" ht="18" customHeight="1">
      <c r="A50" s="480"/>
      <c r="B50" s="487"/>
      <c r="C50" s="484"/>
      <c r="D50" s="490"/>
      <c r="E50" s="44"/>
      <c r="F50" s="45"/>
      <c r="G50" s="46"/>
      <c r="H50" s="44"/>
      <c r="I50" s="45"/>
      <c r="J50" s="46"/>
      <c r="K50" s="44"/>
      <c r="L50" s="45"/>
      <c r="M50" s="46"/>
      <c r="N50" s="44"/>
      <c r="O50" s="45"/>
      <c r="P50" s="46"/>
      <c r="Q50" s="49"/>
      <c r="R50" s="82"/>
      <c r="S50" s="58"/>
      <c r="T50" s="56"/>
      <c r="U50" s="82"/>
      <c r="V50" s="58"/>
      <c r="W50" s="56"/>
      <c r="X50" s="45"/>
      <c r="Y50" s="46"/>
      <c r="Z50" s="44"/>
      <c r="AA50" s="45"/>
      <c r="AB50" s="46"/>
      <c r="AC50" s="44"/>
      <c r="AD50" s="45"/>
      <c r="AE50" s="46"/>
      <c r="AF50" s="44"/>
      <c r="AG50" s="45"/>
      <c r="AH50" s="46"/>
      <c r="AI50" s="44"/>
      <c r="AJ50" s="48"/>
      <c r="AK50" s="51"/>
      <c r="AL50" s="47"/>
      <c r="AM50" s="48"/>
      <c r="AN50" s="51"/>
      <c r="AO50" s="47"/>
      <c r="AP50" s="48"/>
      <c r="AQ50" s="51"/>
      <c r="AR50" s="47"/>
      <c r="AS50" s="45"/>
      <c r="AT50" s="46"/>
      <c r="AU50" s="47"/>
      <c r="AV50" s="45"/>
      <c r="AW50" s="46"/>
      <c r="AX50" s="52"/>
    </row>
    <row r="51" spans="1:50" s="43" customFormat="1" ht="18" customHeight="1">
      <c r="A51" s="480"/>
      <c r="B51" s="481"/>
      <c r="C51" s="484"/>
      <c r="D51" s="485"/>
      <c r="E51" s="44"/>
      <c r="F51" s="45"/>
      <c r="G51" s="46"/>
      <c r="H51" s="44"/>
      <c r="I51" s="45"/>
      <c r="J51" s="46"/>
      <c r="K51" s="44"/>
      <c r="L51" s="45"/>
      <c r="M51" s="46"/>
      <c r="N51" s="44"/>
      <c r="O51" s="45"/>
      <c r="P51" s="46"/>
      <c r="Q51" s="49"/>
      <c r="R51" s="50"/>
      <c r="S51" s="46"/>
      <c r="T51" s="44"/>
      <c r="U51" s="45"/>
      <c r="V51" s="46"/>
      <c r="W51" s="44"/>
      <c r="X51" s="45"/>
      <c r="Y51" s="46"/>
      <c r="Z51" s="44"/>
      <c r="AA51" s="45"/>
      <c r="AB51" s="46"/>
      <c r="AC51" s="44"/>
      <c r="AD51" s="45"/>
      <c r="AE51" s="46"/>
      <c r="AF51" s="44"/>
      <c r="AG51" s="45"/>
      <c r="AH51" s="46"/>
      <c r="AI51" s="44"/>
      <c r="AJ51" s="45"/>
      <c r="AK51" s="46"/>
      <c r="AL51" s="44"/>
      <c r="AM51" s="45"/>
      <c r="AN51" s="46"/>
      <c r="AO51" s="44"/>
      <c r="AP51" s="45"/>
      <c r="AQ51" s="46"/>
      <c r="AR51" s="44"/>
      <c r="AS51" s="45"/>
      <c r="AT51" s="46"/>
      <c r="AU51" s="44"/>
      <c r="AV51" s="45"/>
      <c r="AW51" s="46"/>
      <c r="AX51" s="52"/>
    </row>
    <row r="52" spans="1:50" s="43" customFormat="1" ht="18" customHeight="1">
      <c r="A52" s="480"/>
      <c r="B52" s="487"/>
      <c r="C52" s="484"/>
      <c r="D52" s="486"/>
      <c r="E52" s="44"/>
      <c r="F52" s="45"/>
      <c r="G52" s="46"/>
      <c r="H52" s="44"/>
      <c r="I52" s="45"/>
      <c r="J52" s="46"/>
      <c r="K52" s="44"/>
      <c r="L52" s="45"/>
      <c r="M52" s="46"/>
      <c r="N52" s="44"/>
      <c r="O52" s="45"/>
      <c r="P52" s="46"/>
      <c r="Q52" s="49"/>
      <c r="R52" s="82"/>
      <c r="S52" s="58"/>
      <c r="T52" s="56"/>
      <c r="U52" s="82"/>
      <c r="V52" s="58"/>
      <c r="W52" s="56"/>
      <c r="X52" s="45"/>
      <c r="Y52" s="46"/>
      <c r="Z52" s="44"/>
      <c r="AA52" s="45"/>
      <c r="AB52" s="46"/>
      <c r="AC52" s="44"/>
      <c r="AD52" s="45"/>
      <c r="AE52" s="46"/>
      <c r="AF52" s="44"/>
      <c r="AG52" s="45"/>
      <c r="AH52" s="46"/>
      <c r="AI52" s="44"/>
      <c r="AJ52" s="48"/>
      <c r="AK52" s="46"/>
      <c r="AL52" s="47"/>
      <c r="AM52" s="48"/>
      <c r="AN52" s="51"/>
      <c r="AO52" s="47"/>
      <c r="AP52" s="48"/>
      <c r="AQ52" s="51"/>
      <c r="AR52" s="47"/>
      <c r="AS52" s="48"/>
      <c r="AT52" s="46"/>
      <c r="AU52" s="47"/>
      <c r="AV52" s="45"/>
      <c r="AW52" s="46"/>
      <c r="AX52" s="52"/>
    </row>
    <row r="53" spans="1:50" s="43" customFormat="1" ht="18" customHeight="1">
      <c r="A53" s="480"/>
      <c r="B53" s="488"/>
      <c r="C53" s="489"/>
      <c r="D53" s="490"/>
      <c r="E53" s="44"/>
      <c r="F53" s="45"/>
      <c r="G53" s="46"/>
      <c r="H53" s="44"/>
      <c r="I53" s="45"/>
      <c r="J53" s="46"/>
      <c r="K53" s="44"/>
      <c r="L53" s="45"/>
      <c r="M53" s="46"/>
      <c r="N53" s="44"/>
      <c r="O53" s="45"/>
      <c r="P53" s="46"/>
      <c r="Q53" s="49"/>
      <c r="R53" s="50"/>
      <c r="S53" s="46"/>
      <c r="T53" s="44"/>
      <c r="U53" s="45"/>
      <c r="V53" s="46"/>
      <c r="W53" s="44"/>
      <c r="X53" s="45"/>
      <c r="Y53" s="46"/>
      <c r="Z53" s="44"/>
      <c r="AA53" s="45"/>
      <c r="AB53" s="46"/>
      <c r="AC53" s="44"/>
      <c r="AD53" s="45"/>
      <c r="AE53" s="46"/>
      <c r="AF53" s="44"/>
      <c r="AG53" s="45"/>
      <c r="AH53" s="46"/>
      <c r="AI53" s="44"/>
      <c r="AJ53" s="45"/>
      <c r="AK53" s="46"/>
      <c r="AL53" s="44"/>
      <c r="AM53" s="45"/>
      <c r="AN53" s="46"/>
      <c r="AO53" s="44"/>
      <c r="AP53" s="45"/>
      <c r="AQ53" s="46"/>
      <c r="AR53" s="44"/>
      <c r="AS53" s="45"/>
      <c r="AT53" s="46"/>
      <c r="AU53" s="44"/>
      <c r="AV53" s="45"/>
      <c r="AW53" s="46"/>
      <c r="AX53" s="52"/>
    </row>
    <row r="54" spans="1:50" s="43" customFormat="1" ht="18" customHeight="1">
      <c r="A54" s="480"/>
      <c r="B54" s="492" t="s">
        <v>56</v>
      </c>
      <c r="C54" s="494">
        <f>SUM(C42:C53)</f>
        <v>0</v>
      </c>
      <c r="D54" s="496">
        <f>SUM(D42:D53)</f>
        <v>0</v>
      </c>
      <c r="E54" s="61"/>
      <c r="F54" s="62"/>
      <c r="G54" s="63"/>
      <c r="H54" s="61"/>
      <c r="I54" s="62"/>
      <c r="J54" s="63"/>
      <c r="K54" s="61"/>
      <c r="L54" s="62"/>
      <c r="M54" s="63"/>
      <c r="N54" s="61"/>
      <c r="O54" s="62"/>
      <c r="P54" s="63"/>
      <c r="Q54" s="65"/>
      <c r="R54" s="88"/>
      <c r="S54" s="89"/>
      <c r="T54" s="90"/>
      <c r="U54" s="88"/>
      <c r="V54" s="89"/>
      <c r="W54" s="90"/>
      <c r="X54" s="62"/>
      <c r="Y54" s="63"/>
      <c r="Z54" s="61"/>
      <c r="AA54" s="62"/>
      <c r="AB54" s="63"/>
      <c r="AC54" s="61"/>
      <c r="AD54" s="62"/>
      <c r="AE54" s="63"/>
      <c r="AF54" s="61"/>
      <c r="AG54" s="62"/>
      <c r="AH54" s="63"/>
      <c r="AI54" s="61"/>
      <c r="AJ54" s="69"/>
      <c r="AK54" s="63"/>
      <c r="AL54" s="64"/>
      <c r="AM54" s="69"/>
      <c r="AN54" s="68"/>
      <c r="AO54" s="64"/>
      <c r="AP54" s="69"/>
      <c r="AQ54" s="68"/>
      <c r="AR54" s="64"/>
      <c r="AS54" s="62"/>
      <c r="AT54" s="63"/>
      <c r="AU54" s="64"/>
      <c r="AV54" s="62"/>
      <c r="AW54" s="63"/>
      <c r="AX54" s="70"/>
    </row>
    <row r="55" spans="1:50" s="43" customFormat="1" ht="18" customHeight="1">
      <c r="A55" s="498"/>
      <c r="B55" s="493"/>
      <c r="C55" s="495"/>
      <c r="D55" s="497"/>
      <c r="E55" s="71"/>
      <c r="F55" s="72"/>
      <c r="G55" s="74"/>
      <c r="H55" s="71"/>
      <c r="I55" s="72"/>
      <c r="J55" s="74"/>
      <c r="K55" s="71"/>
      <c r="L55" s="72"/>
      <c r="M55" s="74"/>
      <c r="N55" s="71"/>
      <c r="O55" s="72"/>
      <c r="P55" s="74"/>
      <c r="Q55" s="75"/>
      <c r="R55" s="76"/>
      <c r="S55" s="74"/>
      <c r="T55" s="71"/>
      <c r="U55" s="72"/>
      <c r="V55" s="74"/>
      <c r="W55" s="71"/>
      <c r="X55" s="72"/>
      <c r="Y55" s="74"/>
      <c r="Z55" s="71"/>
      <c r="AA55" s="72"/>
      <c r="AB55" s="74"/>
      <c r="AC55" s="71"/>
      <c r="AD55" s="72"/>
      <c r="AE55" s="74"/>
      <c r="AF55" s="71"/>
      <c r="AG55" s="72"/>
      <c r="AH55" s="74"/>
      <c r="AI55" s="71"/>
      <c r="AJ55" s="72"/>
      <c r="AK55" s="74"/>
      <c r="AL55" s="71"/>
      <c r="AM55" s="72"/>
      <c r="AN55" s="74"/>
      <c r="AO55" s="71"/>
      <c r="AP55" s="72"/>
      <c r="AQ55" s="74"/>
      <c r="AR55" s="71"/>
      <c r="AS55" s="72"/>
      <c r="AT55" s="74"/>
      <c r="AU55" s="71"/>
      <c r="AV55" s="72"/>
      <c r="AW55" s="74"/>
      <c r="AX55" s="77"/>
    </row>
    <row r="56" spans="1:50" s="43" customFormat="1" ht="18" customHeight="1">
      <c r="A56" s="479" t="s">
        <v>59</v>
      </c>
      <c r="B56" s="481"/>
      <c r="C56" s="483"/>
      <c r="D56" s="485"/>
      <c r="E56" s="44"/>
      <c r="F56" s="45"/>
      <c r="G56" s="46"/>
      <c r="H56" s="44"/>
      <c r="I56" s="45"/>
      <c r="J56" s="46"/>
      <c r="K56" s="44"/>
      <c r="L56" s="45"/>
      <c r="M56" s="46"/>
      <c r="N56" s="44"/>
      <c r="O56" s="48"/>
      <c r="P56" s="46"/>
      <c r="Q56" s="49"/>
      <c r="R56" s="82"/>
      <c r="S56" s="58"/>
      <c r="T56" s="56"/>
      <c r="U56" s="82"/>
      <c r="V56" s="58"/>
      <c r="W56" s="56"/>
      <c r="X56" s="45"/>
      <c r="Y56" s="46"/>
      <c r="Z56" s="44"/>
      <c r="AA56" s="45"/>
      <c r="AB56" s="46"/>
      <c r="AC56" s="44"/>
      <c r="AD56" s="45"/>
      <c r="AE56" s="46"/>
      <c r="AF56" s="44"/>
      <c r="AG56" s="45"/>
      <c r="AH56" s="46"/>
      <c r="AI56" s="44"/>
      <c r="AJ56" s="48"/>
      <c r="AK56" s="46"/>
      <c r="AL56" s="47"/>
      <c r="AM56" s="48"/>
      <c r="AN56" s="51"/>
      <c r="AO56" s="47"/>
      <c r="AP56" s="48"/>
      <c r="AQ56" s="51"/>
      <c r="AR56" s="47"/>
      <c r="AS56" s="45"/>
      <c r="AT56" s="46"/>
      <c r="AU56" s="47"/>
      <c r="AV56" s="45"/>
      <c r="AW56" s="46"/>
      <c r="AX56" s="52"/>
    </row>
    <row r="57" spans="1:50" s="43" customFormat="1" ht="18" customHeight="1">
      <c r="A57" s="480"/>
      <c r="B57" s="482"/>
      <c r="C57" s="484"/>
      <c r="D57" s="486"/>
      <c r="E57" s="44"/>
      <c r="F57" s="45"/>
      <c r="G57" s="46"/>
      <c r="H57" s="44"/>
      <c r="I57" s="45"/>
      <c r="J57" s="46"/>
      <c r="K57" s="44"/>
      <c r="L57" s="45"/>
      <c r="M57" s="46"/>
      <c r="N57" s="44"/>
      <c r="O57" s="45"/>
      <c r="P57" s="46"/>
      <c r="Q57" s="49"/>
      <c r="R57" s="50"/>
      <c r="S57" s="46"/>
      <c r="T57" s="44"/>
      <c r="U57" s="45"/>
      <c r="V57" s="46"/>
      <c r="W57" s="44"/>
      <c r="X57" s="45"/>
      <c r="Y57" s="46"/>
      <c r="Z57" s="44"/>
      <c r="AA57" s="45"/>
      <c r="AB57" s="46"/>
      <c r="AC57" s="44"/>
      <c r="AD57" s="45"/>
      <c r="AE57" s="46"/>
      <c r="AF57" s="44"/>
      <c r="AG57" s="45"/>
      <c r="AH57" s="46"/>
      <c r="AI57" s="44"/>
      <c r="AJ57" s="45"/>
      <c r="AK57" s="46"/>
      <c r="AL57" s="44"/>
      <c r="AM57" s="45"/>
      <c r="AN57" s="46"/>
      <c r="AO57" s="44"/>
      <c r="AP57" s="45"/>
      <c r="AQ57" s="46"/>
      <c r="AR57" s="44"/>
      <c r="AS57" s="45"/>
      <c r="AT57" s="46"/>
      <c r="AU57" s="44"/>
      <c r="AV57" s="45"/>
      <c r="AW57" s="46"/>
      <c r="AX57" s="52"/>
    </row>
    <row r="58" spans="1:50" s="43" customFormat="1" ht="18" customHeight="1">
      <c r="A58" s="480"/>
      <c r="B58" s="482"/>
      <c r="C58" s="484"/>
      <c r="D58" s="486"/>
      <c r="E58" s="44"/>
      <c r="F58" s="45"/>
      <c r="G58" s="46"/>
      <c r="H58" s="44"/>
      <c r="I58" s="45"/>
      <c r="J58" s="46"/>
      <c r="K58" s="44"/>
      <c r="L58" s="45"/>
      <c r="M58" s="46"/>
      <c r="N58" s="44"/>
      <c r="O58" s="45"/>
      <c r="P58" s="46"/>
      <c r="Q58" s="49"/>
      <c r="R58" s="82"/>
      <c r="S58" s="58"/>
      <c r="T58" s="56"/>
      <c r="U58" s="82"/>
      <c r="V58" s="58"/>
      <c r="W58" s="56"/>
      <c r="X58" s="45"/>
      <c r="Y58" s="46"/>
      <c r="Z58" s="44"/>
      <c r="AA58" s="48"/>
      <c r="AB58" s="46"/>
      <c r="AC58" s="44"/>
      <c r="AD58" s="45"/>
      <c r="AE58" s="46"/>
      <c r="AF58" s="44"/>
      <c r="AG58" s="45"/>
      <c r="AH58" s="46"/>
      <c r="AI58" s="44"/>
      <c r="AJ58" s="48"/>
      <c r="AK58" s="46"/>
      <c r="AL58" s="47"/>
      <c r="AM58" s="48"/>
      <c r="AN58" s="51"/>
      <c r="AO58" s="47"/>
      <c r="AP58" s="48"/>
      <c r="AQ58" s="51"/>
      <c r="AR58" s="47"/>
      <c r="AS58" s="45"/>
      <c r="AT58" s="46"/>
      <c r="AU58" s="47"/>
      <c r="AV58" s="45"/>
      <c r="AW58" s="46"/>
      <c r="AX58" s="52"/>
    </row>
    <row r="59" spans="1:50" s="43" customFormat="1" ht="18" customHeight="1">
      <c r="A59" s="480"/>
      <c r="B59" s="482"/>
      <c r="C59" s="484"/>
      <c r="D59" s="486"/>
      <c r="E59" s="44"/>
      <c r="F59" s="45"/>
      <c r="G59" s="46"/>
      <c r="H59" s="44"/>
      <c r="I59" s="45"/>
      <c r="J59" s="46"/>
      <c r="K59" s="44"/>
      <c r="L59" s="45"/>
      <c r="M59" s="46"/>
      <c r="N59" s="44"/>
      <c r="O59" s="45"/>
      <c r="P59" s="46"/>
      <c r="Q59" s="49"/>
      <c r="R59" s="50"/>
      <c r="S59" s="46"/>
      <c r="T59" s="44"/>
      <c r="U59" s="45"/>
      <c r="V59" s="46"/>
      <c r="W59" s="44"/>
      <c r="X59" s="45"/>
      <c r="Y59" s="46"/>
      <c r="Z59" s="44"/>
      <c r="AA59" s="45"/>
      <c r="AB59" s="46"/>
      <c r="AC59" s="44"/>
      <c r="AD59" s="45"/>
      <c r="AE59" s="46"/>
      <c r="AF59" s="44"/>
      <c r="AG59" s="45"/>
      <c r="AH59" s="46"/>
      <c r="AI59" s="44"/>
      <c r="AJ59" s="45"/>
      <c r="AK59" s="46"/>
      <c r="AL59" s="44"/>
      <c r="AM59" s="45"/>
      <c r="AN59" s="46"/>
      <c r="AO59" s="44"/>
      <c r="AP59" s="45"/>
      <c r="AQ59" s="46"/>
      <c r="AR59" s="44"/>
      <c r="AS59" s="45"/>
      <c r="AT59" s="46"/>
      <c r="AU59" s="44"/>
      <c r="AV59" s="45"/>
      <c r="AW59" s="46"/>
      <c r="AX59" s="52"/>
    </row>
    <row r="60" spans="1:50" s="43" customFormat="1" ht="18" customHeight="1">
      <c r="A60" s="480"/>
      <c r="B60" s="482"/>
      <c r="C60" s="484"/>
      <c r="D60" s="486"/>
      <c r="E60" s="44"/>
      <c r="F60" s="45"/>
      <c r="G60" s="46"/>
      <c r="H60" s="44"/>
      <c r="I60" s="45"/>
      <c r="J60" s="46"/>
      <c r="K60" s="44"/>
      <c r="L60" s="45"/>
      <c r="M60" s="46"/>
      <c r="N60" s="44"/>
      <c r="O60" s="48"/>
      <c r="P60" s="46"/>
      <c r="Q60" s="49"/>
      <c r="R60" s="82"/>
      <c r="S60" s="58"/>
      <c r="T60" s="56"/>
      <c r="U60" s="82"/>
      <c r="V60" s="58"/>
      <c r="W60" s="56"/>
      <c r="X60" s="45"/>
      <c r="Y60" s="46"/>
      <c r="Z60" s="44"/>
      <c r="AA60" s="48"/>
      <c r="AB60" s="46"/>
      <c r="AC60" s="44"/>
      <c r="AD60" s="45"/>
      <c r="AE60" s="46"/>
      <c r="AF60" s="44"/>
      <c r="AG60" s="48"/>
      <c r="AH60" s="46"/>
      <c r="AI60" s="44"/>
      <c r="AJ60" s="48"/>
      <c r="AK60" s="46"/>
      <c r="AL60" s="47"/>
      <c r="AM60" s="48"/>
      <c r="AN60" s="51"/>
      <c r="AO60" s="47"/>
      <c r="AP60" s="48"/>
      <c r="AQ60" s="51"/>
      <c r="AR60" s="47"/>
      <c r="AS60" s="45"/>
      <c r="AT60" s="46"/>
      <c r="AU60" s="47"/>
      <c r="AV60" s="45"/>
      <c r="AW60" s="46"/>
      <c r="AX60" s="52"/>
    </row>
    <row r="61" spans="1:50" s="43" customFormat="1" ht="18" customHeight="1">
      <c r="A61" s="480"/>
      <c r="B61" s="482"/>
      <c r="C61" s="484"/>
      <c r="D61" s="486"/>
      <c r="E61" s="44"/>
      <c r="F61" s="45"/>
      <c r="G61" s="46"/>
      <c r="H61" s="44"/>
      <c r="I61" s="45"/>
      <c r="J61" s="46"/>
      <c r="K61" s="44"/>
      <c r="L61" s="45"/>
      <c r="M61" s="46"/>
      <c r="N61" s="44"/>
      <c r="O61" s="45"/>
      <c r="P61" s="46"/>
      <c r="Q61" s="49"/>
      <c r="R61" s="50"/>
      <c r="S61" s="46"/>
      <c r="T61" s="44"/>
      <c r="U61" s="45"/>
      <c r="V61" s="46"/>
      <c r="W61" s="44"/>
      <c r="X61" s="45"/>
      <c r="Y61" s="46"/>
      <c r="Z61" s="44"/>
      <c r="AA61" s="45"/>
      <c r="AB61" s="46"/>
      <c r="AC61" s="44"/>
      <c r="AD61" s="45"/>
      <c r="AE61" s="46"/>
      <c r="AF61" s="44"/>
      <c r="AG61" s="45"/>
      <c r="AH61" s="46"/>
      <c r="AI61" s="44"/>
      <c r="AJ61" s="45"/>
      <c r="AK61" s="46"/>
      <c r="AL61" s="44"/>
      <c r="AM61" s="45"/>
      <c r="AN61" s="46"/>
      <c r="AO61" s="44"/>
      <c r="AP61" s="45"/>
      <c r="AQ61" s="46"/>
      <c r="AR61" s="44"/>
      <c r="AS61" s="45"/>
      <c r="AT61" s="46"/>
      <c r="AU61" s="44"/>
      <c r="AV61" s="45"/>
      <c r="AW61" s="46"/>
      <c r="AX61" s="52"/>
    </row>
    <row r="62" spans="1:50" s="43" customFormat="1" ht="18" customHeight="1">
      <c r="A62" s="480"/>
      <c r="B62" s="482"/>
      <c r="C62" s="484"/>
      <c r="D62" s="486"/>
      <c r="E62" s="44"/>
      <c r="F62" s="45"/>
      <c r="G62" s="46"/>
      <c r="H62" s="44"/>
      <c r="I62" s="45"/>
      <c r="J62" s="46"/>
      <c r="K62" s="44"/>
      <c r="L62" s="45"/>
      <c r="M62" s="46"/>
      <c r="N62" s="44"/>
      <c r="O62" s="48"/>
      <c r="P62" s="46"/>
      <c r="Q62" s="49"/>
      <c r="R62" s="82"/>
      <c r="S62" s="58"/>
      <c r="T62" s="56"/>
      <c r="U62" s="82"/>
      <c r="V62" s="58"/>
      <c r="W62" s="56"/>
      <c r="X62" s="45"/>
      <c r="Y62" s="46"/>
      <c r="Z62" s="44"/>
      <c r="AA62" s="48"/>
      <c r="AB62" s="46"/>
      <c r="AC62" s="44"/>
      <c r="AD62" s="45"/>
      <c r="AE62" s="46"/>
      <c r="AF62" s="44"/>
      <c r="AG62" s="48"/>
      <c r="AH62" s="46"/>
      <c r="AI62" s="44"/>
      <c r="AJ62" s="48"/>
      <c r="AK62" s="46"/>
      <c r="AL62" s="47"/>
      <c r="AM62" s="48"/>
      <c r="AN62" s="51"/>
      <c r="AO62" s="47"/>
      <c r="AP62" s="48"/>
      <c r="AQ62" s="51"/>
      <c r="AR62" s="47"/>
      <c r="AS62" s="45"/>
      <c r="AT62" s="46"/>
      <c r="AU62" s="47"/>
      <c r="AV62" s="45"/>
      <c r="AW62" s="46"/>
      <c r="AX62" s="52"/>
    </row>
    <row r="63" spans="1:50" s="43" customFormat="1" ht="18" customHeight="1">
      <c r="A63" s="480"/>
      <c r="B63" s="482"/>
      <c r="C63" s="484"/>
      <c r="D63" s="486"/>
      <c r="E63" s="44"/>
      <c r="F63" s="45"/>
      <c r="G63" s="46"/>
      <c r="H63" s="44"/>
      <c r="I63" s="45"/>
      <c r="J63" s="46"/>
      <c r="K63" s="44"/>
      <c r="L63" s="45"/>
      <c r="M63" s="46"/>
      <c r="N63" s="44"/>
      <c r="O63" s="45"/>
      <c r="P63" s="46"/>
      <c r="Q63" s="49"/>
      <c r="R63" s="50"/>
      <c r="S63" s="46"/>
      <c r="T63" s="44"/>
      <c r="U63" s="45"/>
      <c r="V63" s="46"/>
      <c r="W63" s="44"/>
      <c r="X63" s="45"/>
      <c r="Y63" s="46"/>
      <c r="Z63" s="44"/>
      <c r="AA63" s="45"/>
      <c r="AB63" s="46"/>
      <c r="AC63" s="44"/>
      <c r="AD63" s="45"/>
      <c r="AE63" s="46"/>
      <c r="AF63" s="44"/>
      <c r="AG63" s="45"/>
      <c r="AH63" s="46"/>
      <c r="AI63" s="44"/>
      <c r="AJ63" s="45"/>
      <c r="AK63" s="46"/>
      <c r="AL63" s="44"/>
      <c r="AM63" s="45"/>
      <c r="AN63" s="46"/>
      <c r="AO63" s="44"/>
      <c r="AP63" s="45"/>
      <c r="AQ63" s="46"/>
      <c r="AR63" s="44"/>
      <c r="AS63" s="45"/>
      <c r="AT63" s="46"/>
      <c r="AU63" s="44"/>
      <c r="AV63" s="45"/>
      <c r="AW63" s="46"/>
      <c r="AX63" s="52"/>
    </row>
    <row r="64" spans="1:50" s="43" customFormat="1" ht="18" customHeight="1">
      <c r="A64" s="480"/>
      <c r="B64" s="482"/>
      <c r="C64" s="484"/>
      <c r="D64" s="486"/>
      <c r="E64" s="44"/>
      <c r="F64" s="45"/>
      <c r="G64" s="46"/>
      <c r="H64" s="44"/>
      <c r="I64" s="45"/>
      <c r="J64" s="46"/>
      <c r="K64" s="44"/>
      <c r="L64" s="45"/>
      <c r="M64" s="46"/>
      <c r="N64" s="44"/>
      <c r="O64" s="48"/>
      <c r="P64" s="46"/>
      <c r="Q64" s="49"/>
      <c r="R64" s="82"/>
      <c r="S64" s="58"/>
      <c r="T64" s="56"/>
      <c r="U64" s="82"/>
      <c r="V64" s="58"/>
      <c r="W64" s="56"/>
      <c r="X64" s="45"/>
      <c r="Y64" s="46"/>
      <c r="Z64" s="44"/>
      <c r="AA64" s="48"/>
      <c r="AB64" s="46"/>
      <c r="AC64" s="44"/>
      <c r="AD64" s="45"/>
      <c r="AE64" s="46"/>
      <c r="AF64" s="44"/>
      <c r="AG64" s="48"/>
      <c r="AH64" s="46"/>
      <c r="AI64" s="44"/>
      <c r="AJ64" s="48"/>
      <c r="AK64" s="46"/>
      <c r="AL64" s="47"/>
      <c r="AM64" s="48"/>
      <c r="AN64" s="51"/>
      <c r="AO64" s="47"/>
      <c r="AP64" s="48"/>
      <c r="AQ64" s="51"/>
      <c r="AR64" s="47"/>
      <c r="AS64" s="45"/>
      <c r="AT64" s="46"/>
      <c r="AU64" s="47"/>
      <c r="AV64" s="45"/>
      <c r="AW64" s="46"/>
      <c r="AX64" s="52"/>
    </row>
    <row r="65" spans="1:50" s="43" customFormat="1" ht="18" customHeight="1">
      <c r="A65" s="480"/>
      <c r="B65" s="487"/>
      <c r="C65" s="489"/>
      <c r="D65" s="490"/>
      <c r="E65" s="44"/>
      <c r="F65" s="45"/>
      <c r="G65" s="46"/>
      <c r="H65" s="44"/>
      <c r="I65" s="45"/>
      <c r="J65" s="46"/>
      <c r="K65" s="44"/>
      <c r="L65" s="45"/>
      <c r="M65" s="46"/>
      <c r="N65" s="44"/>
      <c r="O65" s="45"/>
      <c r="P65" s="46"/>
      <c r="Q65" s="49"/>
      <c r="R65" s="50"/>
      <c r="S65" s="46"/>
      <c r="T65" s="44"/>
      <c r="U65" s="45"/>
      <c r="V65" s="46"/>
      <c r="W65" s="44"/>
      <c r="X65" s="45"/>
      <c r="Y65" s="46"/>
      <c r="Z65" s="44"/>
      <c r="AA65" s="45"/>
      <c r="AB65" s="46"/>
      <c r="AC65" s="44"/>
      <c r="AD65" s="45"/>
      <c r="AE65" s="46"/>
      <c r="AF65" s="44"/>
      <c r="AG65" s="45"/>
      <c r="AH65" s="46"/>
      <c r="AI65" s="44"/>
      <c r="AJ65" s="45"/>
      <c r="AK65" s="46"/>
      <c r="AL65" s="44"/>
      <c r="AM65" s="45"/>
      <c r="AN65" s="46"/>
      <c r="AO65" s="44"/>
      <c r="AP65" s="45"/>
      <c r="AQ65" s="46"/>
      <c r="AR65" s="44"/>
      <c r="AS65" s="45"/>
      <c r="AT65" s="46"/>
      <c r="AU65" s="44"/>
      <c r="AV65" s="45"/>
      <c r="AW65" s="46"/>
      <c r="AX65" s="52"/>
    </row>
    <row r="66" spans="1:50" s="43" customFormat="1" ht="18" customHeight="1">
      <c r="A66" s="480"/>
      <c r="B66" s="492" t="s">
        <v>60</v>
      </c>
      <c r="C66" s="494">
        <f>SUM(C56:C65)</f>
        <v>0</v>
      </c>
      <c r="D66" s="496">
        <f>SUM(D56:D65)</f>
        <v>0</v>
      </c>
      <c r="E66" s="61"/>
      <c r="F66" s="62"/>
      <c r="G66" s="63"/>
      <c r="H66" s="61"/>
      <c r="I66" s="62"/>
      <c r="J66" s="63"/>
      <c r="K66" s="61"/>
      <c r="L66" s="62"/>
      <c r="M66" s="63"/>
      <c r="N66" s="61"/>
      <c r="O66" s="62"/>
      <c r="P66" s="63"/>
      <c r="Q66" s="65"/>
      <c r="R66" s="88"/>
      <c r="S66" s="89"/>
      <c r="T66" s="90"/>
      <c r="U66" s="88"/>
      <c r="V66" s="89"/>
      <c r="W66" s="90"/>
      <c r="X66" s="62"/>
      <c r="Y66" s="63"/>
      <c r="Z66" s="61"/>
      <c r="AA66" s="62"/>
      <c r="AB66" s="63"/>
      <c r="AC66" s="61"/>
      <c r="AD66" s="62"/>
      <c r="AE66" s="63"/>
      <c r="AF66" s="61"/>
      <c r="AG66" s="62"/>
      <c r="AH66" s="63"/>
      <c r="AI66" s="61"/>
      <c r="AJ66" s="69"/>
      <c r="AK66" s="63"/>
      <c r="AL66" s="64"/>
      <c r="AM66" s="69"/>
      <c r="AN66" s="68"/>
      <c r="AO66" s="64"/>
      <c r="AP66" s="69"/>
      <c r="AQ66" s="68"/>
      <c r="AR66" s="64"/>
      <c r="AS66" s="62"/>
      <c r="AT66" s="63"/>
      <c r="AU66" s="64"/>
      <c r="AV66" s="62"/>
      <c r="AW66" s="63"/>
      <c r="AX66" s="70"/>
    </row>
    <row r="67" spans="1:50" s="43" customFormat="1" ht="18" customHeight="1">
      <c r="A67" s="480"/>
      <c r="B67" s="493"/>
      <c r="C67" s="495"/>
      <c r="D67" s="497"/>
      <c r="E67" s="71"/>
      <c r="F67" s="72"/>
      <c r="G67" s="74"/>
      <c r="H67" s="71"/>
      <c r="I67" s="72"/>
      <c r="J67" s="74"/>
      <c r="K67" s="71"/>
      <c r="L67" s="72"/>
      <c r="M67" s="74"/>
      <c r="N67" s="71"/>
      <c r="O67" s="72"/>
      <c r="P67" s="74"/>
      <c r="Q67" s="75"/>
      <c r="R67" s="76"/>
      <c r="S67" s="74"/>
      <c r="T67" s="71"/>
      <c r="U67" s="72"/>
      <c r="V67" s="74"/>
      <c r="W67" s="71"/>
      <c r="X67" s="72"/>
      <c r="Y67" s="74"/>
      <c r="Z67" s="71"/>
      <c r="AA67" s="72"/>
      <c r="AB67" s="74"/>
      <c r="AC67" s="71"/>
      <c r="AD67" s="72"/>
      <c r="AE67" s="74"/>
      <c r="AF67" s="71"/>
      <c r="AG67" s="72"/>
      <c r="AH67" s="74"/>
      <c r="AI67" s="71"/>
      <c r="AJ67" s="72"/>
      <c r="AK67" s="74"/>
      <c r="AL67" s="71"/>
      <c r="AM67" s="72"/>
      <c r="AN67" s="74"/>
      <c r="AO67" s="71"/>
      <c r="AP67" s="72"/>
      <c r="AQ67" s="74"/>
      <c r="AR67" s="71"/>
      <c r="AS67" s="72"/>
      <c r="AT67" s="74"/>
      <c r="AU67" s="71"/>
      <c r="AV67" s="72"/>
      <c r="AW67" s="74"/>
      <c r="AX67" s="77"/>
    </row>
    <row r="68" spans="1:50" s="43" customFormat="1" ht="18" customHeight="1">
      <c r="A68" s="479" t="s">
        <v>61</v>
      </c>
      <c r="B68" s="481"/>
      <c r="C68" s="483"/>
      <c r="D68" s="485"/>
      <c r="E68" s="44"/>
      <c r="F68" s="45"/>
      <c r="G68" s="46"/>
      <c r="H68" s="44"/>
      <c r="I68" s="45"/>
      <c r="J68" s="46"/>
      <c r="K68" s="44"/>
      <c r="L68" s="45"/>
      <c r="M68" s="46"/>
      <c r="N68" s="44"/>
      <c r="O68" s="48"/>
      <c r="P68" s="46"/>
      <c r="Q68" s="49"/>
      <c r="R68" s="82"/>
      <c r="S68" s="58"/>
      <c r="T68" s="56"/>
      <c r="U68" s="82"/>
      <c r="V68" s="58"/>
      <c r="W68" s="56"/>
      <c r="X68" s="45"/>
      <c r="Y68" s="46"/>
      <c r="Z68" s="44"/>
      <c r="AA68" s="45"/>
      <c r="AB68" s="46"/>
      <c r="AC68" s="44"/>
      <c r="AD68" s="45"/>
      <c r="AE68" s="46"/>
      <c r="AF68" s="44"/>
      <c r="AG68" s="45"/>
      <c r="AH68" s="46"/>
      <c r="AI68" s="44"/>
      <c r="AJ68" s="48"/>
      <c r="AK68" s="46"/>
      <c r="AL68" s="47"/>
      <c r="AM68" s="48"/>
      <c r="AN68" s="51"/>
      <c r="AO68" s="47"/>
      <c r="AP68" s="48"/>
      <c r="AQ68" s="51"/>
      <c r="AR68" s="47"/>
      <c r="AS68" s="45"/>
      <c r="AT68" s="46"/>
      <c r="AU68" s="47"/>
      <c r="AV68" s="45"/>
      <c r="AW68" s="46"/>
      <c r="AX68" s="52"/>
    </row>
    <row r="69" spans="1:50" s="43" customFormat="1" ht="18" customHeight="1">
      <c r="A69" s="480"/>
      <c r="B69" s="482"/>
      <c r="C69" s="484"/>
      <c r="D69" s="486"/>
      <c r="E69" s="44"/>
      <c r="F69" s="45"/>
      <c r="G69" s="46"/>
      <c r="H69" s="44"/>
      <c r="I69" s="45"/>
      <c r="J69" s="46"/>
      <c r="K69" s="44"/>
      <c r="L69" s="45"/>
      <c r="M69" s="46"/>
      <c r="N69" s="44"/>
      <c r="O69" s="45"/>
      <c r="P69" s="46"/>
      <c r="Q69" s="49"/>
      <c r="R69" s="50"/>
      <c r="S69" s="46"/>
      <c r="T69" s="44"/>
      <c r="U69" s="45"/>
      <c r="V69" s="46"/>
      <c r="W69" s="44"/>
      <c r="X69" s="45"/>
      <c r="Y69" s="46"/>
      <c r="Z69" s="44"/>
      <c r="AA69" s="45"/>
      <c r="AB69" s="46"/>
      <c r="AC69" s="44"/>
      <c r="AD69" s="45"/>
      <c r="AE69" s="46"/>
      <c r="AF69" s="44"/>
      <c r="AG69" s="45"/>
      <c r="AH69" s="46"/>
      <c r="AI69" s="44"/>
      <c r="AJ69" s="45"/>
      <c r="AK69" s="46"/>
      <c r="AL69" s="44"/>
      <c r="AM69" s="45"/>
      <c r="AN69" s="46"/>
      <c r="AO69" s="44"/>
      <c r="AP69" s="45"/>
      <c r="AQ69" s="46"/>
      <c r="AR69" s="44"/>
      <c r="AS69" s="45"/>
      <c r="AT69" s="46"/>
      <c r="AU69" s="44"/>
      <c r="AV69" s="45"/>
      <c r="AW69" s="46"/>
      <c r="AX69" s="52"/>
    </row>
    <row r="70" spans="1:50" s="43" customFormat="1" ht="18" customHeight="1">
      <c r="A70" s="480"/>
      <c r="B70" s="482"/>
      <c r="C70" s="484"/>
      <c r="D70" s="486"/>
      <c r="E70" s="44"/>
      <c r="F70" s="45"/>
      <c r="G70" s="46"/>
      <c r="H70" s="44"/>
      <c r="I70" s="45"/>
      <c r="J70" s="46"/>
      <c r="K70" s="44"/>
      <c r="L70" s="45"/>
      <c r="M70" s="46"/>
      <c r="N70" s="44"/>
      <c r="O70" s="45"/>
      <c r="P70" s="46"/>
      <c r="Q70" s="49"/>
      <c r="R70" s="82"/>
      <c r="S70" s="58"/>
      <c r="T70" s="56"/>
      <c r="U70" s="82"/>
      <c r="V70" s="58"/>
      <c r="W70" s="56"/>
      <c r="X70" s="45"/>
      <c r="Y70" s="46"/>
      <c r="Z70" s="44"/>
      <c r="AA70" s="48"/>
      <c r="AB70" s="46"/>
      <c r="AC70" s="44"/>
      <c r="AD70" s="45"/>
      <c r="AE70" s="46"/>
      <c r="AF70" s="44"/>
      <c r="AG70" s="45"/>
      <c r="AH70" s="46"/>
      <c r="AI70" s="44"/>
      <c r="AJ70" s="48"/>
      <c r="AK70" s="46"/>
      <c r="AL70" s="47"/>
      <c r="AM70" s="48"/>
      <c r="AN70" s="51"/>
      <c r="AO70" s="47"/>
      <c r="AP70" s="48"/>
      <c r="AQ70" s="51"/>
      <c r="AR70" s="47"/>
      <c r="AS70" s="45"/>
      <c r="AT70" s="46"/>
      <c r="AU70" s="47"/>
      <c r="AV70" s="45"/>
      <c r="AW70" s="46"/>
      <c r="AX70" s="52"/>
    </row>
    <row r="71" spans="1:50" s="43" customFormat="1" ht="18" customHeight="1">
      <c r="A71" s="480"/>
      <c r="B71" s="482"/>
      <c r="C71" s="484"/>
      <c r="D71" s="486"/>
      <c r="E71" s="44"/>
      <c r="F71" s="45"/>
      <c r="G71" s="46"/>
      <c r="H71" s="44"/>
      <c r="I71" s="45"/>
      <c r="J71" s="46"/>
      <c r="K71" s="44"/>
      <c r="L71" s="45"/>
      <c r="M71" s="46"/>
      <c r="N71" s="44"/>
      <c r="O71" s="45"/>
      <c r="P71" s="46"/>
      <c r="Q71" s="49"/>
      <c r="R71" s="50"/>
      <c r="S71" s="46"/>
      <c r="T71" s="44"/>
      <c r="U71" s="45"/>
      <c r="V71" s="46"/>
      <c r="W71" s="44"/>
      <c r="X71" s="45"/>
      <c r="Y71" s="46"/>
      <c r="Z71" s="44"/>
      <c r="AA71" s="45"/>
      <c r="AB71" s="46"/>
      <c r="AC71" s="44"/>
      <c r="AD71" s="45"/>
      <c r="AE71" s="46"/>
      <c r="AF71" s="44"/>
      <c r="AG71" s="45"/>
      <c r="AH71" s="46"/>
      <c r="AI71" s="44"/>
      <c r="AJ71" s="45"/>
      <c r="AK71" s="46"/>
      <c r="AL71" s="44"/>
      <c r="AM71" s="45"/>
      <c r="AN71" s="46"/>
      <c r="AO71" s="44"/>
      <c r="AP71" s="45"/>
      <c r="AQ71" s="46"/>
      <c r="AR71" s="44"/>
      <c r="AS71" s="45"/>
      <c r="AT71" s="46"/>
      <c r="AU71" s="44"/>
      <c r="AV71" s="45"/>
      <c r="AW71" s="46"/>
      <c r="AX71" s="52"/>
    </row>
    <row r="72" spans="1:50" s="43" customFormat="1" ht="18" customHeight="1">
      <c r="A72" s="480"/>
      <c r="B72" s="482"/>
      <c r="C72" s="484"/>
      <c r="D72" s="486"/>
      <c r="E72" s="44"/>
      <c r="F72" s="45"/>
      <c r="G72" s="46"/>
      <c r="H72" s="44"/>
      <c r="I72" s="45"/>
      <c r="J72" s="46"/>
      <c r="K72" s="44"/>
      <c r="L72" s="45"/>
      <c r="M72" s="46"/>
      <c r="N72" s="44"/>
      <c r="O72" s="48"/>
      <c r="P72" s="46"/>
      <c r="Q72" s="49"/>
      <c r="R72" s="82"/>
      <c r="S72" s="58"/>
      <c r="T72" s="56"/>
      <c r="U72" s="82"/>
      <c r="V72" s="58"/>
      <c r="W72" s="56"/>
      <c r="X72" s="45"/>
      <c r="Y72" s="46"/>
      <c r="Z72" s="44"/>
      <c r="AA72" s="48"/>
      <c r="AB72" s="46"/>
      <c r="AC72" s="44"/>
      <c r="AD72" s="45"/>
      <c r="AE72" s="46"/>
      <c r="AF72" s="44"/>
      <c r="AG72" s="48"/>
      <c r="AH72" s="46"/>
      <c r="AI72" s="44"/>
      <c r="AJ72" s="48"/>
      <c r="AK72" s="46"/>
      <c r="AL72" s="47"/>
      <c r="AM72" s="48"/>
      <c r="AN72" s="51"/>
      <c r="AO72" s="47"/>
      <c r="AP72" s="48"/>
      <c r="AQ72" s="51"/>
      <c r="AR72" s="47"/>
      <c r="AS72" s="45"/>
      <c r="AT72" s="46"/>
      <c r="AU72" s="47"/>
      <c r="AV72" s="45"/>
      <c r="AW72" s="46"/>
      <c r="AX72" s="52"/>
    </row>
    <row r="73" spans="1:50" s="43" customFormat="1" ht="18" customHeight="1">
      <c r="A73" s="480"/>
      <c r="B73" s="487"/>
      <c r="C73" s="489"/>
      <c r="D73" s="490"/>
      <c r="E73" s="44"/>
      <c r="F73" s="45"/>
      <c r="G73" s="46"/>
      <c r="H73" s="44"/>
      <c r="I73" s="45"/>
      <c r="J73" s="46"/>
      <c r="K73" s="44"/>
      <c r="L73" s="45"/>
      <c r="M73" s="46"/>
      <c r="N73" s="44"/>
      <c r="O73" s="45"/>
      <c r="P73" s="46"/>
      <c r="Q73" s="49"/>
      <c r="R73" s="50"/>
      <c r="S73" s="46"/>
      <c r="T73" s="44"/>
      <c r="U73" s="45"/>
      <c r="V73" s="46"/>
      <c r="W73" s="44"/>
      <c r="X73" s="45"/>
      <c r="Y73" s="46"/>
      <c r="Z73" s="44"/>
      <c r="AA73" s="45"/>
      <c r="AB73" s="46"/>
      <c r="AC73" s="44"/>
      <c r="AD73" s="45"/>
      <c r="AE73" s="46"/>
      <c r="AF73" s="44"/>
      <c r="AG73" s="45"/>
      <c r="AH73" s="46"/>
      <c r="AI73" s="44"/>
      <c r="AJ73" s="45"/>
      <c r="AK73" s="46"/>
      <c r="AL73" s="44"/>
      <c r="AM73" s="45"/>
      <c r="AN73" s="46"/>
      <c r="AO73" s="44"/>
      <c r="AP73" s="45"/>
      <c r="AQ73" s="46"/>
      <c r="AR73" s="44"/>
      <c r="AS73" s="45"/>
      <c r="AT73" s="46"/>
      <c r="AU73" s="44"/>
      <c r="AV73" s="45"/>
      <c r="AW73" s="46"/>
      <c r="AX73" s="52"/>
    </row>
    <row r="74" spans="1:50" s="43" customFormat="1" ht="18" customHeight="1">
      <c r="A74" s="480"/>
      <c r="B74" s="492" t="s">
        <v>56</v>
      </c>
      <c r="C74" s="494">
        <f>SUM(C68:C73)</f>
        <v>0</v>
      </c>
      <c r="D74" s="496">
        <f>SUM(D68:D73)</f>
        <v>0</v>
      </c>
      <c r="E74" s="61"/>
      <c r="F74" s="62"/>
      <c r="G74" s="63"/>
      <c r="H74" s="61"/>
      <c r="I74" s="62"/>
      <c r="J74" s="63"/>
      <c r="K74" s="61"/>
      <c r="L74" s="62"/>
      <c r="M74" s="63"/>
      <c r="N74" s="61"/>
      <c r="O74" s="62"/>
      <c r="P74" s="63"/>
      <c r="Q74" s="65"/>
      <c r="R74" s="88"/>
      <c r="S74" s="89"/>
      <c r="T74" s="90"/>
      <c r="U74" s="88"/>
      <c r="V74" s="89"/>
      <c r="W74" s="90"/>
      <c r="X74" s="62"/>
      <c r="Y74" s="63"/>
      <c r="Z74" s="61"/>
      <c r="AA74" s="62"/>
      <c r="AB74" s="63"/>
      <c r="AC74" s="61"/>
      <c r="AD74" s="62"/>
      <c r="AE74" s="63"/>
      <c r="AF74" s="61"/>
      <c r="AG74" s="62"/>
      <c r="AH74" s="63"/>
      <c r="AI74" s="61"/>
      <c r="AJ74" s="69"/>
      <c r="AK74" s="63"/>
      <c r="AL74" s="64"/>
      <c r="AM74" s="69"/>
      <c r="AN74" s="68"/>
      <c r="AO74" s="64"/>
      <c r="AP74" s="69"/>
      <c r="AQ74" s="68"/>
      <c r="AR74" s="64"/>
      <c r="AS74" s="62"/>
      <c r="AT74" s="63"/>
      <c r="AU74" s="64"/>
      <c r="AV74" s="62"/>
      <c r="AW74" s="63"/>
      <c r="AX74" s="70"/>
    </row>
    <row r="75" spans="1:50" s="43" customFormat="1" ht="18" customHeight="1">
      <c r="A75" s="480"/>
      <c r="B75" s="493"/>
      <c r="C75" s="495"/>
      <c r="D75" s="497"/>
      <c r="E75" s="71"/>
      <c r="F75" s="72"/>
      <c r="G75" s="74"/>
      <c r="H75" s="71"/>
      <c r="I75" s="72"/>
      <c r="J75" s="74"/>
      <c r="K75" s="71"/>
      <c r="L75" s="72"/>
      <c r="M75" s="74"/>
      <c r="N75" s="71"/>
      <c r="O75" s="72"/>
      <c r="P75" s="74"/>
      <c r="Q75" s="75"/>
      <c r="R75" s="76"/>
      <c r="S75" s="74"/>
      <c r="T75" s="71"/>
      <c r="U75" s="72"/>
      <c r="V75" s="74"/>
      <c r="W75" s="71"/>
      <c r="X75" s="72"/>
      <c r="Y75" s="74"/>
      <c r="Z75" s="71"/>
      <c r="AA75" s="72"/>
      <c r="AB75" s="74"/>
      <c r="AC75" s="71"/>
      <c r="AD75" s="72"/>
      <c r="AE75" s="74"/>
      <c r="AF75" s="71"/>
      <c r="AG75" s="72"/>
      <c r="AH75" s="74"/>
      <c r="AI75" s="71"/>
      <c r="AJ75" s="72"/>
      <c r="AK75" s="74"/>
      <c r="AL75" s="71"/>
      <c r="AM75" s="72"/>
      <c r="AN75" s="74"/>
      <c r="AO75" s="71"/>
      <c r="AP75" s="72"/>
      <c r="AQ75" s="74"/>
      <c r="AR75" s="71"/>
      <c r="AS75" s="72"/>
      <c r="AT75" s="74"/>
      <c r="AU75" s="71"/>
      <c r="AV75" s="72"/>
      <c r="AW75" s="74"/>
      <c r="AX75" s="77"/>
    </row>
    <row r="76" spans="1:50" s="43" customFormat="1" ht="24.95" customHeight="1">
      <c r="A76" s="499" t="s">
        <v>62</v>
      </c>
      <c r="B76" s="505"/>
      <c r="C76" s="483">
        <f>C24+C40+C54+C66+C74</f>
        <v>0</v>
      </c>
      <c r="D76" s="506">
        <f>D66+D54+D40+D74</f>
        <v>0</v>
      </c>
      <c r="E76" s="92"/>
      <c r="F76" s="45"/>
      <c r="G76" s="80"/>
      <c r="H76" s="44"/>
      <c r="I76" s="45"/>
      <c r="J76" s="81"/>
      <c r="K76" s="44"/>
      <c r="L76" s="45"/>
      <c r="M76" s="46"/>
      <c r="N76" s="44"/>
      <c r="O76" s="45"/>
      <c r="P76" s="46"/>
      <c r="Q76" s="49"/>
      <c r="R76" s="50"/>
      <c r="S76" s="46"/>
      <c r="T76" s="44"/>
      <c r="U76" s="45"/>
      <c r="V76" s="46"/>
      <c r="W76" s="44"/>
      <c r="X76" s="45"/>
      <c r="Y76" s="46"/>
      <c r="Z76" s="93"/>
      <c r="AA76" s="80"/>
      <c r="AB76" s="80"/>
      <c r="AC76" s="44"/>
      <c r="AD76" s="45"/>
      <c r="AE76" s="80"/>
      <c r="AF76" s="44"/>
      <c r="AG76" s="45"/>
      <c r="AH76" s="80"/>
      <c r="AI76" s="44"/>
      <c r="AJ76" s="45"/>
      <c r="AK76" s="81"/>
      <c r="AL76" s="92"/>
      <c r="AM76" s="45"/>
      <c r="AN76" s="94"/>
      <c r="AO76" s="44"/>
      <c r="AP76" s="45"/>
      <c r="AQ76" s="46"/>
      <c r="AR76" s="44"/>
      <c r="AS76" s="45"/>
      <c r="AT76" s="46"/>
      <c r="AU76" s="44"/>
      <c r="AV76" s="45"/>
      <c r="AW76" s="46"/>
      <c r="AX76" s="52"/>
    </row>
    <row r="77" spans="1:50" s="43" customFormat="1" ht="24.95" customHeight="1">
      <c r="A77" s="502"/>
      <c r="B77" s="504"/>
      <c r="C77" s="495"/>
      <c r="D77" s="497"/>
      <c r="E77" s="44"/>
      <c r="F77" s="45"/>
      <c r="G77" s="80"/>
      <c r="H77" s="92"/>
      <c r="I77" s="45"/>
      <c r="J77" s="81"/>
      <c r="K77" s="71"/>
      <c r="L77" s="72"/>
      <c r="M77" s="74"/>
      <c r="N77" s="71"/>
      <c r="O77" s="72"/>
      <c r="P77" s="74"/>
      <c r="Q77" s="75"/>
      <c r="R77" s="76"/>
      <c r="S77" s="74"/>
      <c r="T77" s="71"/>
      <c r="U77" s="72"/>
      <c r="V77" s="74"/>
      <c r="W77" s="71"/>
      <c r="X77" s="72"/>
      <c r="Y77" s="74"/>
      <c r="Z77" s="93"/>
      <c r="AA77" s="80"/>
      <c r="AB77" s="80"/>
      <c r="AC77" s="44"/>
      <c r="AD77" s="45"/>
      <c r="AE77" s="80"/>
      <c r="AF77" s="44"/>
      <c r="AG77" s="45"/>
      <c r="AH77" s="80"/>
      <c r="AI77" s="44"/>
      <c r="AJ77" s="45"/>
      <c r="AK77" s="81"/>
      <c r="AL77" s="92"/>
      <c r="AM77" s="45"/>
      <c r="AN77" s="95"/>
      <c r="AO77" s="44"/>
      <c r="AP77" s="45"/>
      <c r="AQ77" s="46"/>
      <c r="AR77" s="44"/>
      <c r="AS77" s="45"/>
      <c r="AT77" s="46"/>
      <c r="AU77" s="44"/>
      <c r="AV77" s="53"/>
      <c r="AW77" s="46"/>
      <c r="AX77" s="52"/>
    </row>
    <row r="78" spans="1:50" s="43" customFormat="1" ht="24.95" customHeight="1">
      <c r="A78" s="499" t="s">
        <v>63</v>
      </c>
      <c r="B78" s="500"/>
      <c r="C78" s="500"/>
      <c r="D78" s="501"/>
      <c r="E78" s="61"/>
      <c r="F78" s="62"/>
      <c r="G78" s="96"/>
      <c r="H78" s="97"/>
      <c r="I78" s="62"/>
      <c r="J78" s="98"/>
      <c r="K78" s="61"/>
      <c r="L78" s="62"/>
      <c r="M78" s="63"/>
      <c r="N78" s="61"/>
      <c r="O78" s="62"/>
      <c r="P78" s="63"/>
      <c r="Q78" s="65"/>
      <c r="R78" s="66"/>
      <c r="S78" s="63"/>
      <c r="T78" s="61"/>
      <c r="U78" s="62"/>
      <c r="V78" s="63"/>
      <c r="W78" s="61"/>
      <c r="X78" s="62"/>
      <c r="Y78" s="63"/>
      <c r="Z78" s="99"/>
      <c r="AA78" s="96"/>
      <c r="AB78" s="96"/>
      <c r="AC78" s="61"/>
      <c r="AD78" s="62"/>
      <c r="AE78" s="96"/>
      <c r="AF78" s="61"/>
      <c r="AG78" s="62"/>
      <c r="AH78" s="96"/>
      <c r="AI78" s="61"/>
      <c r="AJ78" s="62"/>
      <c r="AK78" s="98"/>
      <c r="AL78" s="97"/>
      <c r="AM78" s="62"/>
      <c r="AN78" s="100"/>
      <c r="AO78" s="61"/>
      <c r="AP78" s="62"/>
      <c r="AQ78" s="63"/>
      <c r="AR78" s="61"/>
      <c r="AS78" s="62"/>
      <c r="AT78" s="63"/>
      <c r="AU78" s="61"/>
      <c r="AV78" s="62"/>
      <c r="AW78" s="63"/>
      <c r="AX78" s="70"/>
    </row>
    <row r="79" spans="1:50" s="43" customFormat="1" ht="24.95" customHeight="1">
      <c r="A79" s="502"/>
      <c r="B79" s="503"/>
      <c r="C79" s="503"/>
      <c r="D79" s="504"/>
      <c r="E79" s="44"/>
      <c r="F79" s="45"/>
      <c r="G79" s="80"/>
      <c r="H79" s="92"/>
      <c r="I79" s="45"/>
      <c r="J79" s="81"/>
      <c r="K79" s="71"/>
      <c r="L79" s="72"/>
      <c r="M79" s="74"/>
      <c r="N79" s="71"/>
      <c r="O79" s="72"/>
      <c r="P79" s="74"/>
      <c r="Q79" s="75"/>
      <c r="R79" s="76"/>
      <c r="S79" s="74"/>
      <c r="T79" s="71"/>
      <c r="U79" s="72"/>
      <c r="V79" s="74"/>
      <c r="W79" s="71"/>
      <c r="X79" s="72"/>
      <c r="Y79" s="74"/>
      <c r="Z79" s="93"/>
      <c r="AA79" s="80"/>
      <c r="AB79" s="80"/>
      <c r="AC79" s="44"/>
      <c r="AD79" s="45"/>
      <c r="AE79" s="80"/>
      <c r="AF79" s="44"/>
      <c r="AG79" s="45"/>
      <c r="AH79" s="80"/>
      <c r="AI79" s="44"/>
      <c r="AJ79" s="45"/>
      <c r="AK79" s="81"/>
      <c r="AL79" s="92"/>
      <c r="AM79" s="45"/>
      <c r="AN79" s="95"/>
      <c r="AO79" s="44"/>
      <c r="AP79" s="45"/>
      <c r="AQ79" s="46"/>
      <c r="AR79" s="44"/>
      <c r="AS79" s="45"/>
      <c r="AT79" s="46"/>
      <c r="AU79" s="44"/>
      <c r="AV79" s="53"/>
      <c r="AW79" s="46"/>
      <c r="AX79" s="52"/>
    </row>
    <row r="80" spans="1:50" s="43" customFormat="1" ht="24.95" customHeight="1">
      <c r="A80" s="499" t="s">
        <v>64</v>
      </c>
      <c r="B80" s="500"/>
      <c r="C80" s="500"/>
      <c r="D80" s="501"/>
      <c r="E80" s="61"/>
      <c r="F80" s="62"/>
      <c r="G80" s="96"/>
      <c r="H80" s="97"/>
      <c r="I80" s="62"/>
      <c r="J80" s="98"/>
      <c r="K80" s="44"/>
      <c r="L80" s="45"/>
      <c r="M80" s="46"/>
      <c r="N80" s="44"/>
      <c r="O80" s="45"/>
      <c r="P80" s="46"/>
      <c r="Q80" s="49"/>
      <c r="R80" s="50"/>
      <c r="S80" s="46"/>
      <c r="T80" s="44"/>
      <c r="U80" s="45"/>
      <c r="V80" s="46"/>
      <c r="W80" s="44"/>
      <c r="X80" s="45"/>
      <c r="Y80" s="46"/>
      <c r="Z80" s="99"/>
      <c r="AA80" s="96"/>
      <c r="AB80" s="63"/>
      <c r="AC80" s="61"/>
      <c r="AD80" s="62"/>
      <c r="AE80" s="96"/>
      <c r="AF80" s="61"/>
      <c r="AG80" s="62"/>
      <c r="AH80" s="96"/>
      <c r="AI80" s="61"/>
      <c r="AJ80" s="62"/>
      <c r="AK80" s="98"/>
      <c r="AL80" s="97"/>
      <c r="AM80" s="62"/>
      <c r="AN80" s="100"/>
      <c r="AO80" s="61"/>
      <c r="AP80" s="62"/>
      <c r="AQ80" s="63"/>
      <c r="AR80" s="61"/>
      <c r="AS80" s="62"/>
      <c r="AT80" s="63"/>
      <c r="AU80" s="61"/>
      <c r="AV80" s="62"/>
      <c r="AW80" s="63"/>
      <c r="AX80" s="70"/>
    </row>
    <row r="81" spans="1:50" s="43" customFormat="1" ht="24.95" customHeight="1">
      <c r="A81" s="502"/>
      <c r="B81" s="503"/>
      <c r="C81" s="503"/>
      <c r="D81" s="504"/>
      <c r="E81" s="71"/>
      <c r="F81" s="72"/>
      <c r="G81" s="101"/>
      <c r="H81" s="102"/>
      <c r="I81" s="72"/>
      <c r="J81" s="103"/>
      <c r="K81" s="71"/>
      <c r="L81" s="72"/>
      <c r="M81" s="74"/>
      <c r="N81" s="71"/>
      <c r="O81" s="72"/>
      <c r="P81" s="74"/>
      <c r="Q81" s="75"/>
      <c r="R81" s="76"/>
      <c r="S81" s="74"/>
      <c r="T81" s="71"/>
      <c r="U81" s="72"/>
      <c r="V81" s="74"/>
      <c r="W81" s="71"/>
      <c r="X81" s="72"/>
      <c r="Y81" s="74"/>
      <c r="Z81" s="104"/>
      <c r="AA81" s="101"/>
      <c r="AB81" s="101"/>
      <c r="AC81" s="71"/>
      <c r="AD81" s="72"/>
      <c r="AE81" s="101"/>
      <c r="AF81" s="71"/>
      <c r="AG81" s="72"/>
      <c r="AH81" s="101"/>
      <c r="AI81" s="71"/>
      <c r="AJ81" s="72"/>
      <c r="AK81" s="103"/>
      <c r="AL81" s="102"/>
      <c r="AM81" s="72"/>
      <c r="AN81" s="105"/>
      <c r="AO81" s="71"/>
      <c r="AP81" s="72"/>
      <c r="AQ81" s="74"/>
      <c r="AR81" s="71"/>
      <c r="AS81" s="72"/>
      <c r="AT81" s="74"/>
      <c r="AU81" s="71"/>
      <c r="AV81" s="106"/>
      <c r="AW81" s="74"/>
      <c r="AX81" s="77"/>
    </row>
  </sheetData>
  <mergeCells count="140">
    <mergeCell ref="A78:D79"/>
    <mergeCell ref="A80:D81"/>
    <mergeCell ref="B74:B75"/>
    <mergeCell ref="C74:C75"/>
    <mergeCell ref="D74:D75"/>
    <mergeCell ref="A76:B77"/>
    <mergeCell ref="C76:C77"/>
    <mergeCell ref="D76:D77"/>
    <mergeCell ref="A68:A75"/>
    <mergeCell ref="B68:B69"/>
    <mergeCell ref="C68:C69"/>
    <mergeCell ref="D68:D69"/>
    <mergeCell ref="B70:B71"/>
    <mergeCell ref="C70:C71"/>
    <mergeCell ref="D70:D71"/>
    <mergeCell ref="B72:B73"/>
    <mergeCell ref="C72:C73"/>
    <mergeCell ref="D72:D73"/>
    <mergeCell ref="A56:A67"/>
    <mergeCell ref="B56:B57"/>
    <mergeCell ref="C56:C57"/>
    <mergeCell ref="D56:D57"/>
    <mergeCell ref="B58:B59"/>
    <mergeCell ref="C58:C59"/>
    <mergeCell ref="D58:D59"/>
    <mergeCell ref="B64:B65"/>
    <mergeCell ref="C64:C65"/>
    <mergeCell ref="D64:D65"/>
    <mergeCell ref="B66:B67"/>
    <mergeCell ref="C66:C67"/>
    <mergeCell ref="D66:D67"/>
    <mergeCell ref="B60:B61"/>
    <mergeCell ref="C60:C61"/>
    <mergeCell ref="D60:D61"/>
    <mergeCell ref="B62:B63"/>
    <mergeCell ref="C62:C63"/>
    <mergeCell ref="D62:D63"/>
    <mergeCell ref="C52:C53"/>
    <mergeCell ref="D52:D53"/>
    <mergeCell ref="B46:B47"/>
    <mergeCell ref="C46:C47"/>
    <mergeCell ref="D46:D47"/>
    <mergeCell ref="B48:B49"/>
    <mergeCell ref="C48:C49"/>
    <mergeCell ref="D48:D49"/>
    <mergeCell ref="B54:B55"/>
    <mergeCell ref="C54:C55"/>
    <mergeCell ref="D54:D55"/>
    <mergeCell ref="B40:B41"/>
    <mergeCell ref="C40:C41"/>
    <mergeCell ref="D40:D41"/>
    <mergeCell ref="A42:A55"/>
    <mergeCell ref="B42:B43"/>
    <mergeCell ref="C42:C43"/>
    <mergeCell ref="D42:D43"/>
    <mergeCell ref="B44:B45"/>
    <mergeCell ref="C44:C45"/>
    <mergeCell ref="D44:D45"/>
    <mergeCell ref="A26:A41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50:B51"/>
    <mergeCell ref="C50:C51"/>
    <mergeCell ref="D50:D51"/>
    <mergeCell ref="B52:B53"/>
    <mergeCell ref="B36:B37"/>
    <mergeCell ref="C36:C37"/>
    <mergeCell ref="D36:D37"/>
    <mergeCell ref="B38:B39"/>
    <mergeCell ref="C38:C39"/>
    <mergeCell ref="D38:D39"/>
    <mergeCell ref="B32:B33"/>
    <mergeCell ref="C32:C33"/>
    <mergeCell ref="D32:D33"/>
    <mergeCell ref="B34:B35"/>
    <mergeCell ref="C34:C35"/>
    <mergeCell ref="D34:D35"/>
    <mergeCell ref="A9:D11"/>
    <mergeCell ref="A12:A25"/>
    <mergeCell ref="B12:B13"/>
    <mergeCell ref="C12:C13"/>
    <mergeCell ref="D12:D13"/>
    <mergeCell ref="B14:B15"/>
    <mergeCell ref="C14:C15"/>
    <mergeCell ref="D14:D15"/>
    <mergeCell ref="B16:B17"/>
    <mergeCell ref="B22:B23"/>
    <mergeCell ref="C22:C23"/>
    <mergeCell ref="D22:D23"/>
    <mergeCell ref="B24:B25"/>
    <mergeCell ref="C24:C25"/>
    <mergeCell ref="D24:D25"/>
    <mergeCell ref="C16:C17"/>
    <mergeCell ref="D16:D17"/>
    <mergeCell ref="B18:B19"/>
    <mergeCell ref="C18:C19"/>
    <mergeCell ref="D18:D19"/>
    <mergeCell ref="B20:B21"/>
    <mergeCell ref="C20:C21"/>
    <mergeCell ref="D20:D21"/>
    <mergeCell ref="A6:A8"/>
    <mergeCell ref="B6:B8"/>
    <mergeCell ref="C6:C8"/>
    <mergeCell ref="D6:D8"/>
    <mergeCell ref="E6:Y6"/>
    <mergeCell ref="Z6:AW6"/>
    <mergeCell ref="AX6:AX8"/>
    <mergeCell ref="E7:G7"/>
    <mergeCell ref="H7:J7"/>
    <mergeCell ref="AU7:AW7"/>
    <mergeCell ref="AC7:AE7"/>
    <mergeCell ref="AF7:AH7"/>
    <mergeCell ref="AI7:AK7"/>
    <mergeCell ref="AL7:AN7"/>
    <mergeCell ref="AO7:AQ7"/>
    <mergeCell ref="AR7:AT7"/>
    <mergeCell ref="K7:M7"/>
    <mergeCell ref="N7:P7"/>
    <mergeCell ref="Q7:S7"/>
    <mergeCell ref="T7:V7"/>
    <mergeCell ref="W7:Y7"/>
    <mergeCell ref="Z7:AB7"/>
    <mergeCell ref="A1:B2"/>
    <mergeCell ref="C1:AL4"/>
    <mergeCell ref="AM1:AP1"/>
    <mergeCell ref="AQ1:AT1"/>
    <mergeCell ref="AU1:AX1"/>
    <mergeCell ref="AM2:AP3"/>
    <mergeCell ref="AQ2:AT3"/>
    <mergeCell ref="AU2:AX3"/>
    <mergeCell ref="A3:B4"/>
    <mergeCell ref="AM4:AR4"/>
    <mergeCell ref="AS4:AX4"/>
  </mergeCells>
  <phoneticPr fontId="4" type="noConversion"/>
  <printOptions horizontalCentered="1"/>
  <pageMargins left="0.31496062992125984" right="0.31496062992125984" top="0.55118110236220474" bottom="0.39370078740157483" header="0.31496062992125984" footer="0.19685039370078741"/>
  <pageSetup paperSize="9" scale="31" fitToHeight="0" orientation="landscape" r:id="rId1"/>
  <headerFooter>
    <oddFooter>&amp;L&amp;18※ 본 양식은 단지 참조용으로 제시된 것이며 별도의 서식을 사용할 수 있음.&amp;R&amp;18QA-8.6-1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BA93"/>
  <sheetViews>
    <sheetView view="pageBreakPreview" zoomScale="55" zoomScaleNormal="55" zoomScaleSheetLayoutView="55" workbookViewId="0">
      <selection activeCell="AU7" sqref="AU7:AW7"/>
    </sheetView>
  </sheetViews>
  <sheetFormatPr defaultColWidth="9" defaultRowHeight="17.25"/>
  <cols>
    <col min="1" max="1" width="22.625" style="13" customWidth="1"/>
    <col min="2" max="2" width="28.625" style="13" customWidth="1"/>
    <col min="3" max="3" width="21.125" style="14" customWidth="1"/>
    <col min="4" max="4" width="16.625" style="15" customWidth="1"/>
    <col min="5" max="49" width="7.125" style="13" customWidth="1"/>
    <col min="50" max="50" width="6.875" style="13" customWidth="1"/>
    <col min="51" max="54" width="15.625" style="13" customWidth="1"/>
    <col min="55" max="16384" width="9" style="13"/>
  </cols>
  <sheetData>
    <row r="1" spans="1:50" ht="39.950000000000003" customHeight="1">
      <c r="A1" s="435"/>
      <c r="B1" s="435"/>
      <c r="C1" s="436" t="s">
        <v>414</v>
      </c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8"/>
      <c r="AM1" s="445" t="s">
        <v>65</v>
      </c>
      <c r="AN1" s="445"/>
      <c r="AO1" s="445"/>
      <c r="AP1" s="445"/>
      <c r="AQ1" s="445" t="s">
        <v>66</v>
      </c>
      <c r="AR1" s="445"/>
      <c r="AS1" s="445"/>
      <c r="AT1" s="445"/>
      <c r="AU1" s="445" t="s">
        <v>28</v>
      </c>
      <c r="AV1" s="445"/>
      <c r="AW1" s="445"/>
      <c r="AX1" s="445"/>
    </row>
    <row r="2" spans="1:50" ht="50.1" customHeight="1">
      <c r="A2" s="435"/>
      <c r="B2" s="435"/>
      <c r="C2" s="439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1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</row>
    <row r="3" spans="1:50" ht="38.25" customHeight="1">
      <c r="A3" s="447" t="s">
        <v>67</v>
      </c>
      <c r="B3" s="447"/>
      <c r="C3" s="439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1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</row>
    <row r="4" spans="1:50" ht="39.950000000000003" customHeight="1">
      <c r="A4" s="447"/>
      <c r="B4" s="447"/>
      <c r="C4" s="442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4"/>
      <c r="AM4" s="448" t="s">
        <v>416</v>
      </c>
      <c r="AN4" s="449"/>
      <c r="AO4" s="449"/>
      <c r="AP4" s="449"/>
      <c r="AQ4" s="449"/>
      <c r="AR4" s="450"/>
      <c r="AS4" s="451" t="s">
        <v>31</v>
      </c>
      <c r="AT4" s="452"/>
      <c r="AU4" s="452"/>
      <c r="AV4" s="452"/>
      <c r="AW4" s="452"/>
      <c r="AX4" s="453"/>
    </row>
    <row r="5" spans="1:50" s="20" customFormat="1" ht="51" customHeight="1">
      <c r="A5" s="16" t="s">
        <v>417</v>
      </c>
      <c r="B5" s="17"/>
      <c r="C5" s="18"/>
      <c r="D5" s="19"/>
      <c r="AX5" s="21"/>
    </row>
    <row r="6" spans="1:50" ht="18" customHeight="1">
      <c r="A6" s="454" t="s">
        <v>33</v>
      </c>
      <c r="B6" s="454" t="s">
        <v>68</v>
      </c>
      <c r="C6" s="457" t="s">
        <v>69</v>
      </c>
      <c r="D6" s="460" t="s">
        <v>70</v>
      </c>
      <c r="E6" s="463" t="s">
        <v>418</v>
      </c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5"/>
      <c r="Z6" s="463" t="s">
        <v>419</v>
      </c>
      <c r="AA6" s="464"/>
      <c r="AB6" s="464"/>
      <c r="AC6" s="464"/>
      <c r="AD6" s="464"/>
      <c r="AE6" s="464"/>
      <c r="AF6" s="464"/>
      <c r="AG6" s="464"/>
      <c r="AH6" s="464"/>
      <c r="AI6" s="464"/>
      <c r="AJ6" s="464"/>
      <c r="AK6" s="464"/>
      <c r="AL6" s="464"/>
      <c r="AM6" s="464"/>
      <c r="AN6" s="464"/>
      <c r="AO6" s="464"/>
      <c r="AP6" s="464"/>
      <c r="AQ6" s="464"/>
      <c r="AR6" s="464"/>
      <c r="AS6" s="464"/>
      <c r="AT6" s="464"/>
      <c r="AU6" s="464"/>
      <c r="AV6" s="464"/>
      <c r="AW6" s="464"/>
      <c r="AX6" s="466" t="s">
        <v>71</v>
      </c>
    </row>
    <row r="7" spans="1:50" s="23" customFormat="1" ht="18" customHeight="1">
      <c r="A7" s="455"/>
      <c r="B7" s="455"/>
      <c r="C7" s="458"/>
      <c r="D7" s="461"/>
      <c r="E7" s="469" t="s">
        <v>72</v>
      </c>
      <c r="F7" s="469"/>
      <c r="G7" s="469"/>
      <c r="H7" s="463" t="s">
        <v>73</v>
      </c>
      <c r="I7" s="464"/>
      <c r="J7" s="465"/>
      <c r="K7" s="469" t="s">
        <v>42</v>
      </c>
      <c r="L7" s="469"/>
      <c r="M7" s="469"/>
      <c r="N7" s="463" t="s">
        <v>43</v>
      </c>
      <c r="O7" s="464"/>
      <c r="P7" s="465"/>
      <c r="Q7" s="469" t="s">
        <v>44</v>
      </c>
      <c r="R7" s="469"/>
      <c r="S7" s="469"/>
      <c r="T7" s="463" t="s">
        <v>45</v>
      </c>
      <c r="U7" s="464"/>
      <c r="V7" s="465"/>
      <c r="W7" s="469" t="s">
        <v>46</v>
      </c>
      <c r="X7" s="469"/>
      <c r="Y7" s="469"/>
      <c r="Z7" s="463" t="s">
        <v>74</v>
      </c>
      <c r="AA7" s="464"/>
      <c r="AB7" s="465"/>
      <c r="AC7" s="469" t="s">
        <v>48</v>
      </c>
      <c r="AD7" s="469"/>
      <c r="AE7" s="469"/>
      <c r="AF7" s="463" t="s">
        <v>49</v>
      </c>
      <c r="AG7" s="464"/>
      <c r="AH7" s="465"/>
      <c r="AI7" s="469" t="s">
        <v>50</v>
      </c>
      <c r="AJ7" s="469"/>
      <c r="AK7" s="469"/>
      <c r="AL7" s="463" t="s">
        <v>51</v>
      </c>
      <c r="AM7" s="464"/>
      <c r="AN7" s="465"/>
      <c r="AO7" s="469" t="s">
        <v>52</v>
      </c>
      <c r="AP7" s="469"/>
      <c r="AQ7" s="469"/>
      <c r="AR7" s="463" t="s">
        <v>53</v>
      </c>
      <c r="AS7" s="464"/>
      <c r="AT7" s="465"/>
      <c r="AU7" s="469" t="s">
        <v>42</v>
      </c>
      <c r="AV7" s="469"/>
      <c r="AW7" s="469"/>
      <c r="AX7" s="467"/>
    </row>
    <row r="8" spans="1:50" ht="18" customHeight="1" thickBot="1">
      <c r="A8" s="456"/>
      <c r="B8" s="456"/>
      <c r="C8" s="459"/>
      <c r="D8" s="462"/>
      <c r="E8" s="24">
        <v>10</v>
      </c>
      <c r="F8" s="25">
        <v>20</v>
      </c>
      <c r="G8" s="26">
        <v>30</v>
      </c>
      <c r="H8" s="24">
        <v>10</v>
      </c>
      <c r="I8" s="25">
        <v>20</v>
      </c>
      <c r="J8" s="26">
        <v>30</v>
      </c>
      <c r="K8" s="24">
        <v>10</v>
      </c>
      <c r="L8" s="25">
        <v>20</v>
      </c>
      <c r="M8" s="26">
        <v>30</v>
      </c>
      <c r="N8" s="24">
        <v>10</v>
      </c>
      <c r="O8" s="25">
        <v>20</v>
      </c>
      <c r="P8" s="26">
        <v>30</v>
      </c>
      <c r="Q8" s="24">
        <v>10</v>
      </c>
      <c r="R8" s="25">
        <v>20</v>
      </c>
      <c r="S8" s="26">
        <v>30</v>
      </c>
      <c r="T8" s="24">
        <v>10</v>
      </c>
      <c r="U8" s="25">
        <v>20</v>
      </c>
      <c r="V8" s="26">
        <v>30</v>
      </c>
      <c r="W8" s="24">
        <v>10</v>
      </c>
      <c r="X8" s="25">
        <v>20</v>
      </c>
      <c r="Y8" s="26">
        <v>30</v>
      </c>
      <c r="Z8" s="24">
        <v>10</v>
      </c>
      <c r="AA8" s="25">
        <v>20</v>
      </c>
      <c r="AB8" s="26">
        <v>30</v>
      </c>
      <c r="AC8" s="24">
        <v>10</v>
      </c>
      <c r="AD8" s="25">
        <v>20</v>
      </c>
      <c r="AE8" s="26">
        <v>30</v>
      </c>
      <c r="AF8" s="24">
        <v>10</v>
      </c>
      <c r="AG8" s="25">
        <v>20</v>
      </c>
      <c r="AH8" s="26">
        <v>30</v>
      </c>
      <c r="AI8" s="24">
        <v>10</v>
      </c>
      <c r="AJ8" s="25">
        <v>20</v>
      </c>
      <c r="AK8" s="26">
        <v>30</v>
      </c>
      <c r="AL8" s="24">
        <v>10</v>
      </c>
      <c r="AM8" s="25">
        <v>20</v>
      </c>
      <c r="AN8" s="26">
        <v>30</v>
      </c>
      <c r="AO8" s="24">
        <v>10</v>
      </c>
      <c r="AP8" s="25">
        <v>20</v>
      </c>
      <c r="AQ8" s="26">
        <v>30</v>
      </c>
      <c r="AR8" s="24">
        <v>10</v>
      </c>
      <c r="AS8" s="25">
        <v>20</v>
      </c>
      <c r="AT8" s="26">
        <v>30</v>
      </c>
      <c r="AU8" s="24">
        <v>10</v>
      </c>
      <c r="AV8" s="25">
        <v>20</v>
      </c>
      <c r="AW8" s="26">
        <v>30</v>
      </c>
      <c r="AX8" s="468"/>
    </row>
    <row r="9" spans="1:50" ht="20.100000000000001" customHeight="1" thickTop="1">
      <c r="A9" s="470" t="s">
        <v>75</v>
      </c>
      <c r="B9" s="471"/>
      <c r="C9" s="471"/>
      <c r="D9" s="472"/>
      <c r="E9" s="28"/>
      <c r="F9" s="29"/>
      <c r="G9" s="30"/>
      <c r="H9" s="28"/>
      <c r="I9" s="29"/>
      <c r="J9" s="30"/>
      <c r="K9" s="28"/>
      <c r="L9" s="29"/>
      <c r="M9" s="30"/>
      <c r="N9" s="28"/>
      <c r="O9" s="29"/>
      <c r="P9" s="30"/>
      <c r="Q9" s="28"/>
      <c r="R9" s="29"/>
      <c r="S9" s="30"/>
      <c r="T9" s="28"/>
      <c r="U9" s="29"/>
      <c r="V9" s="30"/>
      <c r="W9" s="28"/>
      <c r="X9" s="29"/>
      <c r="Y9" s="30"/>
      <c r="Z9" s="28"/>
      <c r="AA9" s="29"/>
      <c r="AB9" s="30"/>
      <c r="AC9" s="28"/>
      <c r="AD9" s="29"/>
      <c r="AE9" s="30"/>
      <c r="AF9" s="28"/>
      <c r="AG9" s="29"/>
      <c r="AH9" s="30"/>
      <c r="AI9" s="28"/>
      <c r="AJ9" s="29"/>
      <c r="AK9" s="30"/>
      <c r="AL9" s="28"/>
      <c r="AM9" s="29"/>
      <c r="AN9" s="30"/>
      <c r="AO9" s="28"/>
      <c r="AP9" s="29"/>
      <c r="AQ9" s="30"/>
      <c r="AR9" s="28"/>
      <c r="AS9" s="29"/>
      <c r="AT9" s="30"/>
      <c r="AU9" s="28"/>
      <c r="AV9" s="29"/>
      <c r="AW9" s="30"/>
      <c r="AX9" s="31"/>
    </row>
    <row r="10" spans="1:50" ht="20.100000000000001" customHeight="1">
      <c r="A10" s="473"/>
      <c r="B10" s="474"/>
      <c r="C10" s="474"/>
      <c r="D10" s="475"/>
      <c r="E10" s="32"/>
      <c r="F10" s="33"/>
      <c r="G10" s="34"/>
      <c r="H10" s="32"/>
      <c r="I10" s="33"/>
      <c r="J10" s="34"/>
      <c r="K10" s="35"/>
      <c r="L10" s="33"/>
      <c r="M10" s="36"/>
      <c r="N10" s="35"/>
      <c r="O10" s="33"/>
      <c r="P10" s="36"/>
      <c r="Q10" s="35"/>
      <c r="R10" s="37"/>
      <c r="S10" s="36"/>
      <c r="T10" s="32"/>
      <c r="U10" s="33"/>
      <c r="V10" s="36"/>
      <c r="W10" s="35"/>
      <c r="X10" s="33"/>
      <c r="Y10" s="34"/>
      <c r="Z10" s="32"/>
      <c r="AA10" s="33"/>
      <c r="AB10" s="36"/>
      <c r="AC10" s="32"/>
      <c r="AD10" s="33"/>
      <c r="AE10" s="36"/>
      <c r="AF10" s="35"/>
      <c r="AG10" s="33"/>
      <c r="AH10" s="36"/>
      <c r="AI10" s="32"/>
      <c r="AJ10" s="37"/>
      <c r="AK10" s="36"/>
      <c r="AL10" s="32"/>
      <c r="AM10" s="33"/>
      <c r="AN10" s="34"/>
      <c r="AO10" s="32"/>
      <c r="AP10" s="33"/>
      <c r="AQ10" s="36"/>
      <c r="AR10" s="32"/>
      <c r="AS10" s="33"/>
      <c r="AT10" s="36"/>
      <c r="AU10" s="32"/>
      <c r="AV10" s="33"/>
      <c r="AW10" s="36"/>
      <c r="AX10" s="38"/>
    </row>
    <row r="11" spans="1:50" s="43" customFormat="1" ht="20.100000000000001" customHeight="1" thickBot="1">
      <c r="A11" s="476"/>
      <c r="B11" s="477"/>
      <c r="C11" s="477"/>
      <c r="D11" s="478"/>
      <c r="E11" s="39"/>
      <c r="F11" s="40"/>
      <c r="G11" s="41"/>
      <c r="H11" s="39"/>
      <c r="I11" s="40"/>
      <c r="J11" s="41"/>
      <c r="K11" s="39"/>
      <c r="L11" s="40"/>
      <c r="M11" s="41"/>
      <c r="N11" s="39"/>
      <c r="O11" s="40"/>
      <c r="P11" s="41"/>
      <c r="Q11" s="39"/>
      <c r="R11" s="40"/>
      <c r="S11" s="41"/>
      <c r="T11" s="39"/>
      <c r="U11" s="40"/>
      <c r="V11" s="41"/>
      <c r="W11" s="39"/>
      <c r="X11" s="40"/>
      <c r="Y11" s="41"/>
      <c r="Z11" s="39"/>
      <c r="AA11" s="40"/>
      <c r="AB11" s="41"/>
      <c r="AC11" s="39"/>
      <c r="AD11" s="40"/>
      <c r="AE11" s="41"/>
      <c r="AF11" s="39"/>
      <c r="AG11" s="40"/>
      <c r="AH11" s="41"/>
      <c r="AI11" s="39"/>
      <c r="AJ11" s="40"/>
      <c r="AK11" s="41"/>
      <c r="AL11" s="39"/>
      <c r="AM11" s="40"/>
      <c r="AN11" s="41"/>
      <c r="AO11" s="39"/>
      <c r="AP11" s="40"/>
      <c r="AQ11" s="41"/>
      <c r="AR11" s="39"/>
      <c r="AS11" s="40"/>
      <c r="AT11" s="41"/>
      <c r="AU11" s="39"/>
      <c r="AV11" s="40"/>
      <c r="AW11" s="41"/>
      <c r="AX11" s="42"/>
    </row>
    <row r="12" spans="1:50" ht="18" customHeight="1" thickTop="1">
      <c r="A12" s="507" t="s">
        <v>76</v>
      </c>
      <c r="B12" s="510" t="s">
        <v>77</v>
      </c>
      <c r="C12" s="107"/>
      <c r="D12" s="513" t="s">
        <v>78</v>
      </c>
      <c r="E12" s="108"/>
      <c r="F12" s="109"/>
      <c r="G12" s="110"/>
      <c r="H12" s="108"/>
      <c r="I12" s="109"/>
      <c r="J12" s="110"/>
      <c r="K12" s="108"/>
      <c r="L12" s="109"/>
      <c r="M12" s="110"/>
      <c r="N12" s="108"/>
      <c r="O12" s="109"/>
      <c r="P12" s="110"/>
      <c r="Q12" s="108"/>
      <c r="R12" s="109"/>
      <c r="S12" s="110"/>
      <c r="T12" s="108"/>
      <c r="U12" s="109"/>
      <c r="V12" s="110"/>
      <c r="W12" s="108"/>
      <c r="X12" s="109"/>
      <c r="Y12" s="110"/>
      <c r="Z12" s="108"/>
      <c r="AA12" s="109"/>
      <c r="AB12" s="110"/>
      <c r="AC12" s="108"/>
      <c r="AD12" s="109"/>
      <c r="AE12" s="110"/>
      <c r="AF12" s="108"/>
      <c r="AG12" s="109"/>
      <c r="AH12" s="110"/>
      <c r="AI12" s="108"/>
      <c r="AJ12" s="109"/>
      <c r="AK12" s="110"/>
      <c r="AL12" s="108"/>
      <c r="AM12" s="109"/>
      <c r="AN12" s="110"/>
      <c r="AO12" s="108"/>
      <c r="AP12" s="109"/>
      <c r="AQ12" s="110"/>
      <c r="AR12" s="108"/>
      <c r="AS12" s="109"/>
      <c r="AT12" s="110"/>
      <c r="AU12" s="108"/>
      <c r="AV12" s="109"/>
      <c r="AW12" s="110"/>
      <c r="AX12" s="111">
        <v>1</v>
      </c>
    </row>
    <row r="13" spans="1:50" ht="18" customHeight="1">
      <c r="A13" s="508"/>
      <c r="B13" s="511"/>
      <c r="C13" s="112"/>
      <c r="D13" s="491"/>
      <c r="E13" s="49"/>
      <c r="F13" s="50"/>
      <c r="G13" s="113"/>
      <c r="H13" s="49"/>
      <c r="I13" s="45"/>
      <c r="J13" s="113"/>
      <c r="K13" s="114"/>
      <c r="L13" s="45"/>
      <c r="M13" s="115"/>
      <c r="N13" s="114"/>
      <c r="O13" s="50"/>
      <c r="P13" s="115"/>
      <c r="Q13" s="114"/>
      <c r="R13" s="116"/>
      <c r="S13" s="115"/>
      <c r="T13" s="49"/>
      <c r="U13" s="50"/>
      <c r="V13" s="115"/>
      <c r="W13" s="114"/>
      <c r="X13" s="50"/>
      <c r="Y13" s="113"/>
      <c r="Z13" s="44"/>
      <c r="AA13" s="50"/>
      <c r="AB13" s="115"/>
      <c r="AC13" s="49"/>
      <c r="AD13" s="50"/>
      <c r="AE13" s="115"/>
      <c r="AF13" s="114"/>
      <c r="AG13" s="50"/>
      <c r="AH13" s="115"/>
      <c r="AI13" s="49"/>
      <c r="AJ13" s="116"/>
      <c r="AK13" s="115"/>
      <c r="AL13" s="49"/>
      <c r="AM13" s="50"/>
      <c r="AN13" s="113"/>
      <c r="AO13" s="49"/>
      <c r="AP13" s="50"/>
      <c r="AQ13" s="115"/>
      <c r="AR13" s="49"/>
      <c r="AS13" s="50"/>
      <c r="AT13" s="115"/>
      <c r="AU13" s="49"/>
      <c r="AV13" s="50"/>
      <c r="AW13" s="115"/>
      <c r="AX13" s="117"/>
    </row>
    <row r="14" spans="1:50" s="43" customFormat="1" ht="18" customHeight="1">
      <c r="A14" s="508"/>
      <c r="B14" s="512"/>
      <c r="C14" s="118"/>
      <c r="D14" s="514"/>
      <c r="E14" s="44"/>
      <c r="F14" s="45"/>
      <c r="G14" s="46"/>
      <c r="H14" s="44"/>
      <c r="I14" s="45"/>
      <c r="J14" s="46"/>
      <c r="K14" s="44"/>
      <c r="L14" s="45"/>
      <c r="M14" s="46"/>
      <c r="N14" s="44"/>
      <c r="O14" s="45"/>
      <c r="P14" s="46"/>
      <c r="Q14" s="49"/>
      <c r="R14" s="50"/>
      <c r="S14" s="46"/>
      <c r="T14" s="44"/>
      <c r="U14" s="45"/>
      <c r="V14" s="46"/>
      <c r="W14" s="44"/>
      <c r="X14" s="45"/>
      <c r="Y14" s="46"/>
      <c r="Z14" s="44"/>
      <c r="AA14" s="45"/>
      <c r="AB14" s="46"/>
      <c r="AC14" s="44"/>
      <c r="AD14" s="45"/>
      <c r="AE14" s="46"/>
      <c r="AF14" s="44"/>
      <c r="AG14" s="45"/>
      <c r="AH14" s="46"/>
      <c r="AI14" s="44"/>
      <c r="AJ14" s="45"/>
      <c r="AK14" s="46"/>
      <c r="AL14" s="44"/>
      <c r="AM14" s="45"/>
      <c r="AN14" s="46"/>
      <c r="AO14" s="44"/>
      <c r="AP14" s="45"/>
      <c r="AQ14" s="46"/>
      <c r="AR14" s="44"/>
      <c r="AS14" s="45"/>
      <c r="AT14" s="46"/>
      <c r="AU14" s="44"/>
      <c r="AV14" s="45"/>
      <c r="AW14" s="46"/>
      <c r="AX14" s="119"/>
    </row>
    <row r="15" spans="1:50" s="43" customFormat="1" ht="19.5" customHeight="1">
      <c r="A15" s="508"/>
      <c r="B15" s="515" t="s">
        <v>79</v>
      </c>
      <c r="C15" s="516">
        <v>58607000</v>
      </c>
      <c r="D15" s="518">
        <v>0.02</v>
      </c>
      <c r="E15" s="44"/>
      <c r="F15" s="45"/>
      <c r="G15" s="46"/>
      <c r="H15" s="47" t="s">
        <v>80</v>
      </c>
      <c r="I15" s="48"/>
      <c r="J15" s="46"/>
      <c r="K15" s="47"/>
      <c r="L15" s="45"/>
      <c r="M15" s="46"/>
      <c r="N15" s="44"/>
      <c r="O15" s="45"/>
      <c r="P15" s="46"/>
      <c r="Q15" s="49"/>
      <c r="R15" s="50"/>
      <c r="S15" s="46"/>
      <c r="T15" s="44"/>
      <c r="U15" s="45"/>
      <c r="V15" s="46"/>
      <c r="W15" s="44"/>
      <c r="X15" s="45"/>
      <c r="Y15" s="46"/>
      <c r="Z15" s="44"/>
      <c r="AA15" s="45"/>
      <c r="AB15" s="46"/>
      <c r="AC15" s="44"/>
      <c r="AD15" s="45"/>
      <c r="AE15" s="51"/>
      <c r="AF15" s="47"/>
      <c r="AG15" s="48"/>
      <c r="AH15" s="51"/>
      <c r="AI15" s="47"/>
      <c r="AJ15" s="48"/>
      <c r="AK15" s="51"/>
      <c r="AL15" s="44"/>
      <c r="AM15" s="45"/>
      <c r="AN15" s="46"/>
      <c r="AO15" s="44"/>
      <c r="AP15" s="45"/>
      <c r="AQ15" s="46"/>
      <c r="AR15" s="44"/>
      <c r="AS15" s="45"/>
      <c r="AT15" s="46"/>
      <c r="AU15" s="44"/>
      <c r="AV15" s="45"/>
      <c r="AW15" s="46"/>
      <c r="AX15" s="119">
        <v>0.95</v>
      </c>
    </row>
    <row r="16" spans="1:50" s="43" customFormat="1" ht="19.5" customHeight="1">
      <c r="A16" s="508"/>
      <c r="B16" s="482"/>
      <c r="C16" s="517"/>
      <c r="D16" s="486"/>
      <c r="E16" s="44"/>
      <c r="F16" s="45">
        <v>0.04</v>
      </c>
      <c r="G16" s="46"/>
      <c r="H16" s="44"/>
      <c r="I16" s="53">
        <v>0.2</v>
      </c>
      <c r="J16" s="46"/>
      <c r="K16" s="44"/>
      <c r="L16" s="53">
        <v>0.2</v>
      </c>
      <c r="M16" s="54"/>
      <c r="N16" s="44"/>
      <c r="O16" s="45">
        <v>0.14000000000000001</v>
      </c>
      <c r="P16" s="46"/>
      <c r="Q16" s="49"/>
      <c r="R16" s="45">
        <v>0.14000000000000001</v>
      </c>
      <c r="S16" s="46"/>
      <c r="T16" s="44"/>
      <c r="U16" s="45">
        <v>0.14000000000000001</v>
      </c>
      <c r="V16" s="46"/>
      <c r="W16" s="44"/>
      <c r="X16" s="45">
        <v>0.14000000000000001</v>
      </c>
      <c r="Y16" s="46"/>
      <c r="Z16" s="44"/>
      <c r="AA16" s="45">
        <v>0.14000000000000001</v>
      </c>
      <c r="AB16" s="46"/>
      <c r="AC16" s="44"/>
      <c r="AD16" s="45">
        <v>0.14000000000000001</v>
      </c>
      <c r="AE16" s="46"/>
      <c r="AF16" s="44"/>
      <c r="AG16" s="45">
        <v>0.14000000000000001</v>
      </c>
      <c r="AH16" s="46"/>
      <c r="AI16" s="44"/>
      <c r="AJ16" s="45">
        <v>0.14000000000000001</v>
      </c>
      <c r="AK16" s="46"/>
      <c r="AL16" s="44"/>
      <c r="AM16" s="45">
        <v>0.14000000000000001</v>
      </c>
      <c r="AN16" s="46"/>
      <c r="AO16" s="44"/>
      <c r="AP16" s="45">
        <v>0.14000000000000001</v>
      </c>
      <c r="AQ16" s="46"/>
      <c r="AR16" s="44"/>
      <c r="AS16" s="45">
        <v>0.16</v>
      </c>
      <c r="AT16" s="46"/>
      <c r="AU16" s="44"/>
      <c r="AV16" s="45"/>
      <c r="AW16" s="46"/>
      <c r="AX16" s="119"/>
    </row>
    <row r="17" spans="1:50" s="43" customFormat="1" ht="19.5" customHeight="1">
      <c r="A17" s="508"/>
      <c r="B17" s="482" t="s">
        <v>81</v>
      </c>
      <c r="C17" s="517">
        <v>512925000</v>
      </c>
      <c r="D17" s="486">
        <v>0.01</v>
      </c>
      <c r="E17" s="47"/>
      <c r="F17" s="48"/>
      <c r="G17" s="46"/>
      <c r="H17" s="47"/>
      <c r="I17" s="45"/>
      <c r="J17" s="46"/>
      <c r="K17" s="47"/>
      <c r="L17" s="48" t="s">
        <v>82</v>
      </c>
      <c r="M17" s="51"/>
      <c r="N17" s="44"/>
      <c r="O17" s="48"/>
      <c r="P17" s="51"/>
      <c r="Q17" s="47"/>
      <c r="R17" s="55"/>
      <c r="S17" s="46"/>
      <c r="T17" s="44"/>
      <c r="U17" s="45"/>
      <c r="V17" s="46"/>
      <c r="W17" s="44"/>
      <c r="X17" s="55"/>
      <c r="Y17" s="46"/>
      <c r="Z17" s="44"/>
      <c r="AA17" s="45"/>
      <c r="AB17" s="46"/>
      <c r="AC17" s="47"/>
      <c r="AD17" s="48"/>
      <c r="AE17" s="51"/>
      <c r="AF17" s="47"/>
      <c r="AG17" s="48"/>
      <c r="AH17" s="51"/>
      <c r="AI17" s="44"/>
      <c r="AJ17" s="45"/>
      <c r="AK17" s="46"/>
      <c r="AL17" s="44"/>
      <c r="AM17" s="45"/>
      <c r="AN17" s="46"/>
      <c r="AO17" s="44"/>
      <c r="AP17" s="45"/>
      <c r="AQ17" s="46"/>
      <c r="AR17" s="44"/>
      <c r="AS17" s="45"/>
      <c r="AT17" s="46"/>
      <c r="AU17" s="44"/>
      <c r="AV17" s="45"/>
      <c r="AW17" s="46"/>
      <c r="AX17" s="119"/>
    </row>
    <row r="18" spans="1:50" s="43" customFormat="1" ht="19.5" customHeight="1">
      <c r="A18" s="508"/>
      <c r="B18" s="482"/>
      <c r="C18" s="517"/>
      <c r="D18" s="486"/>
      <c r="E18" s="44"/>
      <c r="F18" s="45">
        <v>0.08</v>
      </c>
      <c r="G18" s="46"/>
      <c r="H18" s="44"/>
      <c r="I18" s="45">
        <v>0.2</v>
      </c>
      <c r="J18" s="46"/>
      <c r="K18" s="44"/>
      <c r="L18" s="45">
        <v>0.18</v>
      </c>
      <c r="M18" s="46"/>
      <c r="N18" s="44"/>
      <c r="O18" s="45">
        <v>0.18</v>
      </c>
      <c r="P18" s="46"/>
      <c r="Q18" s="49"/>
      <c r="R18" s="50">
        <v>0.18</v>
      </c>
      <c r="S18" s="46"/>
      <c r="T18" s="44"/>
      <c r="U18" s="45">
        <v>0.18</v>
      </c>
      <c r="V18" s="46"/>
      <c r="W18" s="44"/>
      <c r="X18" s="45"/>
      <c r="Y18" s="46"/>
      <c r="Z18" s="44"/>
      <c r="AA18" s="45"/>
      <c r="AB18" s="46"/>
      <c r="AC18" s="44"/>
      <c r="AD18" s="45"/>
      <c r="AE18" s="46"/>
      <c r="AF18" s="44"/>
      <c r="AG18" s="45"/>
      <c r="AH18" s="46"/>
      <c r="AI18" s="44"/>
      <c r="AJ18" s="45"/>
      <c r="AK18" s="46"/>
      <c r="AL18" s="44"/>
      <c r="AM18" s="45"/>
      <c r="AN18" s="46"/>
      <c r="AO18" s="44"/>
      <c r="AP18" s="45"/>
      <c r="AQ18" s="46"/>
      <c r="AR18" s="44"/>
      <c r="AS18" s="45"/>
      <c r="AT18" s="46"/>
      <c r="AU18" s="44"/>
      <c r="AV18" s="45"/>
      <c r="AW18" s="46"/>
      <c r="AX18" s="119"/>
    </row>
    <row r="19" spans="1:50" s="43" customFormat="1" ht="19.5" customHeight="1">
      <c r="A19" s="508"/>
      <c r="B19" s="487" t="s">
        <v>83</v>
      </c>
      <c r="C19" s="517">
        <v>2785611000</v>
      </c>
      <c r="D19" s="490">
        <v>0.105</v>
      </c>
      <c r="E19" s="44"/>
      <c r="F19" s="45"/>
      <c r="G19" s="46"/>
      <c r="H19" s="44"/>
      <c r="I19" s="45"/>
      <c r="J19" s="51" t="s">
        <v>84</v>
      </c>
      <c r="K19" s="44"/>
      <c r="L19" s="45"/>
      <c r="M19" s="46"/>
      <c r="N19" s="44"/>
      <c r="O19" s="45"/>
      <c r="P19" s="46"/>
      <c r="Q19" s="47"/>
      <c r="R19" s="48" t="s">
        <v>85</v>
      </c>
      <c r="S19" s="51"/>
      <c r="T19" s="47"/>
      <c r="U19" s="45"/>
      <c r="V19" s="46"/>
      <c r="W19" s="44"/>
      <c r="X19" s="48" t="s">
        <v>86</v>
      </c>
      <c r="Y19" s="46"/>
      <c r="Z19" s="44"/>
      <c r="AA19" s="45"/>
      <c r="AB19" s="46"/>
      <c r="AC19" s="47" t="s">
        <v>87</v>
      </c>
      <c r="AD19" s="45"/>
      <c r="AE19" s="46"/>
      <c r="AF19" s="44"/>
      <c r="AG19" s="45"/>
      <c r="AH19" s="51"/>
      <c r="AI19" s="44"/>
      <c r="AJ19" s="48" t="s">
        <v>88</v>
      </c>
      <c r="AK19" s="46"/>
      <c r="AL19" s="44"/>
      <c r="AM19" s="45"/>
      <c r="AN19" s="46"/>
      <c r="AO19" s="44"/>
      <c r="AP19" s="45"/>
      <c r="AQ19" s="46"/>
      <c r="AR19" s="44"/>
      <c r="AS19" s="45"/>
      <c r="AT19" s="46"/>
      <c r="AU19" s="44"/>
      <c r="AV19" s="45"/>
      <c r="AW19" s="46"/>
      <c r="AX19" s="119">
        <v>0.9</v>
      </c>
    </row>
    <row r="20" spans="1:50" s="43" customFormat="1" ht="19.5" customHeight="1">
      <c r="A20" s="508"/>
      <c r="B20" s="481"/>
      <c r="C20" s="517"/>
      <c r="D20" s="485"/>
      <c r="E20" s="44"/>
      <c r="F20" s="45"/>
      <c r="G20" s="46"/>
      <c r="H20" s="44"/>
      <c r="I20" s="45">
        <v>1.01</v>
      </c>
      <c r="J20" s="46"/>
      <c r="K20" s="44"/>
      <c r="L20" s="45">
        <v>1.01</v>
      </c>
      <c r="M20" s="46"/>
      <c r="N20" s="44"/>
      <c r="O20" s="45">
        <v>1.06</v>
      </c>
      <c r="P20" s="46"/>
      <c r="Q20" s="49"/>
      <c r="R20" s="50">
        <v>1.06</v>
      </c>
      <c r="S20" s="51"/>
      <c r="T20" s="44"/>
      <c r="U20" s="45">
        <v>1.06</v>
      </c>
      <c r="V20" s="46"/>
      <c r="W20" s="44"/>
      <c r="X20" s="45">
        <v>1.06</v>
      </c>
      <c r="Y20" s="46"/>
      <c r="Z20" s="44"/>
      <c r="AA20" s="45">
        <v>1.06</v>
      </c>
      <c r="AB20" s="46"/>
      <c r="AC20" s="44"/>
      <c r="AD20" s="45">
        <v>1.06</v>
      </c>
      <c r="AE20" s="46"/>
      <c r="AF20" s="44"/>
      <c r="AG20" s="45">
        <v>1.06</v>
      </c>
      <c r="AH20" s="46"/>
      <c r="AI20" s="44"/>
      <c r="AJ20" s="45">
        <v>1.06</v>
      </c>
      <c r="AK20" s="46"/>
      <c r="AL20" s="44"/>
      <c r="AM20" s="45"/>
      <c r="AN20" s="46"/>
      <c r="AO20" s="44"/>
      <c r="AP20" s="45"/>
      <c r="AQ20" s="46"/>
      <c r="AR20" s="44"/>
      <c r="AS20" s="48"/>
      <c r="AT20" s="46"/>
      <c r="AU20" s="44"/>
      <c r="AV20" s="45"/>
      <c r="AW20" s="46"/>
      <c r="AX20" s="119"/>
    </row>
    <row r="21" spans="1:50" s="43" customFormat="1" ht="19.5" customHeight="1">
      <c r="A21" s="508"/>
      <c r="B21" s="487" t="s">
        <v>89</v>
      </c>
      <c r="C21" s="517">
        <v>3321243000</v>
      </c>
      <c r="D21" s="491">
        <v>0.13</v>
      </c>
      <c r="E21" s="44"/>
      <c r="F21" s="45"/>
      <c r="G21" s="46"/>
      <c r="H21" s="44"/>
      <c r="I21" s="45"/>
      <c r="J21" s="46"/>
      <c r="K21" s="44"/>
      <c r="L21" s="48" t="s">
        <v>90</v>
      </c>
      <c r="M21" s="46"/>
      <c r="N21" s="44"/>
      <c r="O21" s="45"/>
      <c r="P21" s="46"/>
      <c r="Q21" s="44"/>
      <c r="R21" s="55" t="s">
        <v>91</v>
      </c>
      <c r="S21" s="51"/>
      <c r="T21" s="47"/>
      <c r="U21" s="48" t="s">
        <v>92</v>
      </c>
      <c r="V21" s="46"/>
      <c r="W21" s="44"/>
      <c r="X21" s="48" t="s">
        <v>93</v>
      </c>
      <c r="Y21" s="51"/>
      <c r="Z21" s="44"/>
      <c r="AA21" s="48" t="s">
        <v>94</v>
      </c>
      <c r="AB21" s="46"/>
      <c r="AC21" s="44"/>
      <c r="AD21" s="45"/>
      <c r="AE21" s="46"/>
      <c r="AF21" s="44"/>
      <c r="AG21" s="45"/>
      <c r="AH21" s="46"/>
      <c r="AI21" s="44"/>
      <c r="AJ21" s="45"/>
      <c r="AK21" s="51"/>
      <c r="AL21" s="44"/>
      <c r="AM21" s="45"/>
      <c r="AN21" s="46"/>
      <c r="AO21" s="44"/>
      <c r="AP21" s="48"/>
      <c r="AQ21" s="46"/>
      <c r="AR21" s="44"/>
      <c r="AS21" s="45"/>
      <c r="AT21" s="46"/>
      <c r="AU21" s="44"/>
      <c r="AV21" s="45"/>
      <c r="AW21" s="46"/>
      <c r="AX21" s="119"/>
    </row>
    <row r="22" spans="1:50" s="43" customFormat="1" ht="19.5" customHeight="1">
      <c r="A22" s="508"/>
      <c r="B22" s="481"/>
      <c r="C22" s="517"/>
      <c r="D22" s="485"/>
      <c r="E22" s="44"/>
      <c r="F22" s="45"/>
      <c r="G22" s="46"/>
      <c r="H22" s="44"/>
      <c r="I22" s="53">
        <v>0.3</v>
      </c>
      <c r="J22" s="46"/>
      <c r="K22" s="44"/>
      <c r="L22" s="53">
        <v>0.7</v>
      </c>
      <c r="M22" s="46"/>
      <c r="N22" s="44"/>
      <c r="O22" s="120">
        <v>1</v>
      </c>
      <c r="P22" s="46"/>
      <c r="Q22" s="49"/>
      <c r="R22" s="121">
        <v>1</v>
      </c>
      <c r="S22" s="51"/>
      <c r="T22" s="44"/>
      <c r="U22" s="45">
        <v>3.26</v>
      </c>
      <c r="V22" s="46"/>
      <c r="W22" s="44"/>
      <c r="X22" s="45">
        <v>3.26</v>
      </c>
      <c r="Y22" s="46"/>
      <c r="Z22" s="44"/>
      <c r="AA22" s="45">
        <v>3.26</v>
      </c>
      <c r="AB22" s="46"/>
      <c r="AC22" s="44"/>
      <c r="AD22" s="45">
        <v>0.22</v>
      </c>
      <c r="AE22" s="46"/>
      <c r="AF22" s="44"/>
      <c r="AG22" s="45"/>
      <c r="AH22" s="46"/>
      <c r="AI22" s="44"/>
      <c r="AJ22" s="53"/>
      <c r="AK22" s="46"/>
      <c r="AL22" s="44"/>
      <c r="AM22" s="122"/>
      <c r="AN22" s="46"/>
      <c r="AO22" s="44"/>
      <c r="AP22" s="122"/>
      <c r="AQ22" s="46"/>
      <c r="AR22" s="44"/>
      <c r="AS22" s="45"/>
      <c r="AT22" s="46"/>
      <c r="AU22" s="44"/>
      <c r="AV22" s="45"/>
      <c r="AW22" s="46"/>
      <c r="AX22" s="119"/>
    </row>
    <row r="23" spans="1:50" s="43" customFormat="1" ht="19.5" customHeight="1">
      <c r="A23" s="508"/>
      <c r="B23" s="487" t="s">
        <v>95</v>
      </c>
      <c r="C23" s="517"/>
      <c r="D23" s="490">
        <v>0.11</v>
      </c>
      <c r="E23" s="44"/>
      <c r="F23" s="45"/>
      <c r="G23" s="46"/>
      <c r="H23" s="44"/>
      <c r="I23" s="45"/>
      <c r="J23" s="46"/>
      <c r="K23" s="44"/>
      <c r="L23" s="45"/>
      <c r="M23" s="46"/>
      <c r="N23" s="44"/>
      <c r="O23" s="45"/>
      <c r="P23" s="46"/>
      <c r="Q23" s="44"/>
      <c r="R23" s="55"/>
      <c r="S23" s="51"/>
      <c r="T23" s="44"/>
      <c r="U23" s="45"/>
      <c r="V23" s="51"/>
      <c r="W23" s="47"/>
      <c r="X23" s="48" t="s">
        <v>96</v>
      </c>
      <c r="Y23" s="51"/>
      <c r="Z23" s="44"/>
      <c r="AA23" s="45"/>
      <c r="AB23" s="46"/>
      <c r="AC23" s="44"/>
      <c r="AD23" s="48" t="s">
        <v>97</v>
      </c>
      <c r="AE23" s="46"/>
      <c r="AF23" s="44"/>
      <c r="AG23" s="48"/>
      <c r="AH23" s="51" t="s">
        <v>98</v>
      </c>
      <c r="AI23" s="47"/>
      <c r="AJ23" s="45"/>
      <c r="AK23" s="46"/>
      <c r="AL23" s="44"/>
      <c r="AM23" s="45"/>
      <c r="AN23" s="46"/>
      <c r="AO23" s="44"/>
      <c r="AP23" s="45"/>
      <c r="AQ23" s="46"/>
      <c r="AR23" s="44"/>
      <c r="AS23" s="45"/>
      <c r="AT23" s="46"/>
      <c r="AU23" s="44"/>
      <c r="AV23" s="45"/>
      <c r="AW23" s="46"/>
      <c r="AX23" s="119">
        <v>0.85</v>
      </c>
    </row>
    <row r="24" spans="1:50" s="43" customFormat="1" ht="19.5" customHeight="1">
      <c r="A24" s="508"/>
      <c r="B24" s="481"/>
      <c r="C24" s="517"/>
      <c r="D24" s="485"/>
      <c r="E24" s="44"/>
      <c r="F24" s="45"/>
      <c r="G24" s="46"/>
      <c r="H24" s="44"/>
      <c r="I24" s="45"/>
      <c r="J24" s="46"/>
      <c r="K24" s="44"/>
      <c r="L24" s="45"/>
      <c r="M24" s="46"/>
      <c r="N24" s="44"/>
      <c r="O24" s="45"/>
      <c r="P24" s="46"/>
      <c r="Q24" s="49"/>
      <c r="R24" s="50"/>
      <c r="S24" s="46"/>
      <c r="T24" s="44"/>
      <c r="U24" s="45"/>
      <c r="V24" s="46"/>
      <c r="W24" s="44"/>
      <c r="X24" s="45">
        <v>0.5</v>
      </c>
      <c r="Y24" s="46"/>
      <c r="Z24" s="44"/>
      <c r="AA24" s="45">
        <v>0.9</v>
      </c>
      <c r="AB24" s="46"/>
      <c r="AC24" s="44"/>
      <c r="AD24" s="45">
        <v>2.4</v>
      </c>
      <c r="AE24" s="46"/>
      <c r="AF24" s="44"/>
      <c r="AG24" s="45">
        <v>2.4</v>
      </c>
      <c r="AH24" s="46"/>
      <c r="AI24" s="44"/>
      <c r="AJ24" s="45">
        <v>2.4</v>
      </c>
      <c r="AK24" s="46"/>
      <c r="AL24" s="44"/>
      <c r="AM24" s="45">
        <v>2.4</v>
      </c>
      <c r="AN24" s="46"/>
      <c r="AO24" s="44"/>
      <c r="AP24" s="45"/>
      <c r="AQ24" s="46"/>
      <c r="AR24" s="44"/>
      <c r="AS24" s="45"/>
      <c r="AT24" s="46"/>
      <c r="AU24" s="44"/>
      <c r="AV24" s="45"/>
      <c r="AW24" s="46"/>
      <c r="AX24" s="119"/>
    </row>
    <row r="25" spans="1:50" s="43" customFormat="1" ht="19.5" customHeight="1">
      <c r="A25" s="508"/>
      <c r="B25" s="487" t="s">
        <v>99</v>
      </c>
      <c r="C25" s="517">
        <v>1085434000</v>
      </c>
      <c r="D25" s="490">
        <v>1.4999999999999999E-2</v>
      </c>
      <c r="E25" s="44"/>
      <c r="F25" s="45"/>
      <c r="G25" s="46"/>
      <c r="H25" s="44"/>
      <c r="I25" s="45"/>
      <c r="J25" s="46"/>
      <c r="K25" s="44"/>
      <c r="L25" s="48"/>
      <c r="M25" s="46"/>
      <c r="N25" s="47" t="s">
        <v>100</v>
      </c>
      <c r="O25" s="48"/>
      <c r="P25" s="51"/>
      <c r="Q25" s="47"/>
      <c r="R25" s="45"/>
      <c r="S25" s="46"/>
      <c r="T25" s="47"/>
      <c r="U25" s="48"/>
      <c r="V25" s="46"/>
      <c r="W25" s="44"/>
      <c r="X25" s="45"/>
      <c r="Y25" s="46"/>
      <c r="Z25" s="44"/>
      <c r="AA25" s="45"/>
      <c r="AB25" s="51"/>
      <c r="AC25" s="44"/>
      <c r="AD25" s="45"/>
      <c r="AE25" s="46"/>
      <c r="AF25" s="44"/>
      <c r="AG25" s="45"/>
      <c r="AH25" s="51" t="s">
        <v>101</v>
      </c>
      <c r="AI25" s="44"/>
      <c r="AJ25" s="45"/>
      <c r="AK25" s="46"/>
      <c r="AL25" s="44"/>
      <c r="AM25" s="45"/>
      <c r="AN25" s="46"/>
      <c r="AO25" s="47"/>
      <c r="AP25" s="45"/>
      <c r="AQ25" s="46"/>
      <c r="AR25" s="44"/>
      <c r="AS25" s="45"/>
      <c r="AT25" s="46"/>
      <c r="AU25" s="44"/>
      <c r="AV25" s="45"/>
      <c r="AW25" s="51"/>
      <c r="AX25" s="119"/>
    </row>
    <row r="26" spans="1:50" s="43" customFormat="1" ht="19.5" customHeight="1">
      <c r="A26" s="508"/>
      <c r="B26" s="481"/>
      <c r="C26" s="517"/>
      <c r="D26" s="485"/>
      <c r="E26" s="44"/>
      <c r="F26" s="45"/>
      <c r="G26" s="46"/>
      <c r="H26" s="44"/>
      <c r="I26" s="45"/>
      <c r="J26" s="46"/>
      <c r="K26" s="44"/>
      <c r="L26" s="45">
        <v>0.2</v>
      </c>
      <c r="M26" s="46"/>
      <c r="N26" s="44"/>
      <c r="O26" s="53">
        <v>0.22</v>
      </c>
      <c r="P26" s="46"/>
      <c r="Q26" s="49"/>
      <c r="R26" s="57">
        <v>0.22</v>
      </c>
      <c r="S26" s="46"/>
      <c r="T26" s="44"/>
      <c r="U26" s="45">
        <v>0.22</v>
      </c>
      <c r="V26" s="46"/>
      <c r="W26" s="44"/>
      <c r="X26" s="45">
        <v>0.2</v>
      </c>
      <c r="Y26" s="46"/>
      <c r="Z26" s="44"/>
      <c r="AA26" s="45"/>
      <c r="AB26" s="46"/>
      <c r="AC26" s="44"/>
      <c r="AD26" s="45"/>
      <c r="AE26" s="46"/>
      <c r="AF26" s="44"/>
      <c r="AG26" s="45">
        <v>0.22</v>
      </c>
      <c r="AH26" s="46"/>
      <c r="AI26" s="44"/>
      <c r="AJ26" s="45">
        <v>0.22</v>
      </c>
      <c r="AK26" s="46"/>
      <c r="AL26" s="44"/>
      <c r="AM26" s="45"/>
      <c r="AN26" s="46"/>
      <c r="AO26" s="44"/>
      <c r="AP26" s="45"/>
      <c r="AQ26" s="46"/>
      <c r="AR26" s="44"/>
      <c r="AS26" s="45"/>
      <c r="AT26" s="46"/>
      <c r="AU26" s="44"/>
      <c r="AV26" s="45"/>
      <c r="AW26" s="46"/>
      <c r="AX26" s="119"/>
    </row>
    <row r="27" spans="1:50" s="43" customFormat="1" ht="19.5" customHeight="1">
      <c r="A27" s="508"/>
      <c r="B27" s="487" t="s">
        <v>102</v>
      </c>
      <c r="C27" s="519">
        <v>544425000</v>
      </c>
      <c r="D27" s="490">
        <v>0.01</v>
      </c>
      <c r="E27" s="44"/>
      <c r="F27" s="45"/>
      <c r="G27" s="46"/>
      <c r="H27" s="44"/>
      <c r="I27" s="48"/>
      <c r="J27" s="46"/>
      <c r="K27" s="47"/>
      <c r="L27" s="48"/>
      <c r="M27" s="60"/>
      <c r="N27" s="47"/>
      <c r="O27" s="45"/>
      <c r="P27" s="51"/>
      <c r="Q27" s="47"/>
      <c r="R27" s="50"/>
      <c r="S27" s="46"/>
      <c r="T27" s="44"/>
      <c r="U27" s="45"/>
      <c r="V27" s="46"/>
      <c r="W27" s="44"/>
      <c r="X27" s="45"/>
      <c r="Y27" s="46"/>
      <c r="Z27" s="47"/>
      <c r="AA27" s="45"/>
      <c r="AB27" s="51"/>
      <c r="AC27" s="44"/>
      <c r="AD27" s="48"/>
      <c r="AE27" s="46"/>
      <c r="AF27" s="44"/>
      <c r="AG27" s="48" t="s">
        <v>103</v>
      </c>
      <c r="AH27" s="46"/>
      <c r="AI27" s="47" t="s">
        <v>104</v>
      </c>
      <c r="AJ27" s="45"/>
      <c r="AK27" s="51" t="s">
        <v>105</v>
      </c>
      <c r="AL27" s="44"/>
      <c r="AM27" s="48" t="s">
        <v>106</v>
      </c>
      <c r="AN27" s="46"/>
      <c r="AO27" s="44"/>
      <c r="AP27" s="48"/>
      <c r="AQ27" s="46"/>
      <c r="AR27" s="44"/>
      <c r="AS27" s="45"/>
      <c r="AT27" s="46"/>
      <c r="AU27" s="44"/>
      <c r="AV27" s="45"/>
      <c r="AW27" s="46"/>
      <c r="AX27" s="119">
        <v>0.8</v>
      </c>
    </row>
    <row r="28" spans="1:50" s="43" customFormat="1" ht="19.5" customHeight="1">
      <c r="A28" s="508"/>
      <c r="B28" s="481"/>
      <c r="C28" s="520"/>
      <c r="D28" s="485"/>
      <c r="E28" s="44"/>
      <c r="F28" s="45"/>
      <c r="G28" s="46"/>
      <c r="H28" s="44"/>
      <c r="I28" s="45"/>
      <c r="J28" s="46"/>
      <c r="K28" s="44"/>
      <c r="L28" s="45"/>
      <c r="M28" s="46"/>
      <c r="N28" s="44"/>
      <c r="O28" s="45"/>
      <c r="P28" s="46"/>
      <c r="Q28" s="49"/>
      <c r="R28" s="50"/>
      <c r="S28" s="46"/>
      <c r="T28" s="44"/>
      <c r="U28" s="45"/>
      <c r="V28" s="46"/>
      <c r="W28" s="44"/>
      <c r="X28" s="45"/>
      <c r="Y28" s="46"/>
      <c r="Z28" s="44"/>
      <c r="AA28" s="45"/>
      <c r="AB28" s="46"/>
      <c r="AC28" s="44"/>
      <c r="AD28" s="45"/>
      <c r="AE28" s="46"/>
      <c r="AF28" s="44"/>
      <c r="AG28" s="45">
        <v>0.25</v>
      </c>
      <c r="AH28" s="46"/>
      <c r="AI28" s="44"/>
      <c r="AJ28" s="45">
        <v>0.3</v>
      </c>
      <c r="AK28" s="46"/>
      <c r="AL28" s="44"/>
      <c r="AM28" s="45">
        <v>0.3</v>
      </c>
      <c r="AN28" s="46"/>
      <c r="AO28" s="44"/>
      <c r="AP28" s="45">
        <v>0.15</v>
      </c>
      <c r="AQ28" s="46"/>
      <c r="AR28" s="44"/>
      <c r="AS28" s="45"/>
      <c r="AT28" s="46"/>
      <c r="AU28" s="44"/>
      <c r="AV28" s="45"/>
      <c r="AW28" s="46"/>
      <c r="AX28" s="119"/>
    </row>
    <row r="29" spans="1:50" s="43" customFormat="1" ht="19.5" customHeight="1">
      <c r="A29" s="508"/>
      <c r="B29" s="487" t="s">
        <v>107</v>
      </c>
      <c r="C29" s="519">
        <v>1860858000</v>
      </c>
      <c r="D29" s="490">
        <v>0.02</v>
      </c>
      <c r="E29" s="44"/>
      <c r="F29" s="45"/>
      <c r="G29" s="46"/>
      <c r="H29" s="44"/>
      <c r="I29" s="45"/>
      <c r="J29" s="46"/>
      <c r="K29" s="44"/>
      <c r="L29" s="45"/>
      <c r="M29" s="46"/>
      <c r="N29" s="47"/>
      <c r="O29" s="45"/>
      <c r="P29" s="46"/>
      <c r="Q29" s="49"/>
      <c r="R29" s="50"/>
      <c r="S29" s="46"/>
      <c r="T29" s="44"/>
      <c r="U29" s="45"/>
      <c r="V29" s="78"/>
      <c r="W29" s="44"/>
      <c r="X29" s="45"/>
      <c r="Y29" s="46"/>
      <c r="Z29" s="44"/>
      <c r="AA29" s="45"/>
      <c r="AB29" s="46"/>
      <c r="AC29" s="44"/>
      <c r="AD29" s="45"/>
      <c r="AE29" s="51"/>
      <c r="AF29" s="44"/>
      <c r="AG29" s="48" t="s">
        <v>108</v>
      </c>
      <c r="AH29" s="46"/>
      <c r="AI29" s="47" t="s">
        <v>109</v>
      </c>
      <c r="AJ29" s="45"/>
      <c r="AK29" s="51" t="s">
        <v>110</v>
      </c>
      <c r="AL29" s="44"/>
      <c r="AM29" s="48" t="s">
        <v>111</v>
      </c>
      <c r="AN29" s="46"/>
      <c r="AO29" s="47"/>
      <c r="AP29" s="45"/>
      <c r="AQ29" s="46"/>
      <c r="AR29" s="44"/>
      <c r="AS29" s="45"/>
      <c r="AT29" s="46"/>
      <c r="AU29" s="44"/>
      <c r="AV29" s="45"/>
      <c r="AW29" s="46"/>
      <c r="AX29" s="119"/>
    </row>
    <row r="30" spans="1:50" s="43" customFormat="1" ht="19.5" customHeight="1">
      <c r="A30" s="508"/>
      <c r="B30" s="481"/>
      <c r="C30" s="520"/>
      <c r="D30" s="485"/>
      <c r="E30" s="44"/>
      <c r="F30" s="45"/>
      <c r="G30" s="46"/>
      <c r="H30" s="44"/>
      <c r="I30" s="45"/>
      <c r="J30" s="46"/>
      <c r="K30" s="44"/>
      <c r="L30" s="45"/>
      <c r="M30" s="46"/>
      <c r="N30" s="44"/>
      <c r="O30" s="45"/>
      <c r="P30" s="46"/>
      <c r="Q30" s="49"/>
      <c r="R30" s="50"/>
      <c r="S30" s="46"/>
      <c r="T30" s="44"/>
      <c r="U30" s="45"/>
      <c r="V30" s="46"/>
      <c r="W30" s="44"/>
      <c r="X30" s="45"/>
      <c r="Y30" s="46"/>
      <c r="Z30" s="44"/>
      <c r="AA30" s="45"/>
      <c r="AB30" s="46"/>
      <c r="AC30" s="44"/>
      <c r="AD30" s="45"/>
      <c r="AE30" s="46"/>
      <c r="AF30" s="44"/>
      <c r="AG30" s="45">
        <v>0.4</v>
      </c>
      <c r="AH30" s="46"/>
      <c r="AI30" s="44"/>
      <c r="AJ30" s="45">
        <v>0.7</v>
      </c>
      <c r="AK30" s="46"/>
      <c r="AL30" s="44"/>
      <c r="AM30" s="45">
        <v>0.7</v>
      </c>
      <c r="AN30" s="46"/>
      <c r="AO30" s="44"/>
      <c r="AP30" s="45">
        <v>0.2</v>
      </c>
      <c r="AQ30" s="46"/>
      <c r="AR30" s="44"/>
      <c r="AS30" s="45"/>
      <c r="AT30" s="46"/>
      <c r="AU30" s="44"/>
      <c r="AV30" s="45"/>
      <c r="AW30" s="46"/>
      <c r="AX30" s="119">
        <v>0.75</v>
      </c>
    </row>
    <row r="31" spans="1:50" s="43" customFormat="1" ht="19.5" customHeight="1">
      <c r="A31" s="508"/>
      <c r="B31" s="482" t="s">
        <v>112</v>
      </c>
      <c r="C31" s="517">
        <v>86373000</v>
      </c>
      <c r="D31" s="486">
        <v>5.0000000000000001E-3</v>
      </c>
      <c r="E31" s="44"/>
      <c r="F31" s="45"/>
      <c r="G31" s="46"/>
      <c r="H31" s="44"/>
      <c r="I31" s="45"/>
      <c r="J31" s="46"/>
      <c r="K31" s="44"/>
      <c r="L31" s="45"/>
      <c r="M31" s="46"/>
      <c r="N31" s="44"/>
      <c r="O31" s="45"/>
      <c r="P31" s="46"/>
      <c r="Q31" s="49"/>
      <c r="R31" s="50"/>
      <c r="S31" s="46"/>
      <c r="T31" s="44"/>
      <c r="U31" s="45"/>
      <c r="V31" s="46"/>
      <c r="W31" s="44"/>
      <c r="X31" s="45"/>
      <c r="Y31" s="46"/>
      <c r="Z31" s="44"/>
      <c r="AA31" s="45"/>
      <c r="AB31" s="46"/>
      <c r="AC31" s="44"/>
      <c r="AD31" s="48"/>
      <c r="AE31" s="51" t="s">
        <v>113</v>
      </c>
      <c r="AF31" s="44"/>
      <c r="AG31" s="48" t="s">
        <v>114</v>
      </c>
      <c r="AH31" s="46"/>
      <c r="AI31" s="47" t="s">
        <v>115</v>
      </c>
      <c r="AJ31" s="45"/>
      <c r="AK31" s="46"/>
      <c r="AL31" s="44"/>
      <c r="AM31" s="45"/>
      <c r="AN31" s="46"/>
      <c r="AO31" s="44"/>
      <c r="AP31" s="48"/>
      <c r="AQ31" s="46"/>
      <c r="AR31" s="44"/>
      <c r="AS31" s="45"/>
      <c r="AT31" s="46"/>
      <c r="AU31" s="44"/>
      <c r="AV31" s="45"/>
      <c r="AW31" s="46"/>
      <c r="AX31" s="119"/>
    </row>
    <row r="32" spans="1:50" s="43" customFormat="1" ht="19.5" customHeight="1">
      <c r="A32" s="508"/>
      <c r="B32" s="482"/>
      <c r="C32" s="517"/>
      <c r="D32" s="486"/>
      <c r="E32" s="44"/>
      <c r="F32" s="45"/>
      <c r="G32" s="46"/>
      <c r="H32" s="44"/>
      <c r="I32" s="45"/>
      <c r="J32" s="46"/>
      <c r="K32" s="44"/>
      <c r="L32" s="45"/>
      <c r="M32" s="46"/>
      <c r="N32" s="44"/>
      <c r="O32" s="45"/>
      <c r="P32" s="46"/>
      <c r="Q32" s="49"/>
      <c r="R32" s="50"/>
      <c r="S32" s="46"/>
      <c r="T32" s="44"/>
      <c r="U32" s="45"/>
      <c r="V32" s="46"/>
      <c r="W32" s="44"/>
      <c r="X32" s="45"/>
      <c r="Y32" s="46"/>
      <c r="Z32" s="44"/>
      <c r="AA32" s="45"/>
      <c r="AB32" s="46"/>
      <c r="AC32" s="44"/>
      <c r="AD32" s="45">
        <v>0.12</v>
      </c>
      <c r="AE32" s="46"/>
      <c r="AF32" s="44"/>
      <c r="AG32" s="45">
        <v>0.2</v>
      </c>
      <c r="AH32" s="46"/>
      <c r="AI32" s="44"/>
      <c r="AJ32" s="45">
        <v>0.18</v>
      </c>
      <c r="AK32" s="46"/>
      <c r="AL32" s="44"/>
      <c r="AM32" s="45"/>
      <c r="AN32" s="46"/>
      <c r="AO32" s="44"/>
      <c r="AP32" s="45"/>
      <c r="AQ32" s="46"/>
      <c r="AR32" s="44"/>
      <c r="AS32" s="45"/>
      <c r="AT32" s="46"/>
      <c r="AU32" s="44"/>
      <c r="AV32" s="45"/>
      <c r="AW32" s="46"/>
      <c r="AX32" s="119"/>
    </row>
    <row r="33" spans="1:50" s="43" customFormat="1" ht="19.5" customHeight="1">
      <c r="A33" s="508"/>
      <c r="B33" s="482" t="s">
        <v>116</v>
      </c>
      <c r="C33" s="517">
        <v>310320000</v>
      </c>
      <c r="D33" s="486">
        <v>1.4999999999999999E-2</v>
      </c>
      <c r="E33" s="44"/>
      <c r="F33" s="45"/>
      <c r="G33" s="46"/>
      <c r="H33" s="44"/>
      <c r="I33" s="45"/>
      <c r="J33" s="46"/>
      <c r="K33" s="79"/>
      <c r="L33" s="55"/>
      <c r="M33" s="78"/>
      <c r="N33" s="44"/>
      <c r="O33" s="45"/>
      <c r="P33" s="46"/>
      <c r="Q33" s="79"/>
      <c r="R33" s="50"/>
      <c r="S33" s="46"/>
      <c r="T33" s="44"/>
      <c r="U33" s="45"/>
      <c r="V33" s="46"/>
      <c r="W33" s="44"/>
      <c r="X33" s="45"/>
      <c r="Y33" s="46"/>
      <c r="Z33" s="47"/>
      <c r="AA33" s="45"/>
      <c r="AB33" s="46"/>
      <c r="AC33" s="44"/>
      <c r="AD33" s="45"/>
      <c r="AE33" s="46"/>
      <c r="AF33" s="47"/>
      <c r="AG33" s="48"/>
      <c r="AH33" s="46"/>
      <c r="AI33" s="47"/>
      <c r="AJ33" s="45"/>
      <c r="AK33" s="46"/>
      <c r="AL33" s="47"/>
      <c r="AM33" s="80"/>
      <c r="AN33" s="51" t="s">
        <v>117</v>
      </c>
      <c r="AO33" s="47"/>
      <c r="AP33" s="48" t="s">
        <v>118</v>
      </c>
      <c r="AQ33" s="81"/>
      <c r="AR33" s="48" t="s">
        <v>119</v>
      </c>
      <c r="AS33" s="45"/>
      <c r="AT33" s="51"/>
      <c r="AU33" s="44"/>
      <c r="AV33" s="45"/>
      <c r="AW33" s="46"/>
      <c r="AX33" s="119">
        <v>0.7</v>
      </c>
    </row>
    <row r="34" spans="1:50" s="43" customFormat="1" ht="19.5" customHeight="1">
      <c r="A34" s="508"/>
      <c r="B34" s="482"/>
      <c r="C34" s="517"/>
      <c r="D34" s="486"/>
      <c r="E34" s="44"/>
      <c r="F34" s="45"/>
      <c r="G34" s="46"/>
      <c r="H34" s="44"/>
      <c r="I34" s="45"/>
      <c r="J34" s="46"/>
      <c r="K34" s="44"/>
      <c r="L34" s="45"/>
      <c r="M34" s="46"/>
      <c r="N34" s="44"/>
      <c r="O34" s="45"/>
      <c r="P34" s="46"/>
      <c r="Q34" s="49"/>
      <c r="R34" s="50"/>
      <c r="S34" s="46"/>
      <c r="T34" s="44"/>
      <c r="U34" s="45"/>
      <c r="V34" s="46"/>
      <c r="W34" s="44"/>
      <c r="X34" s="45"/>
      <c r="Y34" s="46"/>
      <c r="Z34" s="44"/>
      <c r="AA34" s="45"/>
      <c r="AB34" s="46"/>
      <c r="AC34" s="44"/>
      <c r="AD34" s="45"/>
      <c r="AE34" s="46"/>
      <c r="AF34" s="44"/>
      <c r="AG34" s="45"/>
      <c r="AH34" s="46"/>
      <c r="AI34" s="44"/>
      <c r="AJ34" s="45"/>
      <c r="AK34" s="46"/>
      <c r="AL34" s="44"/>
      <c r="AM34" s="45">
        <v>0.3</v>
      </c>
      <c r="AN34" s="46"/>
      <c r="AO34" s="44"/>
      <c r="AP34" s="45">
        <v>0.7</v>
      </c>
      <c r="AQ34" s="46"/>
      <c r="AR34" s="44"/>
      <c r="AS34" s="45">
        <v>0.5</v>
      </c>
      <c r="AT34" s="46"/>
      <c r="AU34" s="44"/>
      <c r="AV34" s="45"/>
      <c r="AW34" s="46"/>
      <c r="AX34" s="119"/>
    </row>
    <row r="35" spans="1:50" s="43" customFormat="1" ht="19.5" customHeight="1">
      <c r="A35" s="508"/>
      <c r="B35" s="482" t="s">
        <v>120</v>
      </c>
      <c r="C35" s="517">
        <v>1171290000</v>
      </c>
      <c r="D35" s="486">
        <v>4.4999999999999998E-2</v>
      </c>
      <c r="E35" s="44"/>
      <c r="F35" s="45"/>
      <c r="G35" s="46"/>
      <c r="H35" s="44"/>
      <c r="I35" s="45"/>
      <c r="J35" s="46"/>
      <c r="K35" s="79"/>
      <c r="L35" s="55"/>
      <c r="M35" s="78"/>
      <c r="N35" s="44"/>
      <c r="O35" s="45"/>
      <c r="P35" s="46"/>
      <c r="Q35" s="79"/>
      <c r="R35" s="50"/>
      <c r="S35" s="46"/>
      <c r="T35" s="44"/>
      <c r="U35" s="45"/>
      <c r="V35" s="46"/>
      <c r="W35" s="44"/>
      <c r="X35" s="45"/>
      <c r="Y35" s="46"/>
      <c r="Z35" s="44"/>
      <c r="AA35" s="48" t="s">
        <v>121</v>
      </c>
      <c r="AB35" s="46"/>
      <c r="AC35" s="47"/>
      <c r="AD35" s="45"/>
      <c r="AE35" s="51" t="s">
        <v>122</v>
      </c>
      <c r="AF35" s="44"/>
      <c r="AG35" s="45"/>
      <c r="AH35" s="46"/>
      <c r="AI35" s="44"/>
      <c r="AJ35" s="48"/>
      <c r="AK35" s="51" t="s">
        <v>123</v>
      </c>
      <c r="AL35" s="44"/>
      <c r="AM35" s="45"/>
      <c r="AN35" s="46"/>
      <c r="AO35" s="47"/>
      <c r="AP35" s="48" t="s">
        <v>124</v>
      </c>
      <c r="AQ35" s="46"/>
      <c r="AR35" s="44"/>
      <c r="AS35" s="45"/>
      <c r="AT35" s="51"/>
      <c r="AU35" s="44"/>
      <c r="AV35" s="45"/>
      <c r="AW35" s="46"/>
      <c r="AX35" s="119"/>
    </row>
    <row r="36" spans="1:50" s="43" customFormat="1" ht="19.5" customHeight="1">
      <c r="A36" s="508"/>
      <c r="B36" s="482"/>
      <c r="C36" s="517"/>
      <c r="D36" s="486"/>
      <c r="E36" s="44"/>
      <c r="F36" s="45"/>
      <c r="G36" s="46"/>
      <c r="H36" s="44"/>
      <c r="I36" s="45"/>
      <c r="J36" s="46"/>
      <c r="K36" s="44"/>
      <c r="L36" s="45"/>
      <c r="M36" s="46"/>
      <c r="N36" s="44"/>
      <c r="O36" s="45"/>
      <c r="P36" s="46"/>
      <c r="Q36" s="49"/>
      <c r="R36" s="50"/>
      <c r="S36" s="46"/>
      <c r="T36" s="44"/>
      <c r="U36" s="45"/>
      <c r="V36" s="46"/>
      <c r="W36" s="44"/>
      <c r="X36" s="45"/>
      <c r="Y36" s="46"/>
      <c r="Z36" s="44"/>
      <c r="AA36" s="45">
        <v>0.5</v>
      </c>
      <c r="AB36" s="46"/>
      <c r="AC36" s="44"/>
      <c r="AD36" s="45">
        <v>0.8</v>
      </c>
      <c r="AE36" s="46"/>
      <c r="AF36" s="44"/>
      <c r="AG36" s="45">
        <v>0.8</v>
      </c>
      <c r="AH36" s="46"/>
      <c r="AI36" s="44"/>
      <c r="AJ36" s="45">
        <v>0.8</v>
      </c>
      <c r="AK36" s="46"/>
      <c r="AL36" s="44"/>
      <c r="AM36" s="45">
        <v>0.8</v>
      </c>
      <c r="AN36" s="46"/>
      <c r="AO36" s="44"/>
      <c r="AP36" s="45">
        <v>0.8</v>
      </c>
      <c r="AQ36" s="46"/>
      <c r="AR36" s="44"/>
      <c r="AS36" s="45"/>
      <c r="AT36" s="46"/>
      <c r="AU36" s="44"/>
      <c r="AV36" s="45"/>
      <c r="AW36" s="46"/>
      <c r="AX36" s="119"/>
    </row>
    <row r="37" spans="1:50" s="43" customFormat="1" ht="19.5" customHeight="1">
      <c r="A37" s="508"/>
      <c r="B37" s="482" t="s">
        <v>125</v>
      </c>
      <c r="C37" s="517">
        <v>1355248000</v>
      </c>
      <c r="D37" s="486">
        <v>0.04</v>
      </c>
      <c r="E37" s="44"/>
      <c r="F37" s="45"/>
      <c r="G37" s="46"/>
      <c r="H37" s="44"/>
      <c r="I37" s="45"/>
      <c r="J37" s="46"/>
      <c r="K37" s="79"/>
      <c r="L37" s="55"/>
      <c r="M37" s="78"/>
      <c r="N37" s="44"/>
      <c r="O37" s="45"/>
      <c r="P37" s="46"/>
      <c r="Q37" s="79"/>
      <c r="R37" s="50"/>
      <c r="S37" s="46"/>
      <c r="T37" s="44"/>
      <c r="U37" s="45"/>
      <c r="V37" s="46"/>
      <c r="W37" s="44"/>
      <c r="X37" s="45"/>
      <c r="Y37" s="46"/>
      <c r="Z37" s="44"/>
      <c r="AA37" s="45"/>
      <c r="AB37" s="46"/>
      <c r="AC37" s="44"/>
      <c r="AD37" s="45"/>
      <c r="AE37" s="51"/>
      <c r="AF37" s="44"/>
      <c r="AG37" s="45"/>
      <c r="AH37" s="46"/>
      <c r="AI37" s="44"/>
      <c r="AJ37" s="48" t="s">
        <v>126</v>
      </c>
      <c r="AK37" s="51"/>
      <c r="AL37" s="44"/>
      <c r="AM37" s="45"/>
      <c r="AN37" s="51" t="s">
        <v>127</v>
      </c>
      <c r="AO37" s="44"/>
      <c r="AP37" s="45"/>
      <c r="AQ37" s="46"/>
      <c r="AR37" s="47"/>
      <c r="AS37" s="45"/>
      <c r="AT37" s="46"/>
      <c r="AU37" s="44"/>
      <c r="AV37" s="45"/>
      <c r="AW37" s="46"/>
      <c r="AX37" s="119">
        <v>0.65</v>
      </c>
    </row>
    <row r="38" spans="1:50" s="43" customFormat="1" ht="19.5" customHeight="1">
      <c r="A38" s="508"/>
      <c r="B38" s="482"/>
      <c r="C38" s="517"/>
      <c r="D38" s="486"/>
      <c r="E38" s="44"/>
      <c r="F38" s="45"/>
      <c r="G38" s="46"/>
      <c r="H38" s="44"/>
      <c r="I38" s="45"/>
      <c r="J38" s="46"/>
      <c r="K38" s="44"/>
      <c r="L38" s="45"/>
      <c r="M38" s="46"/>
      <c r="N38" s="44"/>
      <c r="O38" s="45"/>
      <c r="P38" s="46"/>
      <c r="Q38" s="49"/>
      <c r="R38" s="50"/>
      <c r="S38" s="46"/>
      <c r="T38" s="44"/>
      <c r="U38" s="45"/>
      <c r="V38" s="46"/>
      <c r="W38" s="44"/>
      <c r="X38" s="45"/>
      <c r="Y38" s="46"/>
      <c r="Z38" s="44"/>
      <c r="AA38" s="45"/>
      <c r="AB38" s="46"/>
      <c r="AC38" s="44"/>
      <c r="AD38" s="45"/>
      <c r="AE38" s="46"/>
      <c r="AF38" s="44"/>
      <c r="AG38" s="45"/>
      <c r="AH38" s="46"/>
      <c r="AI38" s="44"/>
      <c r="AJ38" s="45">
        <v>0.7</v>
      </c>
      <c r="AK38" s="46"/>
      <c r="AL38" s="44"/>
      <c r="AM38" s="45">
        <v>2</v>
      </c>
      <c r="AN38" s="46"/>
      <c r="AO38" s="44"/>
      <c r="AP38" s="45">
        <v>1.3</v>
      </c>
      <c r="AQ38" s="46"/>
      <c r="AR38" s="44"/>
      <c r="AS38" s="45"/>
      <c r="AT38" s="46"/>
      <c r="AU38" s="44"/>
      <c r="AV38" s="45"/>
      <c r="AW38" s="46"/>
      <c r="AX38" s="119"/>
    </row>
    <row r="39" spans="1:50" s="43" customFormat="1" ht="19.5" customHeight="1">
      <c r="A39" s="508"/>
      <c r="B39" s="482" t="s">
        <v>128</v>
      </c>
      <c r="C39" s="517">
        <v>166870000</v>
      </c>
      <c r="D39" s="486">
        <v>0.105</v>
      </c>
      <c r="E39" s="44"/>
      <c r="F39" s="45"/>
      <c r="G39" s="46"/>
      <c r="H39" s="44"/>
      <c r="I39" s="45"/>
      <c r="J39" s="46"/>
      <c r="K39" s="79"/>
      <c r="L39" s="55"/>
      <c r="M39" s="78"/>
      <c r="N39" s="44"/>
      <c r="O39" s="45"/>
      <c r="P39" s="46"/>
      <c r="Q39" s="79"/>
      <c r="R39" s="50"/>
      <c r="S39" s="46"/>
      <c r="T39" s="44"/>
      <c r="U39" s="45"/>
      <c r="V39" s="46"/>
      <c r="W39" s="44"/>
      <c r="X39" s="45"/>
      <c r="Y39" s="46"/>
      <c r="Z39" s="44"/>
      <c r="AA39" s="45"/>
      <c r="AB39" s="46"/>
      <c r="AC39" s="44"/>
      <c r="AD39" s="45"/>
      <c r="AE39" s="51"/>
      <c r="AF39" s="44"/>
      <c r="AG39" s="48"/>
      <c r="AH39" s="46"/>
      <c r="AI39" s="85" t="s">
        <v>129</v>
      </c>
      <c r="AJ39" s="45"/>
      <c r="AK39" s="86" t="s">
        <v>130</v>
      </c>
      <c r="AL39" s="44"/>
      <c r="AM39" s="87" t="s">
        <v>131</v>
      </c>
      <c r="AN39" s="46"/>
      <c r="AO39" s="85" t="s">
        <v>132</v>
      </c>
      <c r="AP39" s="45"/>
      <c r="AQ39" s="86" t="s">
        <v>133</v>
      </c>
      <c r="AR39" s="44"/>
      <c r="AS39" s="87" t="s">
        <v>134</v>
      </c>
      <c r="AT39" s="46"/>
      <c r="AU39" s="85" t="s">
        <v>135</v>
      </c>
      <c r="AV39" s="45"/>
      <c r="AW39" s="46"/>
      <c r="AX39" s="119"/>
    </row>
    <row r="40" spans="1:50" s="43" customFormat="1" ht="19.5" customHeight="1">
      <c r="A40" s="508"/>
      <c r="B40" s="482"/>
      <c r="C40" s="517"/>
      <c r="D40" s="486"/>
      <c r="E40" s="44"/>
      <c r="F40" s="45"/>
      <c r="G40" s="46"/>
      <c r="H40" s="44"/>
      <c r="I40" s="45"/>
      <c r="J40" s="46"/>
      <c r="K40" s="44"/>
      <c r="L40" s="45"/>
      <c r="M40" s="46"/>
      <c r="N40" s="44"/>
      <c r="O40" s="45"/>
      <c r="P40" s="46"/>
      <c r="Q40" s="49"/>
      <c r="R40" s="50"/>
      <c r="S40" s="46"/>
      <c r="T40" s="44"/>
      <c r="U40" s="45"/>
      <c r="V40" s="46"/>
      <c r="W40" s="44"/>
      <c r="X40" s="45"/>
      <c r="Y40" s="46"/>
      <c r="Z40" s="44"/>
      <c r="AA40" s="45"/>
      <c r="AB40" s="46"/>
      <c r="AC40" s="44"/>
      <c r="AD40" s="45"/>
      <c r="AE40" s="46"/>
      <c r="AF40" s="44"/>
      <c r="AG40" s="45"/>
      <c r="AH40" s="46"/>
      <c r="AI40" s="44"/>
      <c r="AJ40" s="45">
        <v>1.95</v>
      </c>
      <c r="AK40" s="51"/>
      <c r="AL40" s="44"/>
      <c r="AM40" s="45">
        <v>2.2000000000000002</v>
      </c>
      <c r="AN40" s="46"/>
      <c r="AO40" s="44"/>
      <c r="AP40" s="45">
        <v>2.2000000000000002</v>
      </c>
      <c r="AQ40" s="46"/>
      <c r="AR40" s="44"/>
      <c r="AS40" s="45">
        <v>2.2000000000000002</v>
      </c>
      <c r="AT40" s="46"/>
      <c r="AU40" s="44"/>
      <c r="AV40" s="45">
        <v>1.95</v>
      </c>
      <c r="AW40" s="46"/>
      <c r="AX40" s="119"/>
    </row>
    <row r="41" spans="1:50" s="43" customFormat="1" ht="19.5" customHeight="1">
      <c r="A41" s="508"/>
      <c r="B41" s="482" t="s">
        <v>136</v>
      </c>
      <c r="C41" s="517">
        <v>297952000</v>
      </c>
      <c r="D41" s="486">
        <v>0.02</v>
      </c>
      <c r="E41" s="44"/>
      <c r="F41" s="45"/>
      <c r="G41" s="46"/>
      <c r="H41" s="44"/>
      <c r="I41" s="45"/>
      <c r="J41" s="46"/>
      <c r="K41" s="79"/>
      <c r="L41" s="55"/>
      <c r="M41" s="78"/>
      <c r="N41" s="44"/>
      <c r="O41" s="45"/>
      <c r="P41" s="46"/>
      <c r="Q41" s="79"/>
      <c r="R41" s="50"/>
      <c r="S41" s="46"/>
      <c r="T41" s="44"/>
      <c r="U41" s="45"/>
      <c r="V41" s="46"/>
      <c r="W41" s="44"/>
      <c r="X41" s="45"/>
      <c r="Y41" s="46"/>
      <c r="Z41" s="44"/>
      <c r="AA41" s="45"/>
      <c r="AB41" s="46"/>
      <c r="AC41" s="44"/>
      <c r="AD41" s="45"/>
      <c r="AE41" s="46"/>
      <c r="AF41" s="47"/>
      <c r="AG41" s="48"/>
      <c r="AH41" s="46"/>
      <c r="AI41" s="44"/>
      <c r="AJ41" s="48"/>
      <c r="AK41" s="51" t="s">
        <v>137</v>
      </c>
      <c r="AL41" s="44"/>
      <c r="AM41" s="45"/>
      <c r="AN41" s="46"/>
      <c r="AO41" s="44"/>
      <c r="AP41" s="45"/>
      <c r="AQ41" s="46"/>
      <c r="AR41" s="47" t="s">
        <v>138</v>
      </c>
      <c r="AS41" s="45"/>
      <c r="AT41" s="46"/>
      <c r="AU41" s="47" t="s">
        <v>139</v>
      </c>
      <c r="AV41" s="48"/>
      <c r="AW41" s="46"/>
      <c r="AX41" s="119">
        <v>0.6</v>
      </c>
    </row>
    <row r="42" spans="1:50" s="43" customFormat="1" ht="19.5" customHeight="1">
      <c r="A42" s="508"/>
      <c r="B42" s="482"/>
      <c r="C42" s="517"/>
      <c r="D42" s="486"/>
      <c r="E42" s="44"/>
      <c r="F42" s="45"/>
      <c r="G42" s="46"/>
      <c r="H42" s="44"/>
      <c r="I42" s="45"/>
      <c r="J42" s="46"/>
      <c r="K42" s="44"/>
      <c r="L42" s="45"/>
      <c r="M42" s="46"/>
      <c r="N42" s="44"/>
      <c r="O42" s="45"/>
      <c r="P42" s="46"/>
      <c r="Q42" s="49"/>
      <c r="R42" s="50"/>
      <c r="S42" s="46"/>
      <c r="T42" s="44"/>
      <c r="U42" s="45"/>
      <c r="V42" s="46"/>
      <c r="W42" s="44"/>
      <c r="X42" s="45"/>
      <c r="Y42" s="46"/>
      <c r="Z42" s="44"/>
      <c r="AA42" s="45"/>
      <c r="AB42" s="46"/>
      <c r="AC42" s="44"/>
      <c r="AD42" s="45"/>
      <c r="AE42" s="46"/>
      <c r="AF42" s="44"/>
      <c r="AG42" s="45"/>
      <c r="AH42" s="46"/>
      <c r="AI42" s="44"/>
      <c r="AJ42" s="45">
        <v>0.38</v>
      </c>
      <c r="AK42" s="46"/>
      <c r="AL42" s="44"/>
      <c r="AM42" s="45">
        <v>0.43</v>
      </c>
      <c r="AN42" s="46"/>
      <c r="AO42" s="44"/>
      <c r="AP42" s="45">
        <v>0.43</v>
      </c>
      <c r="AQ42" s="46"/>
      <c r="AR42" s="44"/>
      <c r="AS42" s="45">
        <v>0.43</v>
      </c>
      <c r="AT42" s="46"/>
      <c r="AU42" s="44"/>
      <c r="AV42" s="45">
        <v>0.33</v>
      </c>
      <c r="AW42" s="46"/>
      <c r="AX42" s="119"/>
    </row>
    <row r="43" spans="1:50" s="43" customFormat="1" ht="19.5" customHeight="1">
      <c r="A43" s="508"/>
      <c r="B43" s="487" t="s">
        <v>140</v>
      </c>
      <c r="C43" s="519"/>
      <c r="D43" s="490">
        <v>0.09</v>
      </c>
      <c r="E43" s="44"/>
      <c r="F43" s="45"/>
      <c r="G43" s="46"/>
      <c r="H43" s="44"/>
      <c r="I43" s="45"/>
      <c r="J43" s="46"/>
      <c r="K43" s="79"/>
      <c r="L43" s="55"/>
      <c r="M43" s="78"/>
      <c r="N43" s="44"/>
      <c r="O43" s="45"/>
      <c r="P43" s="46"/>
      <c r="Q43" s="79"/>
      <c r="R43" s="50"/>
      <c r="S43" s="46"/>
      <c r="T43" s="44"/>
      <c r="U43" s="45"/>
      <c r="V43" s="46"/>
      <c r="W43" s="44"/>
      <c r="X43" s="45"/>
      <c r="Y43" s="46"/>
      <c r="Z43" s="44"/>
      <c r="AA43" s="45"/>
      <c r="AB43" s="46"/>
      <c r="AC43" s="44"/>
      <c r="AD43" s="45"/>
      <c r="AE43" s="46"/>
      <c r="AF43" s="44"/>
      <c r="AG43" s="45"/>
      <c r="AH43" s="51" t="s">
        <v>141</v>
      </c>
      <c r="AI43" s="44"/>
      <c r="AJ43" s="45"/>
      <c r="AK43" s="46"/>
      <c r="AL43" s="44"/>
      <c r="AM43" s="45"/>
      <c r="AN43" s="46"/>
      <c r="AO43" s="44"/>
      <c r="AP43" s="45"/>
      <c r="AQ43" s="46"/>
      <c r="AR43" s="44"/>
      <c r="AS43" s="45"/>
      <c r="AT43" s="46"/>
      <c r="AU43" s="44"/>
      <c r="AV43" s="48"/>
      <c r="AW43" s="46"/>
      <c r="AX43" s="119"/>
    </row>
    <row r="44" spans="1:50" s="43" customFormat="1" ht="19.5" customHeight="1">
      <c r="A44" s="508"/>
      <c r="B44" s="481"/>
      <c r="C44" s="520"/>
      <c r="D44" s="485"/>
      <c r="E44" s="44"/>
      <c r="F44" s="45"/>
      <c r="G44" s="46"/>
      <c r="H44" s="44"/>
      <c r="I44" s="45"/>
      <c r="J44" s="46"/>
      <c r="K44" s="44"/>
      <c r="L44" s="45"/>
      <c r="M44" s="46"/>
      <c r="N44" s="44"/>
      <c r="O44" s="45"/>
      <c r="P44" s="46"/>
      <c r="Q44" s="49"/>
      <c r="R44" s="50"/>
      <c r="S44" s="46"/>
      <c r="T44" s="44"/>
      <c r="U44" s="45"/>
      <c r="V44" s="46"/>
      <c r="W44" s="44"/>
      <c r="X44" s="45"/>
      <c r="Y44" s="46"/>
      <c r="Z44" s="44"/>
      <c r="AA44" s="45">
        <v>1.25</v>
      </c>
      <c r="AB44" s="46"/>
      <c r="AC44" s="44"/>
      <c r="AD44" s="45">
        <v>1.3</v>
      </c>
      <c r="AE44" s="46"/>
      <c r="AF44" s="44"/>
      <c r="AG44" s="45">
        <v>1.3</v>
      </c>
      <c r="AH44" s="46"/>
      <c r="AI44" s="44"/>
      <c r="AJ44" s="45">
        <v>1.3</v>
      </c>
      <c r="AK44" s="46"/>
      <c r="AL44" s="44"/>
      <c r="AM44" s="45">
        <v>1.3</v>
      </c>
      <c r="AN44" s="46"/>
      <c r="AO44" s="44"/>
      <c r="AP44" s="45">
        <v>1.3</v>
      </c>
      <c r="AQ44" s="46"/>
      <c r="AR44" s="44"/>
      <c r="AS44" s="45">
        <v>1.25</v>
      </c>
      <c r="AT44" s="46"/>
      <c r="AU44" s="44"/>
      <c r="AV44" s="45"/>
      <c r="AW44" s="46"/>
      <c r="AX44" s="119">
        <v>0.55000000000000004</v>
      </c>
    </row>
    <row r="45" spans="1:50" s="43" customFormat="1" ht="15" customHeight="1">
      <c r="A45" s="508"/>
      <c r="B45" s="487" t="s">
        <v>142</v>
      </c>
      <c r="C45" s="517">
        <v>851977000</v>
      </c>
      <c r="D45" s="486">
        <f>SUM(D15:D44)</f>
        <v>0.74</v>
      </c>
      <c r="E45" s="44"/>
      <c r="F45" s="45"/>
      <c r="G45" s="46"/>
      <c r="H45" s="44"/>
      <c r="I45" s="45"/>
      <c r="J45" s="46"/>
      <c r="K45" s="79"/>
      <c r="L45" s="55"/>
      <c r="M45" s="78"/>
      <c r="N45" s="44"/>
      <c r="O45" s="45"/>
      <c r="P45" s="46"/>
      <c r="Q45" s="79"/>
      <c r="R45" s="50"/>
      <c r="S45" s="46"/>
      <c r="T45" s="44"/>
      <c r="U45" s="45"/>
      <c r="V45" s="46"/>
      <c r="W45" s="44"/>
      <c r="X45" s="45"/>
      <c r="Y45" s="46"/>
      <c r="Z45" s="44"/>
      <c r="AA45" s="45"/>
      <c r="AB45" s="46"/>
      <c r="AC45" s="44"/>
      <c r="AD45" s="45"/>
      <c r="AE45" s="46"/>
      <c r="AF45" s="44"/>
      <c r="AG45" s="45"/>
      <c r="AH45" s="46"/>
      <c r="AI45" s="44"/>
      <c r="AJ45" s="48"/>
      <c r="AK45" s="46"/>
      <c r="AL45" s="44"/>
      <c r="AM45" s="45"/>
      <c r="AN45" s="46"/>
      <c r="AO45" s="44"/>
      <c r="AP45" s="45"/>
      <c r="AQ45" s="46"/>
      <c r="AR45" s="44"/>
      <c r="AS45" s="45"/>
      <c r="AT45" s="46"/>
      <c r="AU45" s="44"/>
      <c r="AV45" s="45"/>
      <c r="AW45" s="46"/>
      <c r="AX45" s="119"/>
    </row>
    <row r="46" spans="1:50" s="43" customFormat="1" ht="15" customHeight="1">
      <c r="A46" s="509"/>
      <c r="B46" s="493"/>
      <c r="C46" s="521"/>
      <c r="D46" s="522"/>
      <c r="E46" s="44"/>
      <c r="F46" s="45"/>
      <c r="G46" s="46"/>
      <c r="H46" s="44"/>
      <c r="I46" s="45"/>
      <c r="J46" s="46"/>
      <c r="K46" s="44"/>
      <c r="L46" s="45"/>
      <c r="M46" s="46"/>
      <c r="N46" s="44"/>
      <c r="O46" s="45"/>
      <c r="P46" s="46"/>
      <c r="Q46" s="49"/>
      <c r="R46" s="50"/>
      <c r="S46" s="46"/>
      <c r="T46" s="44"/>
      <c r="U46" s="45"/>
      <c r="V46" s="46"/>
      <c r="W46" s="44"/>
      <c r="X46" s="45"/>
      <c r="Y46" s="46"/>
      <c r="Z46" s="44"/>
      <c r="AA46" s="45"/>
      <c r="AB46" s="46"/>
      <c r="AC46" s="44"/>
      <c r="AD46" s="45"/>
      <c r="AE46" s="46"/>
      <c r="AF46" s="44"/>
      <c r="AG46" s="45"/>
      <c r="AH46" s="46"/>
      <c r="AI46" s="44"/>
      <c r="AJ46" s="45"/>
      <c r="AK46" s="46"/>
      <c r="AL46" s="44"/>
      <c r="AM46" s="45"/>
      <c r="AN46" s="46"/>
      <c r="AO46" s="44"/>
      <c r="AP46" s="45"/>
      <c r="AQ46" s="46"/>
      <c r="AR46" s="44"/>
      <c r="AS46" s="45"/>
      <c r="AT46" s="46"/>
      <c r="AU46" s="44"/>
      <c r="AV46" s="45"/>
      <c r="AW46" s="46"/>
      <c r="AX46" s="119"/>
    </row>
    <row r="47" spans="1:50" s="43" customFormat="1" ht="19.5" customHeight="1">
      <c r="A47" s="523" t="s">
        <v>143</v>
      </c>
      <c r="B47" s="492" t="s">
        <v>144</v>
      </c>
      <c r="C47" s="524">
        <v>182289000</v>
      </c>
      <c r="D47" s="485">
        <v>1.6000000000000001E-3</v>
      </c>
      <c r="E47" s="61"/>
      <c r="F47" s="62"/>
      <c r="G47" s="63"/>
      <c r="H47" s="61"/>
      <c r="I47" s="62"/>
      <c r="J47" s="63"/>
      <c r="K47" s="61"/>
      <c r="L47" s="62"/>
      <c r="M47" s="63"/>
      <c r="N47" s="61"/>
      <c r="O47" s="62"/>
      <c r="P47" s="63"/>
      <c r="Q47" s="65"/>
      <c r="R47" s="66"/>
      <c r="S47" s="63"/>
      <c r="T47" s="61"/>
      <c r="U47" s="62"/>
      <c r="V47" s="68"/>
      <c r="W47" s="61"/>
      <c r="X47" s="62"/>
      <c r="Y47" s="63"/>
      <c r="Z47" s="68" t="s">
        <v>145</v>
      </c>
      <c r="AA47" s="62"/>
      <c r="AB47" s="63"/>
      <c r="AC47" s="61"/>
      <c r="AD47" s="62"/>
      <c r="AE47" s="68"/>
      <c r="AF47" s="64"/>
      <c r="AG47" s="69"/>
      <c r="AH47" s="68"/>
      <c r="AI47" s="64"/>
      <c r="AJ47" s="69"/>
      <c r="AK47" s="68"/>
      <c r="AL47" s="61"/>
      <c r="AM47" s="62"/>
      <c r="AN47" s="63"/>
      <c r="AO47" s="61"/>
      <c r="AP47" s="62"/>
      <c r="AQ47" s="63"/>
      <c r="AR47" s="61"/>
      <c r="AS47" s="62"/>
      <c r="AT47" s="63"/>
      <c r="AU47" s="61"/>
      <c r="AV47" s="62"/>
      <c r="AW47" s="63"/>
      <c r="AX47" s="119">
        <v>0.5</v>
      </c>
    </row>
    <row r="48" spans="1:50" s="43" customFormat="1" ht="19.5" customHeight="1">
      <c r="A48" s="508"/>
      <c r="B48" s="481"/>
      <c r="C48" s="517"/>
      <c r="D48" s="486"/>
      <c r="E48" s="44"/>
      <c r="F48" s="45"/>
      <c r="G48" s="46"/>
      <c r="H48" s="44"/>
      <c r="I48" s="45"/>
      <c r="J48" s="46"/>
      <c r="K48" s="44"/>
      <c r="L48" s="45"/>
      <c r="M48" s="46"/>
      <c r="N48" s="44"/>
      <c r="O48" s="45"/>
      <c r="P48" s="46"/>
      <c r="Q48" s="49"/>
      <c r="R48" s="50"/>
      <c r="S48" s="46"/>
      <c r="T48" s="44"/>
      <c r="U48" s="45"/>
      <c r="V48" s="46"/>
      <c r="W48" s="44"/>
      <c r="X48" s="45">
        <v>0.08</v>
      </c>
      <c r="Y48" s="46"/>
      <c r="Z48" s="44"/>
      <c r="AA48" s="45">
        <v>0.08</v>
      </c>
      <c r="AB48" s="46"/>
      <c r="AC48" s="44"/>
      <c r="AD48" s="45"/>
      <c r="AE48" s="46"/>
      <c r="AF48" s="44"/>
      <c r="AG48" s="45"/>
      <c r="AH48" s="46"/>
      <c r="AI48" s="44"/>
      <c r="AJ48" s="45"/>
      <c r="AK48" s="46"/>
      <c r="AL48" s="44"/>
      <c r="AM48" s="45"/>
      <c r="AN48" s="46"/>
      <c r="AO48" s="44"/>
      <c r="AP48" s="45"/>
      <c r="AQ48" s="46"/>
      <c r="AR48" s="44"/>
      <c r="AS48" s="45"/>
      <c r="AT48" s="46"/>
      <c r="AU48" s="44"/>
      <c r="AV48" s="45"/>
      <c r="AW48" s="46"/>
      <c r="AX48" s="119"/>
    </row>
    <row r="49" spans="1:50" s="43" customFormat="1" ht="19.5" customHeight="1">
      <c r="A49" s="508"/>
      <c r="B49" s="481" t="s">
        <v>146</v>
      </c>
      <c r="C49" s="517">
        <v>38626000</v>
      </c>
      <c r="D49" s="486">
        <v>4.2000000000000003E-2</v>
      </c>
      <c r="E49" s="44"/>
      <c r="F49" s="55"/>
      <c r="G49" s="78"/>
      <c r="H49" s="79"/>
      <c r="I49" s="55"/>
      <c r="J49" s="78"/>
      <c r="K49" s="79"/>
      <c r="L49" s="55"/>
      <c r="M49" s="78"/>
      <c r="N49" s="79"/>
      <c r="O49" s="55"/>
      <c r="P49" s="78"/>
      <c r="Q49" s="49"/>
      <c r="R49" s="50"/>
      <c r="S49" s="46"/>
      <c r="T49" s="44"/>
      <c r="U49" s="45"/>
      <c r="V49" s="46"/>
      <c r="W49" s="44"/>
      <c r="X49" s="45"/>
      <c r="Y49" s="46"/>
      <c r="Z49" s="44"/>
      <c r="AA49" s="45"/>
      <c r="AB49" s="46"/>
      <c r="AC49" s="44"/>
      <c r="AD49" s="45"/>
      <c r="AE49" s="51"/>
      <c r="AF49" s="44"/>
      <c r="AG49" s="45"/>
      <c r="AH49" s="46"/>
      <c r="AI49" s="51" t="s">
        <v>147</v>
      </c>
      <c r="AJ49" s="48"/>
      <c r="AK49" s="46"/>
      <c r="AL49" s="47"/>
      <c r="AM49" s="48"/>
      <c r="AN49" s="51"/>
      <c r="AO49" s="47"/>
      <c r="AP49" s="48"/>
      <c r="AQ49" s="51"/>
      <c r="AR49" s="44"/>
      <c r="AS49" s="45"/>
      <c r="AT49" s="46"/>
      <c r="AU49" s="44"/>
      <c r="AV49" s="45"/>
      <c r="AW49" s="46"/>
      <c r="AX49" s="119"/>
    </row>
    <row r="50" spans="1:50" s="43" customFormat="1" ht="19.5" customHeight="1">
      <c r="A50" s="508"/>
      <c r="B50" s="482"/>
      <c r="C50" s="517"/>
      <c r="D50" s="486"/>
      <c r="E50" s="44"/>
      <c r="F50" s="55"/>
      <c r="G50" s="78"/>
      <c r="H50" s="79"/>
      <c r="I50" s="55"/>
      <c r="J50" s="78"/>
      <c r="K50" s="79"/>
      <c r="L50" s="55"/>
      <c r="M50" s="78"/>
      <c r="N50" s="79"/>
      <c r="O50" s="55"/>
      <c r="P50" s="78"/>
      <c r="Q50" s="49"/>
      <c r="R50" s="50"/>
      <c r="S50" s="46"/>
      <c r="T50" s="44"/>
      <c r="U50" s="45"/>
      <c r="V50" s="46"/>
      <c r="W50" s="44"/>
      <c r="X50" s="45"/>
      <c r="Y50" s="46"/>
      <c r="Z50" s="44"/>
      <c r="AA50" s="45"/>
      <c r="AB50" s="46"/>
      <c r="AC50" s="44"/>
      <c r="AD50" s="45">
        <v>1.05</v>
      </c>
      <c r="AE50" s="46"/>
      <c r="AF50" s="44"/>
      <c r="AG50" s="45">
        <v>1.05</v>
      </c>
      <c r="AH50" s="46"/>
      <c r="AI50" s="44"/>
      <c r="AJ50" s="45">
        <v>1.05</v>
      </c>
      <c r="AK50" s="46"/>
      <c r="AL50" s="44"/>
      <c r="AM50" s="45">
        <v>1.05</v>
      </c>
      <c r="AN50" s="46"/>
      <c r="AO50" s="44"/>
      <c r="AP50" s="45"/>
      <c r="AQ50" s="46"/>
      <c r="AR50" s="44"/>
      <c r="AS50" s="45"/>
      <c r="AT50" s="46"/>
      <c r="AU50" s="44"/>
      <c r="AV50" s="45"/>
      <c r="AW50" s="46"/>
      <c r="AX50" s="119"/>
    </row>
    <row r="51" spans="1:50" s="43" customFormat="1" ht="19.5" customHeight="1">
      <c r="A51" s="508"/>
      <c r="B51" s="482" t="s">
        <v>148</v>
      </c>
      <c r="C51" s="517">
        <v>379664000</v>
      </c>
      <c r="D51" s="486">
        <v>0.02</v>
      </c>
      <c r="E51" s="44"/>
      <c r="F51" s="45"/>
      <c r="G51" s="46"/>
      <c r="H51" s="44"/>
      <c r="I51" s="45"/>
      <c r="J51" s="46"/>
      <c r="K51" s="44"/>
      <c r="L51" s="45"/>
      <c r="M51" s="46"/>
      <c r="N51" s="44"/>
      <c r="O51" s="45"/>
      <c r="P51" s="46"/>
      <c r="Q51" s="49"/>
      <c r="R51" s="50"/>
      <c r="S51" s="46"/>
      <c r="T51" s="44"/>
      <c r="U51" s="45"/>
      <c r="V51" s="46"/>
      <c r="W51" s="44"/>
      <c r="X51" s="45"/>
      <c r="Y51" s="46"/>
      <c r="Z51" s="44"/>
      <c r="AA51" s="45"/>
      <c r="AB51" s="46"/>
      <c r="AC51" s="44"/>
      <c r="AD51" s="45"/>
      <c r="AE51" s="51"/>
      <c r="AF51" s="44"/>
      <c r="AG51" s="45"/>
      <c r="AH51" s="46"/>
      <c r="AI51" s="51" t="s">
        <v>149</v>
      </c>
      <c r="AJ51" s="48"/>
      <c r="AK51" s="46"/>
      <c r="AL51" s="47"/>
      <c r="AM51" s="48"/>
      <c r="AN51" s="51"/>
      <c r="AO51" s="47"/>
      <c r="AP51" s="48"/>
      <c r="AQ51" s="51"/>
      <c r="AR51" s="47"/>
      <c r="AS51" s="45"/>
      <c r="AT51" s="46"/>
      <c r="AU51" s="47"/>
      <c r="AV51" s="45"/>
      <c r="AW51" s="46"/>
      <c r="AX51" s="119">
        <v>0.45</v>
      </c>
    </row>
    <row r="52" spans="1:50" s="43" customFormat="1" ht="19.5" customHeight="1">
      <c r="A52" s="508"/>
      <c r="B52" s="482"/>
      <c r="C52" s="517"/>
      <c r="D52" s="486"/>
      <c r="E52" s="44"/>
      <c r="F52" s="45"/>
      <c r="G52" s="46"/>
      <c r="H52" s="44"/>
      <c r="I52" s="45"/>
      <c r="J52" s="46"/>
      <c r="K52" s="44"/>
      <c r="L52" s="45"/>
      <c r="M52" s="46"/>
      <c r="N52" s="44"/>
      <c r="O52" s="45"/>
      <c r="P52" s="46"/>
      <c r="Q52" s="49"/>
      <c r="R52" s="50"/>
      <c r="S52" s="46"/>
      <c r="T52" s="44"/>
      <c r="U52" s="45"/>
      <c r="V52" s="46"/>
      <c r="W52" s="44"/>
      <c r="X52" s="45"/>
      <c r="Y52" s="46"/>
      <c r="Z52" s="44"/>
      <c r="AA52" s="45"/>
      <c r="AB52" s="46"/>
      <c r="AC52" s="44"/>
      <c r="AD52" s="45">
        <v>0.5</v>
      </c>
      <c r="AE52" s="46"/>
      <c r="AF52" s="44"/>
      <c r="AG52" s="45">
        <v>0.5</v>
      </c>
      <c r="AH52" s="46"/>
      <c r="AI52" s="44"/>
      <c r="AJ52" s="45">
        <v>0.5</v>
      </c>
      <c r="AK52" s="46"/>
      <c r="AL52" s="44"/>
      <c r="AM52" s="45">
        <v>0.5</v>
      </c>
      <c r="AN52" s="46"/>
      <c r="AO52" s="44"/>
      <c r="AP52" s="45"/>
      <c r="AQ52" s="46"/>
      <c r="AR52" s="44"/>
      <c r="AS52" s="45"/>
      <c r="AT52" s="46"/>
      <c r="AU52" s="44"/>
      <c r="AV52" s="45"/>
      <c r="AW52" s="46"/>
      <c r="AX52" s="119"/>
    </row>
    <row r="53" spans="1:50" s="43" customFormat="1" ht="19.5" customHeight="1">
      <c r="A53" s="508"/>
      <c r="B53" s="482" t="s">
        <v>150</v>
      </c>
      <c r="C53" s="517">
        <v>45916000</v>
      </c>
      <c r="D53" s="486">
        <v>0.01</v>
      </c>
      <c r="E53" s="44"/>
      <c r="F53" s="45"/>
      <c r="G53" s="46"/>
      <c r="H53" s="44"/>
      <c r="I53" s="45"/>
      <c r="J53" s="46"/>
      <c r="K53" s="44"/>
      <c r="L53" s="45"/>
      <c r="M53" s="46"/>
      <c r="N53" s="44"/>
      <c r="O53" s="45"/>
      <c r="P53" s="46"/>
      <c r="Q53" s="49"/>
      <c r="R53" s="50"/>
      <c r="S53" s="46"/>
      <c r="T53" s="44"/>
      <c r="U53" s="45"/>
      <c r="V53" s="46"/>
      <c r="W53" s="44"/>
      <c r="X53" s="45"/>
      <c r="Y53" s="46"/>
      <c r="Z53" s="44"/>
      <c r="AA53" s="45"/>
      <c r="AB53" s="46"/>
      <c r="AC53" s="44"/>
      <c r="AD53" s="45"/>
      <c r="AE53" s="51"/>
      <c r="AF53" s="44"/>
      <c r="AG53" s="45"/>
      <c r="AH53" s="46"/>
      <c r="AI53" s="44"/>
      <c r="AJ53" s="48"/>
      <c r="AK53" s="51" t="s">
        <v>151</v>
      </c>
      <c r="AL53" s="47"/>
      <c r="AM53" s="48"/>
      <c r="AN53" s="51"/>
      <c r="AO53" s="47"/>
      <c r="AP53" s="48"/>
      <c r="AQ53" s="51"/>
      <c r="AR53" s="47"/>
      <c r="AS53" s="45"/>
      <c r="AT53" s="46"/>
      <c r="AU53" s="47"/>
      <c r="AV53" s="45"/>
      <c r="AW53" s="46"/>
      <c r="AX53" s="119"/>
    </row>
    <row r="54" spans="1:50" s="43" customFormat="1" ht="19.5" customHeight="1">
      <c r="A54" s="508"/>
      <c r="B54" s="482"/>
      <c r="C54" s="517"/>
      <c r="D54" s="486"/>
      <c r="E54" s="44"/>
      <c r="F54" s="45"/>
      <c r="G54" s="46"/>
      <c r="H54" s="44"/>
      <c r="I54" s="45"/>
      <c r="J54" s="46"/>
      <c r="K54" s="44"/>
      <c r="L54" s="45"/>
      <c r="M54" s="46"/>
      <c r="N54" s="44"/>
      <c r="O54" s="45"/>
      <c r="P54" s="46"/>
      <c r="Q54" s="49"/>
      <c r="R54" s="50"/>
      <c r="S54" s="46"/>
      <c r="T54" s="44"/>
      <c r="U54" s="45"/>
      <c r="V54" s="46"/>
      <c r="W54" s="44"/>
      <c r="X54" s="45"/>
      <c r="Y54" s="46"/>
      <c r="Z54" s="44"/>
      <c r="AA54" s="45"/>
      <c r="AB54" s="46"/>
      <c r="AC54" s="44"/>
      <c r="AD54" s="45"/>
      <c r="AE54" s="46"/>
      <c r="AF54" s="44"/>
      <c r="AG54" s="45">
        <v>0.25</v>
      </c>
      <c r="AH54" s="46"/>
      <c r="AI54" s="44"/>
      <c r="AJ54" s="45">
        <v>0.25</v>
      </c>
      <c r="AK54" s="46"/>
      <c r="AL54" s="44"/>
      <c r="AM54" s="45">
        <v>0.25</v>
      </c>
      <c r="AN54" s="45"/>
      <c r="AO54" s="44"/>
      <c r="AP54" s="45">
        <v>0.25</v>
      </c>
      <c r="AQ54" s="46"/>
      <c r="AR54" s="44"/>
      <c r="AS54" s="45"/>
      <c r="AT54" s="46"/>
      <c r="AU54" s="44"/>
      <c r="AV54" s="45"/>
      <c r="AW54" s="46"/>
      <c r="AX54" s="119"/>
    </row>
    <row r="55" spans="1:50" s="43" customFormat="1" ht="19.5" customHeight="1">
      <c r="A55" s="508"/>
      <c r="B55" s="482" t="s">
        <v>152</v>
      </c>
      <c r="C55" s="517">
        <v>401603000</v>
      </c>
      <c r="D55" s="486">
        <v>0.02</v>
      </c>
      <c r="E55" s="44"/>
      <c r="F55" s="45"/>
      <c r="G55" s="46"/>
      <c r="H55" s="44"/>
      <c r="I55" s="45"/>
      <c r="J55" s="46"/>
      <c r="K55" s="44"/>
      <c r="L55" s="45"/>
      <c r="M55" s="46"/>
      <c r="N55" s="44"/>
      <c r="O55" s="45"/>
      <c r="P55" s="46"/>
      <c r="Q55" s="49"/>
      <c r="R55" s="50"/>
      <c r="S55" s="46"/>
      <c r="T55" s="44"/>
      <c r="U55" s="45"/>
      <c r="V55" s="46"/>
      <c r="W55" s="44"/>
      <c r="X55" s="45"/>
      <c r="Y55" s="46"/>
      <c r="Z55" s="44"/>
      <c r="AA55" s="45"/>
      <c r="AB55" s="46"/>
      <c r="AC55" s="44"/>
      <c r="AD55" s="45"/>
      <c r="AE55" s="51"/>
      <c r="AF55" s="44"/>
      <c r="AG55" s="45"/>
      <c r="AH55" s="46"/>
      <c r="AI55" s="44"/>
      <c r="AJ55" s="48"/>
      <c r="AK55" s="51" t="s">
        <v>153</v>
      </c>
      <c r="AL55" s="47"/>
      <c r="AM55" s="48"/>
      <c r="AN55" s="51"/>
      <c r="AO55" s="47"/>
      <c r="AP55" s="48"/>
      <c r="AQ55" s="51"/>
      <c r="AR55" s="47"/>
      <c r="AS55" s="45"/>
      <c r="AT55" s="46"/>
      <c r="AU55" s="47"/>
      <c r="AV55" s="45"/>
      <c r="AW55" s="46"/>
      <c r="AX55" s="119">
        <v>0.4</v>
      </c>
    </row>
    <row r="56" spans="1:50" s="43" customFormat="1" ht="19.5" customHeight="1">
      <c r="A56" s="508"/>
      <c r="B56" s="482"/>
      <c r="C56" s="517"/>
      <c r="D56" s="486"/>
      <c r="E56" s="44"/>
      <c r="F56" s="45"/>
      <c r="G56" s="46"/>
      <c r="H56" s="44"/>
      <c r="I56" s="45"/>
      <c r="J56" s="46"/>
      <c r="K56" s="44"/>
      <c r="L56" s="45"/>
      <c r="M56" s="46"/>
      <c r="N56" s="44"/>
      <c r="O56" s="45"/>
      <c r="P56" s="46"/>
      <c r="Q56" s="49"/>
      <c r="R56" s="50"/>
      <c r="S56" s="46"/>
      <c r="T56" s="44"/>
      <c r="U56" s="45"/>
      <c r="V56" s="46"/>
      <c r="W56" s="44"/>
      <c r="X56" s="45"/>
      <c r="Y56" s="46"/>
      <c r="Z56" s="44"/>
      <c r="AA56" s="45"/>
      <c r="AB56" s="46"/>
      <c r="AC56" s="44"/>
      <c r="AD56" s="45"/>
      <c r="AE56" s="46"/>
      <c r="AF56" s="44"/>
      <c r="AG56" s="45">
        <v>0.5</v>
      </c>
      <c r="AH56" s="46"/>
      <c r="AI56" s="44"/>
      <c r="AJ56" s="45">
        <v>0.5</v>
      </c>
      <c r="AK56" s="46"/>
      <c r="AL56" s="44"/>
      <c r="AM56" s="45">
        <v>0.5</v>
      </c>
      <c r="AN56" s="46"/>
      <c r="AO56" s="44"/>
      <c r="AP56" s="45">
        <v>0.5</v>
      </c>
      <c r="AQ56" s="46"/>
      <c r="AR56" s="44"/>
      <c r="AS56" s="45"/>
      <c r="AT56" s="46"/>
      <c r="AU56" s="44"/>
      <c r="AV56" s="45"/>
      <c r="AW56" s="46"/>
      <c r="AX56" s="119"/>
    </row>
    <row r="57" spans="1:50" s="43" customFormat="1" ht="19.5" customHeight="1">
      <c r="A57" s="508"/>
      <c r="B57" s="482" t="s">
        <v>154</v>
      </c>
      <c r="C57" s="517">
        <v>58169000</v>
      </c>
      <c r="D57" s="486">
        <v>2E-3</v>
      </c>
      <c r="E57" s="44"/>
      <c r="F57" s="45"/>
      <c r="G57" s="46"/>
      <c r="H57" s="44"/>
      <c r="I57" s="45"/>
      <c r="J57" s="46"/>
      <c r="K57" s="44"/>
      <c r="L57" s="45"/>
      <c r="M57" s="46"/>
      <c r="N57" s="44"/>
      <c r="O57" s="45"/>
      <c r="P57" s="46"/>
      <c r="Q57" s="49"/>
      <c r="R57" s="50"/>
      <c r="S57" s="46"/>
      <c r="T57" s="44"/>
      <c r="U57" s="45"/>
      <c r="V57" s="46"/>
      <c r="W57" s="44"/>
      <c r="X57" s="45"/>
      <c r="Y57" s="46"/>
      <c r="Z57" s="44"/>
      <c r="AA57" s="45"/>
      <c r="AB57" s="46"/>
      <c r="AC57" s="44"/>
      <c r="AD57" s="45"/>
      <c r="AE57" s="51" t="s">
        <v>155</v>
      </c>
      <c r="AF57" s="44"/>
      <c r="AG57" s="45"/>
      <c r="AH57" s="46"/>
      <c r="AI57" s="44"/>
      <c r="AJ57" s="48"/>
      <c r="AK57" s="46"/>
      <c r="AL57" s="47"/>
      <c r="AM57" s="48"/>
      <c r="AN57" s="51"/>
      <c r="AO57" s="47"/>
      <c r="AP57" s="48"/>
      <c r="AQ57" s="51"/>
      <c r="AR57" s="47"/>
      <c r="AS57" s="45"/>
      <c r="AT57" s="46"/>
      <c r="AU57" s="47"/>
      <c r="AV57" s="45"/>
      <c r="AW57" s="46"/>
      <c r="AX57" s="119"/>
    </row>
    <row r="58" spans="1:50" s="43" customFormat="1" ht="19.5" customHeight="1">
      <c r="A58" s="508"/>
      <c r="B58" s="482"/>
      <c r="C58" s="517"/>
      <c r="D58" s="486"/>
      <c r="E58" s="44"/>
      <c r="F58" s="45"/>
      <c r="G58" s="46"/>
      <c r="H58" s="44"/>
      <c r="I58" s="45"/>
      <c r="J58" s="46"/>
      <c r="K58" s="44"/>
      <c r="L58" s="45"/>
      <c r="M58" s="46"/>
      <c r="N58" s="44"/>
      <c r="O58" s="45"/>
      <c r="P58" s="46"/>
      <c r="Q58" s="49"/>
      <c r="R58" s="50"/>
      <c r="S58" s="46"/>
      <c r="T58" s="44"/>
      <c r="U58" s="45"/>
      <c r="V58" s="46"/>
      <c r="W58" s="44"/>
      <c r="X58" s="45"/>
      <c r="Y58" s="46"/>
      <c r="Z58" s="44"/>
      <c r="AA58" s="45"/>
      <c r="AB58" s="46"/>
      <c r="AC58" s="44"/>
      <c r="AD58" s="45">
        <v>0.1</v>
      </c>
      <c r="AE58" s="46"/>
      <c r="AF58" s="44"/>
      <c r="AG58" s="45">
        <v>0.1</v>
      </c>
      <c r="AH58" s="46"/>
      <c r="AI58" s="44"/>
      <c r="AJ58" s="45"/>
      <c r="AK58" s="46"/>
      <c r="AL58" s="44"/>
      <c r="AM58" s="45"/>
      <c r="AN58" s="46"/>
      <c r="AO58" s="44"/>
      <c r="AP58" s="45"/>
      <c r="AQ58" s="46"/>
      <c r="AR58" s="44"/>
      <c r="AS58" s="45"/>
      <c r="AT58" s="46"/>
      <c r="AU58" s="44"/>
      <c r="AV58" s="45"/>
      <c r="AW58" s="46"/>
      <c r="AX58" s="119"/>
    </row>
    <row r="59" spans="1:50" s="43" customFormat="1" ht="19.5" customHeight="1">
      <c r="A59" s="508"/>
      <c r="B59" s="482" t="s">
        <v>156</v>
      </c>
      <c r="C59" s="517">
        <f>SUM(C14:C58)</f>
        <v>15515400000</v>
      </c>
      <c r="D59" s="486">
        <v>2.5999999999999999E-2</v>
      </c>
      <c r="E59" s="44"/>
      <c r="F59" s="45"/>
      <c r="G59" s="46"/>
      <c r="H59" s="44"/>
      <c r="I59" s="45"/>
      <c r="J59" s="46"/>
      <c r="K59" s="44"/>
      <c r="L59" s="45"/>
      <c r="M59" s="46"/>
      <c r="N59" s="44"/>
      <c r="O59" s="45"/>
      <c r="P59" s="46"/>
      <c r="Q59" s="49"/>
      <c r="R59" s="50"/>
      <c r="S59" s="46"/>
      <c r="T59" s="44"/>
      <c r="U59" s="45"/>
      <c r="V59" s="46"/>
      <c r="W59" s="44"/>
      <c r="X59" s="45"/>
      <c r="Y59" s="46"/>
      <c r="Z59" s="44"/>
      <c r="AA59" s="45"/>
      <c r="AB59" s="46"/>
      <c r="AC59" s="44"/>
      <c r="AD59" s="45"/>
      <c r="AE59" s="46"/>
      <c r="AF59" s="44"/>
      <c r="AG59" s="45"/>
      <c r="AH59" s="51" t="s">
        <v>157</v>
      </c>
      <c r="AI59" s="44"/>
      <c r="AJ59" s="48"/>
      <c r="AK59" s="46"/>
      <c r="AL59" s="47"/>
      <c r="AM59" s="48"/>
      <c r="AN59" s="51"/>
      <c r="AO59" s="47"/>
      <c r="AP59" s="48"/>
      <c r="AQ59" s="51"/>
      <c r="AR59" s="47"/>
      <c r="AS59" s="45"/>
      <c r="AT59" s="46"/>
      <c r="AU59" s="47"/>
      <c r="AV59" s="45"/>
      <c r="AW59" s="46"/>
      <c r="AX59" s="119">
        <v>0.35</v>
      </c>
    </row>
    <row r="60" spans="1:50" s="43" customFormat="1" ht="19.5" customHeight="1">
      <c r="A60" s="508"/>
      <c r="B60" s="487"/>
      <c r="C60" s="525"/>
      <c r="D60" s="490"/>
      <c r="E60" s="44"/>
      <c r="F60" s="45"/>
      <c r="G60" s="46"/>
      <c r="H60" s="44"/>
      <c r="I60" s="45"/>
      <c r="J60" s="46"/>
      <c r="K60" s="44"/>
      <c r="L60" s="45"/>
      <c r="M60" s="46"/>
      <c r="N60" s="44"/>
      <c r="O60" s="45"/>
      <c r="P60" s="46"/>
      <c r="Q60" s="49"/>
      <c r="R60" s="50"/>
      <c r="S60" s="46"/>
      <c r="T60" s="44"/>
      <c r="U60" s="45"/>
      <c r="V60" s="46"/>
      <c r="W60" s="44"/>
      <c r="X60" s="45"/>
      <c r="Y60" s="46"/>
      <c r="Z60" s="44"/>
      <c r="AA60" s="45"/>
      <c r="AB60" s="46"/>
      <c r="AC60" s="44"/>
      <c r="AD60" s="45"/>
      <c r="AE60" s="46"/>
      <c r="AF60" s="44"/>
      <c r="AG60" s="45">
        <v>1.3</v>
      </c>
      <c r="AH60" s="46"/>
      <c r="AI60" s="44"/>
      <c r="AJ60" s="45">
        <v>1.3</v>
      </c>
      <c r="AK60" s="46"/>
      <c r="AL60" s="44"/>
      <c r="AM60" s="45"/>
      <c r="AN60" s="46"/>
      <c r="AO60" s="44"/>
      <c r="AP60" s="45"/>
      <c r="AQ60" s="46"/>
      <c r="AR60" s="44"/>
      <c r="AS60" s="45"/>
      <c r="AT60" s="46"/>
      <c r="AU60" s="44"/>
      <c r="AV60" s="45"/>
      <c r="AW60" s="46"/>
      <c r="AX60" s="119"/>
    </row>
    <row r="61" spans="1:50" s="43" customFormat="1" ht="19.5" customHeight="1">
      <c r="A61" s="508"/>
      <c r="B61" s="487" t="s">
        <v>158</v>
      </c>
      <c r="C61" s="123"/>
      <c r="D61" s="490">
        <v>1.1299999999999999E-2</v>
      </c>
      <c r="E61" s="44"/>
      <c r="F61" s="45"/>
      <c r="G61" s="46"/>
      <c r="H61" s="44"/>
      <c r="I61" s="45"/>
      <c r="J61" s="46"/>
      <c r="K61" s="44"/>
      <c r="L61" s="45"/>
      <c r="M61" s="46"/>
      <c r="N61" s="44"/>
      <c r="O61" s="45"/>
      <c r="P61" s="46"/>
      <c r="Q61" s="49"/>
      <c r="R61" s="50"/>
      <c r="S61" s="46"/>
      <c r="T61" s="44"/>
      <c r="U61" s="45"/>
      <c r="V61" s="46"/>
      <c r="W61" s="44"/>
      <c r="X61" s="45"/>
      <c r="Y61" s="46"/>
      <c r="Z61" s="44"/>
      <c r="AA61" s="45"/>
      <c r="AB61" s="46"/>
      <c r="AC61" s="44"/>
      <c r="AD61" s="45"/>
      <c r="AE61" s="46"/>
      <c r="AF61" s="44"/>
      <c r="AG61" s="45"/>
      <c r="AH61" s="46"/>
      <c r="AI61" s="44"/>
      <c r="AJ61" s="48"/>
      <c r="AK61" s="46"/>
      <c r="AL61" s="47"/>
      <c r="AM61" s="48" t="s">
        <v>159</v>
      </c>
      <c r="AN61" s="51"/>
      <c r="AO61" s="47"/>
      <c r="AP61" s="48"/>
      <c r="AQ61" s="51"/>
      <c r="AR61" s="47"/>
      <c r="AS61" s="45"/>
      <c r="AT61" s="46"/>
      <c r="AU61" s="47"/>
      <c r="AV61" s="45"/>
      <c r="AW61" s="46"/>
      <c r="AX61" s="119"/>
    </row>
    <row r="62" spans="1:50" s="43" customFormat="1" ht="19.5" customHeight="1">
      <c r="A62" s="508"/>
      <c r="B62" s="481"/>
      <c r="C62" s="124"/>
      <c r="D62" s="485"/>
      <c r="E62" s="44"/>
      <c r="F62" s="45"/>
      <c r="G62" s="46"/>
      <c r="H62" s="44"/>
      <c r="I62" s="45"/>
      <c r="J62" s="46"/>
      <c r="K62" s="44"/>
      <c r="L62" s="45"/>
      <c r="M62" s="46"/>
      <c r="N62" s="44"/>
      <c r="O62" s="45"/>
      <c r="P62" s="46"/>
      <c r="Q62" s="49"/>
      <c r="R62" s="50"/>
      <c r="S62" s="46"/>
      <c r="T62" s="44"/>
      <c r="U62" s="45"/>
      <c r="V62" s="46"/>
      <c r="W62" s="44"/>
      <c r="X62" s="45"/>
      <c r="Y62" s="46"/>
      <c r="Z62" s="44"/>
      <c r="AA62" s="45"/>
      <c r="AB62" s="46"/>
      <c r="AC62" s="44"/>
      <c r="AD62" s="45"/>
      <c r="AE62" s="46"/>
      <c r="AF62" s="44"/>
      <c r="AG62" s="45"/>
      <c r="AH62" s="46"/>
      <c r="AI62" s="44"/>
      <c r="AJ62" s="45">
        <v>0.37</v>
      </c>
      <c r="AK62" s="46"/>
      <c r="AL62" s="44"/>
      <c r="AM62" s="45">
        <v>0.38</v>
      </c>
      <c r="AN62" s="46"/>
      <c r="AO62" s="44"/>
      <c r="AP62" s="45">
        <v>0.38</v>
      </c>
      <c r="AQ62" s="46"/>
      <c r="AR62" s="44"/>
      <c r="AS62" s="45"/>
      <c r="AT62" s="46"/>
      <c r="AU62" s="44"/>
      <c r="AV62" s="45"/>
      <c r="AW62" s="46"/>
      <c r="AX62" s="119"/>
    </row>
    <row r="63" spans="1:50" s="43" customFormat="1" ht="18.75" customHeight="1">
      <c r="A63" s="508"/>
      <c r="B63" s="488" t="s">
        <v>160</v>
      </c>
      <c r="C63" s="519"/>
      <c r="D63" s="491">
        <v>2E-3</v>
      </c>
      <c r="E63" s="44"/>
      <c r="F63" s="45"/>
      <c r="G63" s="46"/>
      <c r="H63" s="44"/>
      <c r="I63" s="45"/>
      <c r="J63" s="46"/>
      <c r="K63" s="44"/>
      <c r="L63" s="45"/>
      <c r="M63" s="46"/>
      <c r="N63" s="44"/>
      <c r="O63" s="45"/>
      <c r="P63" s="46"/>
      <c r="Q63" s="49"/>
      <c r="R63" s="50"/>
      <c r="S63" s="46"/>
      <c r="T63" s="44"/>
      <c r="U63" s="45"/>
      <c r="V63" s="46"/>
      <c r="W63" s="44"/>
      <c r="X63" s="45"/>
      <c r="Y63" s="46"/>
      <c r="Z63" s="44"/>
      <c r="AA63" s="45"/>
      <c r="AB63" s="46"/>
      <c r="AC63" s="44"/>
      <c r="AD63" s="45"/>
      <c r="AE63" s="46"/>
      <c r="AF63" s="44"/>
      <c r="AG63" s="45"/>
      <c r="AH63" s="46"/>
      <c r="AI63" s="44"/>
      <c r="AJ63" s="48"/>
      <c r="AK63" s="51" t="s">
        <v>161</v>
      </c>
      <c r="AL63" s="47"/>
      <c r="AM63" s="48"/>
      <c r="AN63" s="51"/>
      <c r="AO63" s="47"/>
      <c r="AP63" s="48"/>
      <c r="AQ63" s="51"/>
      <c r="AR63" s="47"/>
      <c r="AS63" s="45"/>
      <c r="AT63" s="46"/>
      <c r="AU63" s="47"/>
      <c r="AV63" s="45"/>
      <c r="AW63" s="46"/>
      <c r="AX63" s="119">
        <v>0.3</v>
      </c>
    </row>
    <row r="64" spans="1:50" s="43" customFormat="1" ht="18.75" customHeight="1">
      <c r="A64" s="508"/>
      <c r="B64" s="481"/>
      <c r="C64" s="520"/>
      <c r="D64" s="485"/>
      <c r="E64" s="44"/>
      <c r="F64" s="45"/>
      <c r="G64" s="46"/>
      <c r="H64" s="44"/>
      <c r="I64" s="45"/>
      <c r="J64" s="46"/>
      <c r="K64" s="44"/>
      <c r="L64" s="45"/>
      <c r="M64" s="46"/>
      <c r="N64" s="44"/>
      <c r="O64" s="45"/>
      <c r="P64" s="46"/>
      <c r="Q64" s="49"/>
      <c r="R64" s="50"/>
      <c r="S64" s="46"/>
      <c r="T64" s="44"/>
      <c r="U64" s="45"/>
      <c r="V64" s="46"/>
      <c r="W64" s="44"/>
      <c r="X64" s="45"/>
      <c r="Y64" s="46"/>
      <c r="Z64" s="44"/>
      <c r="AA64" s="45"/>
      <c r="AB64" s="46"/>
      <c r="AC64" s="44"/>
      <c r="AD64" s="45"/>
      <c r="AE64" s="46"/>
      <c r="AF64" s="44"/>
      <c r="AG64" s="45"/>
      <c r="AH64" s="46"/>
      <c r="AI64" s="44"/>
      <c r="AJ64" s="45">
        <v>0.1</v>
      </c>
      <c r="AK64" s="46"/>
      <c r="AL64" s="44"/>
      <c r="AM64" s="45">
        <v>0.1</v>
      </c>
      <c r="AN64" s="46"/>
      <c r="AO64" s="44"/>
      <c r="AP64" s="45"/>
      <c r="AQ64" s="46"/>
      <c r="AR64" s="44"/>
      <c r="AS64" s="45"/>
      <c r="AT64" s="46"/>
      <c r="AU64" s="44"/>
      <c r="AV64" s="45"/>
      <c r="AW64" s="46"/>
      <c r="AX64" s="119"/>
    </row>
    <row r="65" spans="1:50" s="43" customFormat="1" ht="19.5" customHeight="1">
      <c r="A65" s="508"/>
      <c r="B65" s="487" t="s">
        <v>162</v>
      </c>
      <c r="C65" s="517">
        <v>1058343000</v>
      </c>
      <c r="D65" s="486">
        <v>1E-4</v>
      </c>
      <c r="E65" s="44"/>
      <c r="F65" s="45"/>
      <c r="G65" s="46"/>
      <c r="H65" s="44"/>
      <c r="I65" s="45"/>
      <c r="J65" s="46"/>
      <c r="K65" s="44"/>
      <c r="L65" s="45"/>
      <c r="M65" s="46"/>
      <c r="N65" s="44"/>
      <c r="O65" s="45"/>
      <c r="P65" s="46"/>
      <c r="Q65" s="49"/>
      <c r="R65" s="50"/>
      <c r="S65" s="46"/>
      <c r="T65" s="44"/>
      <c r="U65" s="45"/>
      <c r="V65" s="46"/>
      <c r="W65" s="44"/>
      <c r="X65" s="45"/>
      <c r="Y65" s="46"/>
      <c r="Z65" s="44"/>
      <c r="AA65" s="45"/>
      <c r="AB65" s="46"/>
      <c r="AC65" s="44"/>
      <c r="AD65" s="45"/>
      <c r="AE65" s="46"/>
      <c r="AF65" s="44"/>
      <c r="AG65" s="45"/>
      <c r="AH65" s="46"/>
      <c r="AI65" s="44"/>
      <c r="AJ65" s="48"/>
      <c r="AK65" s="46"/>
      <c r="AL65" s="47"/>
      <c r="AM65" s="48"/>
      <c r="AN65" s="51"/>
      <c r="AO65" s="47"/>
      <c r="AP65" s="48"/>
      <c r="AQ65" s="51"/>
      <c r="AR65" s="47"/>
      <c r="AS65" s="48" t="s">
        <v>163</v>
      </c>
      <c r="AT65" s="46"/>
      <c r="AU65" s="47"/>
      <c r="AV65" s="45"/>
      <c r="AW65" s="46"/>
      <c r="AX65" s="119"/>
    </row>
    <row r="66" spans="1:50" s="43" customFormat="1" ht="19.5" customHeight="1">
      <c r="A66" s="508"/>
      <c r="B66" s="481"/>
      <c r="C66" s="517"/>
      <c r="D66" s="486"/>
      <c r="E66" s="44"/>
      <c r="F66" s="45"/>
      <c r="G66" s="46"/>
      <c r="H66" s="44"/>
      <c r="I66" s="45"/>
      <c r="J66" s="46"/>
      <c r="K66" s="44"/>
      <c r="L66" s="45"/>
      <c r="M66" s="46"/>
      <c r="N66" s="44"/>
      <c r="O66" s="45"/>
      <c r="P66" s="46"/>
      <c r="Q66" s="49"/>
      <c r="R66" s="50"/>
      <c r="S66" s="46"/>
      <c r="T66" s="44"/>
      <c r="U66" s="45"/>
      <c r="V66" s="46"/>
      <c r="W66" s="44"/>
      <c r="X66" s="45"/>
      <c r="Y66" s="46"/>
      <c r="Z66" s="44"/>
      <c r="AA66" s="45"/>
      <c r="AB66" s="46"/>
      <c r="AC66" s="44"/>
      <c r="AD66" s="45"/>
      <c r="AE66" s="46"/>
      <c r="AF66" s="44"/>
      <c r="AG66" s="45"/>
      <c r="AH66" s="46"/>
      <c r="AI66" s="44"/>
      <c r="AJ66" s="45"/>
      <c r="AK66" s="46"/>
      <c r="AL66" s="44"/>
      <c r="AM66" s="45"/>
      <c r="AN66" s="46"/>
      <c r="AO66" s="44"/>
      <c r="AP66" s="45"/>
      <c r="AQ66" s="46"/>
      <c r="AR66" s="44"/>
      <c r="AS66" s="45">
        <v>0.01</v>
      </c>
      <c r="AT66" s="46"/>
      <c r="AU66" s="44"/>
      <c r="AV66" s="45"/>
      <c r="AW66" s="46"/>
      <c r="AX66" s="119">
        <v>0.25</v>
      </c>
    </row>
    <row r="67" spans="1:50" s="43" customFormat="1" ht="19.5" customHeight="1">
      <c r="A67" s="508"/>
      <c r="B67" s="487" t="s">
        <v>142</v>
      </c>
      <c r="C67" s="517">
        <v>45024000</v>
      </c>
      <c r="D67" s="486">
        <f>SUM(D47:D65)</f>
        <v>0.13499999999999998</v>
      </c>
      <c r="E67" s="44"/>
      <c r="F67" s="45"/>
      <c r="G67" s="46"/>
      <c r="H67" s="44"/>
      <c r="I67" s="45"/>
      <c r="J67" s="46"/>
      <c r="K67" s="44"/>
      <c r="L67" s="45"/>
      <c r="M67" s="46"/>
      <c r="N67" s="44"/>
      <c r="O67" s="45"/>
      <c r="P67" s="46"/>
      <c r="Q67" s="49"/>
      <c r="R67" s="50"/>
      <c r="S67" s="46"/>
      <c r="T67" s="44"/>
      <c r="U67" s="45"/>
      <c r="V67" s="46"/>
      <c r="W67" s="44"/>
      <c r="X67" s="45"/>
      <c r="Y67" s="46"/>
      <c r="Z67" s="44"/>
      <c r="AA67" s="45"/>
      <c r="AB67" s="46"/>
      <c r="AC67" s="44"/>
      <c r="AD67" s="45"/>
      <c r="AE67" s="46"/>
      <c r="AF67" s="44"/>
      <c r="AG67" s="45"/>
      <c r="AH67" s="46"/>
      <c r="AI67" s="44"/>
      <c r="AJ67" s="48"/>
      <c r="AK67" s="46"/>
      <c r="AL67" s="47"/>
      <c r="AM67" s="48"/>
      <c r="AN67" s="51"/>
      <c r="AO67" s="47"/>
      <c r="AP67" s="48"/>
      <c r="AQ67" s="51"/>
      <c r="AR67" s="47"/>
      <c r="AS67" s="45"/>
      <c r="AT67" s="46"/>
      <c r="AU67" s="47"/>
      <c r="AV67" s="45"/>
      <c r="AW67" s="46"/>
      <c r="AX67" s="119"/>
    </row>
    <row r="68" spans="1:50" s="43" customFormat="1" ht="19.5" customHeight="1">
      <c r="A68" s="509"/>
      <c r="B68" s="493"/>
      <c r="C68" s="521"/>
      <c r="D68" s="522"/>
      <c r="E68" s="71"/>
      <c r="F68" s="72"/>
      <c r="G68" s="74"/>
      <c r="H68" s="44"/>
      <c r="I68" s="45"/>
      <c r="J68" s="46"/>
      <c r="K68" s="44"/>
      <c r="L68" s="45"/>
      <c r="M68" s="46"/>
      <c r="N68" s="44"/>
      <c r="O68" s="45"/>
      <c r="P68" s="46"/>
      <c r="Q68" s="49"/>
      <c r="R68" s="50"/>
      <c r="S68" s="46"/>
      <c r="T68" s="44"/>
      <c r="U68" s="45"/>
      <c r="V68" s="46"/>
      <c r="W68" s="44"/>
      <c r="X68" s="45"/>
      <c r="Y68" s="46"/>
      <c r="Z68" s="44"/>
      <c r="AA68" s="45"/>
      <c r="AB68" s="46"/>
      <c r="AC68" s="44"/>
      <c r="AD68" s="45"/>
      <c r="AE68" s="46"/>
      <c r="AF68" s="44"/>
      <c r="AG68" s="45"/>
      <c r="AH68" s="46"/>
      <c r="AI68" s="44"/>
      <c r="AJ68" s="45"/>
      <c r="AK68" s="46"/>
      <c r="AL68" s="44"/>
      <c r="AM68" s="45"/>
      <c r="AN68" s="46"/>
      <c r="AO68" s="44"/>
      <c r="AP68" s="45"/>
      <c r="AQ68" s="46"/>
      <c r="AR68" s="44"/>
      <c r="AS68" s="45"/>
      <c r="AT68" s="46"/>
      <c r="AU68" s="44"/>
      <c r="AV68" s="45"/>
      <c r="AW68" s="46"/>
      <c r="AX68" s="119"/>
    </row>
    <row r="69" spans="1:50" s="43" customFormat="1" ht="19.5" customHeight="1">
      <c r="A69" s="523" t="s">
        <v>164</v>
      </c>
      <c r="B69" s="481" t="s">
        <v>165</v>
      </c>
      <c r="C69" s="524">
        <v>211233000</v>
      </c>
      <c r="D69" s="485">
        <v>6.0000000000000001E-3</v>
      </c>
      <c r="E69" s="44"/>
      <c r="F69" s="45"/>
      <c r="G69" s="46"/>
      <c r="H69" s="61"/>
      <c r="I69" s="62"/>
      <c r="J69" s="63"/>
      <c r="K69" s="61"/>
      <c r="L69" s="62"/>
      <c r="M69" s="63"/>
      <c r="N69" s="61"/>
      <c r="O69" s="69" t="s">
        <v>166</v>
      </c>
      <c r="P69" s="63"/>
      <c r="Q69" s="65"/>
      <c r="R69" s="88"/>
      <c r="S69" s="89"/>
      <c r="T69" s="90"/>
      <c r="U69" s="88" t="s">
        <v>167</v>
      </c>
      <c r="V69" s="89"/>
      <c r="W69" s="90"/>
      <c r="X69" s="62"/>
      <c r="Y69" s="63"/>
      <c r="Z69" s="61"/>
      <c r="AA69" s="62"/>
      <c r="AB69" s="63"/>
      <c r="AC69" s="61"/>
      <c r="AD69" s="62"/>
      <c r="AE69" s="63"/>
      <c r="AF69" s="61"/>
      <c r="AG69" s="62"/>
      <c r="AH69" s="63"/>
      <c r="AI69" s="61"/>
      <c r="AJ69" s="69"/>
      <c r="AK69" s="63"/>
      <c r="AL69" s="64"/>
      <c r="AM69" s="69"/>
      <c r="AN69" s="68"/>
      <c r="AO69" s="64"/>
      <c r="AP69" s="69" t="s">
        <v>168</v>
      </c>
      <c r="AQ69" s="68"/>
      <c r="AR69" s="64"/>
      <c r="AS69" s="62"/>
      <c r="AT69" s="63"/>
      <c r="AU69" s="64"/>
      <c r="AV69" s="62"/>
      <c r="AW69" s="63"/>
      <c r="AX69" s="119"/>
    </row>
    <row r="70" spans="1:50" s="43" customFormat="1" ht="19.5" customHeight="1">
      <c r="A70" s="508"/>
      <c r="B70" s="482"/>
      <c r="C70" s="517"/>
      <c r="D70" s="486"/>
      <c r="E70" s="44"/>
      <c r="F70" s="45"/>
      <c r="G70" s="46"/>
      <c r="H70" s="44"/>
      <c r="I70" s="45"/>
      <c r="J70" s="46"/>
      <c r="K70" s="44"/>
      <c r="L70" s="45">
        <v>0.1</v>
      </c>
      <c r="M70" s="46"/>
      <c r="N70" s="44"/>
      <c r="O70" s="45">
        <v>0.1</v>
      </c>
      <c r="P70" s="46"/>
      <c r="Q70" s="44"/>
      <c r="R70" s="45">
        <v>0.1</v>
      </c>
      <c r="S70" s="46"/>
      <c r="T70" s="44"/>
      <c r="U70" s="45">
        <v>0.1</v>
      </c>
      <c r="V70" s="46"/>
      <c r="W70" s="44"/>
      <c r="X70" s="45"/>
      <c r="Y70" s="46"/>
      <c r="Z70" s="44"/>
      <c r="AA70" s="45"/>
      <c r="AB70" s="46"/>
      <c r="AC70" s="44"/>
      <c r="AD70" s="45"/>
      <c r="AE70" s="46"/>
      <c r="AF70" s="44"/>
      <c r="AG70" s="45"/>
      <c r="AH70" s="46"/>
      <c r="AI70" s="44"/>
      <c r="AJ70" s="45"/>
      <c r="AK70" s="46"/>
      <c r="AL70" s="44"/>
      <c r="AM70" s="45"/>
      <c r="AN70" s="46"/>
      <c r="AO70" s="44"/>
      <c r="AP70" s="45">
        <v>0.2</v>
      </c>
      <c r="AQ70" s="46"/>
      <c r="AR70" s="44"/>
      <c r="AS70" s="45"/>
      <c r="AT70" s="46"/>
      <c r="AU70" s="44"/>
      <c r="AV70" s="45"/>
      <c r="AW70" s="46"/>
      <c r="AX70" s="119">
        <v>0.2</v>
      </c>
    </row>
    <row r="71" spans="1:50" s="43" customFormat="1" ht="19.5" customHeight="1">
      <c r="A71" s="508"/>
      <c r="B71" s="482" t="s">
        <v>169</v>
      </c>
      <c r="C71" s="517">
        <v>93200000</v>
      </c>
      <c r="D71" s="486">
        <v>3.4000000000000002E-2</v>
      </c>
      <c r="E71" s="44"/>
      <c r="F71" s="45"/>
      <c r="G71" s="46"/>
      <c r="H71" s="44"/>
      <c r="I71" s="45"/>
      <c r="J71" s="46"/>
      <c r="K71" s="44"/>
      <c r="L71" s="45"/>
      <c r="M71" s="46"/>
      <c r="N71" s="44"/>
      <c r="O71" s="45"/>
      <c r="P71" s="46"/>
      <c r="Q71" s="44"/>
      <c r="R71" s="45"/>
      <c r="S71" s="46"/>
      <c r="T71" s="44"/>
      <c r="U71" s="45"/>
      <c r="V71" s="46"/>
      <c r="W71" s="56"/>
      <c r="X71" s="45"/>
      <c r="Y71" s="46"/>
      <c r="Z71" s="44"/>
      <c r="AA71" s="48" t="s">
        <v>170</v>
      </c>
      <c r="AB71" s="46"/>
      <c r="AC71" s="44"/>
      <c r="AD71" s="45"/>
      <c r="AE71" s="46"/>
      <c r="AF71" s="44"/>
      <c r="AG71" s="45"/>
      <c r="AH71" s="46"/>
      <c r="AI71" s="44"/>
      <c r="AJ71" s="48" t="s">
        <v>171</v>
      </c>
      <c r="AK71" s="46"/>
      <c r="AL71" s="47"/>
      <c r="AM71" s="48"/>
      <c r="AN71" s="51"/>
      <c r="AO71" s="47"/>
      <c r="AP71" s="48"/>
      <c r="AQ71" s="51"/>
      <c r="AR71" s="47"/>
      <c r="AS71" s="45"/>
      <c r="AT71" s="46"/>
      <c r="AU71" s="47"/>
      <c r="AV71" s="45"/>
      <c r="AW71" s="46"/>
      <c r="AX71" s="119"/>
    </row>
    <row r="72" spans="1:50" s="43" customFormat="1" ht="19.5" customHeight="1">
      <c r="A72" s="508"/>
      <c r="B72" s="482"/>
      <c r="C72" s="517"/>
      <c r="D72" s="486"/>
      <c r="E72" s="44"/>
      <c r="F72" s="45"/>
      <c r="G72" s="46"/>
      <c r="H72" s="44"/>
      <c r="I72" s="45"/>
      <c r="J72" s="46"/>
      <c r="K72" s="44"/>
      <c r="L72" s="45"/>
      <c r="M72" s="46"/>
      <c r="N72" s="44"/>
      <c r="O72" s="45"/>
      <c r="P72" s="46"/>
      <c r="Q72" s="44"/>
      <c r="R72" s="45"/>
      <c r="S72" s="46"/>
      <c r="T72" s="44"/>
      <c r="U72" s="45"/>
      <c r="V72" s="46"/>
      <c r="W72" s="44"/>
      <c r="X72" s="45"/>
      <c r="Y72" s="46"/>
      <c r="Z72" s="44"/>
      <c r="AA72" s="45">
        <v>0.5</v>
      </c>
      <c r="AB72" s="46"/>
      <c r="AC72" s="44"/>
      <c r="AD72" s="45">
        <v>0.5</v>
      </c>
      <c r="AE72" s="46"/>
      <c r="AF72" s="44"/>
      <c r="AG72" s="45"/>
      <c r="AH72" s="46"/>
      <c r="AI72" s="44"/>
      <c r="AJ72" s="45">
        <v>1.2</v>
      </c>
      <c r="AK72" s="46"/>
      <c r="AL72" s="44"/>
      <c r="AM72" s="45">
        <v>1.2</v>
      </c>
      <c r="AN72" s="46"/>
      <c r="AO72" s="44"/>
      <c r="AP72" s="45"/>
      <c r="AQ72" s="46"/>
      <c r="AR72" s="44"/>
      <c r="AS72" s="45"/>
      <c r="AT72" s="46"/>
      <c r="AU72" s="44"/>
      <c r="AV72" s="45"/>
      <c r="AW72" s="46"/>
      <c r="AX72" s="119"/>
    </row>
    <row r="73" spans="1:50" s="43" customFormat="1" ht="19.5" customHeight="1">
      <c r="A73" s="508"/>
      <c r="B73" s="482" t="s">
        <v>172</v>
      </c>
      <c r="C73" s="517">
        <v>113934000</v>
      </c>
      <c r="D73" s="486">
        <v>5.6000000000000001E-2</v>
      </c>
      <c r="E73" s="44"/>
      <c r="F73" s="45"/>
      <c r="G73" s="46"/>
      <c r="H73" s="44"/>
      <c r="I73" s="45"/>
      <c r="J73" s="46"/>
      <c r="K73" s="44"/>
      <c r="L73" s="45"/>
      <c r="M73" s="46"/>
      <c r="N73" s="44"/>
      <c r="O73" s="48" t="s">
        <v>173</v>
      </c>
      <c r="P73" s="46"/>
      <c r="Q73" s="44"/>
      <c r="R73" s="45"/>
      <c r="S73" s="46"/>
      <c r="T73" s="44"/>
      <c r="U73" s="48" t="s">
        <v>174</v>
      </c>
      <c r="V73" s="46"/>
      <c r="W73" s="56"/>
      <c r="X73" s="45"/>
      <c r="Y73" s="46"/>
      <c r="Z73" s="44"/>
      <c r="AA73" s="48" t="s">
        <v>175</v>
      </c>
      <c r="AB73" s="46"/>
      <c r="AC73" s="44"/>
      <c r="AD73" s="45"/>
      <c r="AE73" s="46"/>
      <c r="AF73" s="44"/>
      <c r="AG73" s="48" t="s">
        <v>176</v>
      </c>
      <c r="AH73" s="46"/>
      <c r="AI73" s="44"/>
      <c r="AJ73" s="48" t="s">
        <v>177</v>
      </c>
      <c r="AK73" s="46"/>
      <c r="AL73" s="47"/>
      <c r="AM73" s="48"/>
      <c r="AN73" s="51"/>
      <c r="AO73" s="47"/>
      <c r="AP73" s="48"/>
      <c r="AQ73" s="51"/>
      <c r="AR73" s="47"/>
      <c r="AS73" s="45"/>
      <c r="AT73" s="46"/>
      <c r="AU73" s="47"/>
      <c r="AV73" s="45"/>
      <c r="AW73" s="46"/>
      <c r="AX73" s="119"/>
    </row>
    <row r="74" spans="1:50" s="43" customFormat="1" ht="19.5" customHeight="1">
      <c r="A74" s="508"/>
      <c r="B74" s="482"/>
      <c r="C74" s="517"/>
      <c r="D74" s="486"/>
      <c r="E74" s="44"/>
      <c r="F74" s="45"/>
      <c r="G74" s="46"/>
      <c r="H74" s="44"/>
      <c r="I74" s="45"/>
      <c r="J74" s="46"/>
      <c r="K74" s="44"/>
      <c r="L74" s="45"/>
      <c r="M74" s="46"/>
      <c r="N74" s="44"/>
      <c r="O74" s="45">
        <v>0.3</v>
      </c>
      <c r="P74" s="46"/>
      <c r="Q74" s="44"/>
      <c r="R74" s="45">
        <v>0.4</v>
      </c>
      <c r="S74" s="46"/>
      <c r="T74" s="44"/>
      <c r="U74" s="45">
        <v>0.5</v>
      </c>
      <c r="V74" s="46"/>
      <c r="W74" s="44"/>
      <c r="X74" s="45">
        <v>0.5</v>
      </c>
      <c r="Y74" s="46"/>
      <c r="Z74" s="44"/>
      <c r="AA74" s="45">
        <v>0.5</v>
      </c>
      <c r="AB74" s="46"/>
      <c r="AC74" s="44"/>
      <c r="AD74" s="45">
        <v>0.8</v>
      </c>
      <c r="AE74" s="46"/>
      <c r="AF74" s="44"/>
      <c r="AG74" s="45">
        <v>0.5</v>
      </c>
      <c r="AH74" s="46"/>
      <c r="AI74" s="44"/>
      <c r="AJ74" s="45">
        <v>1.6</v>
      </c>
      <c r="AK74" s="46"/>
      <c r="AL74" s="44"/>
      <c r="AM74" s="45">
        <v>0.5</v>
      </c>
      <c r="AN74" s="46"/>
      <c r="AO74" s="44"/>
      <c r="AP74" s="45"/>
      <c r="AQ74" s="46"/>
      <c r="AR74" s="44"/>
      <c r="AS74" s="45"/>
      <c r="AT74" s="46"/>
      <c r="AU74" s="44"/>
      <c r="AV74" s="45"/>
      <c r="AW74" s="46"/>
      <c r="AX74" s="119">
        <v>0.15</v>
      </c>
    </row>
    <row r="75" spans="1:50" s="43" customFormat="1" ht="19.5" customHeight="1">
      <c r="A75" s="508"/>
      <c r="B75" s="482" t="s">
        <v>178</v>
      </c>
      <c r="C75" s="517">
        <v>313703000</v>
      </c>
      <c r="D75" s="486">
        <v>1.8800000000000001E-2</v>
      </c>
      <c r="E75" s="44"/>
      <c r="F75" s="45"/>
      <c r="G75" s="46"/>
      <c r="H75" s="44"/>
      <c r="I75" s="45"/>
      <c r="J75" s="46"/>
      <c r="K75" s="44"/>
      <c r="L75" s="45"/>
      <c r="M75" s="46"/>
      <c r="N75" s="44"/>
      <c r="O75" s="48" t="s">
        <v>173</v>
      </c>
      <c r="P75" s="46"/>
      <c r="Q75" s="44"/>
      <c r="R75" s="45"/>
      <c r="S75" s="46"/>
      <c r="T75" s="44"/>
      <c r="U75" s="48" t="s">
        <v>179</v>
      </c>
      <c r="V75" s="46"/>
      <c r="W75" s="44"/>
      <c r="X75" s="45"/>
      <c r="Y75" s="46"/>
      <c r="Z75" s="44"/>
      <c r="AA75" s="48" t="s">
        <v>180</v>
      </c>
      <c r="AB75" s="46"/>
      <c r="AC75" s="44"/>
      <c r="AD75" s="45"/>
      <c r="AE75" s="46"/>
      <c r="AF75" s="44"/>
      <c r="AG75" s="48" t="s">
        <v>181</v>
      </c>
      <c r="AH75" s="46"/>
      <c r="AI75" s="44"/>
      <c r="AJ75" s="48"/>
      <c r="AK75" s="46"/>
      <c r="AL75" s="47"/>
      <c r="AM75" s="48"/>
      <c r="AN75" s="51"/>
      <c r="AO75" s="47"/>
      <c r="AP75" s="48" t="s">
        <v>182</v>
      </c>
      <c r="AQ75" s="51"/>
      <c r="AR75" s="47"/>
      <c r="AS75" s="45"/>
      <c r="AT75" s="46"/>
      <c r="AU75" s="47"/>
      <c r="AV75" s="45"/>
      <c r="AW75" s="46"/>
      <c r="AX75" s="119"/>
    </row>
    <row r="76" spans="1:50" s="43" customFormat="1" ht="19.5" customHeight="1">
      <c r="A76" s="508"/>
      <c r="B76" s="482"/>
      <c r="C76" s="517"/>
      <c r="D76" s="486"/>
      <c r="E76" s="44"/>
      <c r="F76" s="45"/>
      <c r="G76" s="46"/>
      <c r="H76" s="44"/>
      <c r="I76" s="45"/>
      <c r="J76" s="46"/>
      <c r="K76" s="44"/>
      <c r="L76" s="45"/>
      <c r="M76" s="46"/>
      <c r="N76" s="44"/>
      <c r="O76" s="45">
        <v>0.1</v>
      </c>
      <c r="P76" s="46"/>
      <c r="Q76" s="44"/>
      <c r="R76" s="45">
        <v>0.1</v>
      </c>
      <c r="S76" s="46"/>
      <c r="T76" s="44"/>
      <c r="U76" s="45">
        <v>0.1</v>
      </c>
      <c r="V76" s="46"/>
      <c r="W76" s="44"/>
      <c r="X76" s="45">
        <v>0.1</v>
      </c>
      <c r="Y76" s="46"/>
      <c r="Z76" s="44"/>
      <c r="AA76" s="45">
        <v>0.1</v>
      </c>
      <c r="AB76" s="46"/>
      <c r="AC76" s="44"/>
      <c r="AD76" s="45">
        <v>0.1</v>
      </c>
      <c r="AE76" s="46"/>
      <c r="AF76" s="44"/>
      <c r="AG76" s="45">
        <v>0.1</v>
      </c>
      <c r="AH76" s="46"/>
      <c r="AI76" s="44"/>
      <c r="AJ76" s="45"/>
      <c r="AK76" s="46"/>
      <c r="AL76" s="44"/>
      <c r="AM76" s="53">
        <v>0.4</v>
      </c>
      <c r="AN76" s="46"/>
      <c r="AO76" s="44"/>
      <c r="AP76" s="45">
        <v>0.4</v>
      </c>
      <c r="AQ76" s="46"/>
      <c r="AR76" s="44"/>
      <c r="AS76" s="45">
        <v>0.38</v>
      </c>
      <c r="AT76" s="46"/>
      <c r="AU76" s="44"/>
      <c r="AV76" s="45"/>
      <c r="AW76" s="46"/>
      <c r="AX76" s="119"/>
    </row>
    <row r="77" spans="1:50" s="43" customFormat="1" ht="19.5" customHeight="1">
      <c r="A77" s="508"/>
      <c r="B77" s="482" t="s">
        <v>183</v>
      </c>
      <c r="C77" s="517">
        <v>850620000</v>
      </c>
      <c r="D77" s="486">
        <v>3.3E-3</v>
      </c>
      <c r="E77" s="44"/>
      <c r="F77" s="45"/>
      <c r="G77" s="46"/>
      <c r="H77" s="44"/>
      <c r="I77" s="45"/>
      <c r="J77" s="46"/>
      <c r="K77" s="44"/>
      <c r="L77" s="45"/>
      <c r="M77" s="46"/>
      <c r="N77" s="44"/>
      <c r="O77" s="48" t="s">
        <v>173</v>
      </c>
      <c r="P77" s="46"/>
      <c r="Q77" s="44"/>
      <c r="R77" s="45"/>
      <c r="S77" s="46"/>
      <c r="T77" s="44"/>
      <c r="U77" s="82" t="s">
        <v>184</v>
      </c>
      <c r="V77" s="46"/>
      <c r="W77" s="44"/>
      <c r="X77" s="45"/>
      <c r="Y77" s="46"/>
      <c r="Z77" s="44"/>
      <c r="AA77" s="48" t="s">
        <v>180</v>
      </c>
      <c r="AB77" s="46"/>
      <c r="AC77" s="44"/>
      <c r="AD77" s="45"/>
      <c r="AE77" s="46"/>
      <c r="AF77" s="44"/>
      <c r="AG77" s="48" t="s">
        <v>181</v>
      </c>
      <c r="AH77" s="46"/>
      <c r="AI77" s="44"/>
      <c r="AJ77" s="48"/>
      <c r="AK77" s="46"/>
      <c r="AL77" s="47"/>
      <c r="AM77" s="48" t="s">
        <v>185</v>
      </c>
      <c r="AN77" s="51"/>
      <c r="AO77" s="47"/>
      <c r="AP77" s="48"/>
      <c r="AQ77" s="51"/>
      <c r="AR77" s="47"/>
      <c r="AS77" s="45"/>
      <c r="AT77" s="46"/>
      <c r="AU77" s="47"/>
      <c r="AV77" s="45"/>
      <c r="AW77" s="46"/>
      <c r="AX77" s="119"/>
    </row>
    <row r="78" spans="1:50" s="43" customFormat="1" ht="19.5" customHeight="1">
      <c r="A78" s="508"/>
      <c r="B78" s="482"/>
      <c r="C78" s="517"/>
      <c r="D78" s="486"/>
      <c r="E78" s="44"/>
      <c r="F78" s="45"/>
      <c r="G78" s="46"/>
      <c r="H78" s="44"/>
      <c r="I78" s="45"/>
      <c r="J78" s="46"/>
      <c r="K78" s="44"/>
      <c r="L78" s="45"/>
      <c r="M78" s="46"/>
      <c r="N78" s="44"/>
      <c r="O78" s="45">
        <v>0.01</v>
      </c>
      <c r="P78" s="46"/>
      <c r="Q78" s="44"/>
      <c r="R78" s="45">
        <v>0.03</v>
      </c>
      <c r="S78" s="46"/>
      <c r="T78" s="44"/>
      <c r="U78" s="45">
        <v>0.03</v>
      </c>
      <c r="V78" s="46"/>
      <c r="W78" s="44"/>
      <c r="X78" s="45">
        <v>0.03</v>
      </c>
      <c r="Y78" s="46"/>
      <c r="Z78" s="44"/>
      <c r="AA78" s="45">
        <v>0.03</v>
      </c>
      <c r="AB78" s="46"/>
      <c r="AC78" s="44"/>
      <c r="AD78" s="45">
        <v>0.05</v>
      </c>
      <c r="AE78" s="46"/>
      <c r="AF78" s="44"/>
      <c r="AG78" s="45">
        <v>0.03</v>
      </c>
      <c r="AH78" s="46"/>
      <c r="AI78" s="44"/>
      <c r="AJ78" s="45">
        <v>0.04</v>
      </c>
      <c r="AK78" s="46"/>
      <c r="AL78" s="44"/>
      <c r="AM78" s="45">
        <v>0.06</v>
      </c>
      <c r="AN78" s="46"/>
      <c r="AO78" s="44"/>
      <c r="AP78" s="45">
        <v>0.02</v>
      </c>
      <c r="AQ78" s="46"/>
      <c r="AR78" s="44"/>
      <c r="AS78" s="45"/>
      <c r="AT78" s="46"/>
      <c r="AU78" s="44"/>
      <c r="AV78" s="45"/>
      <c r="AW78" s="46"/>
      <c r="AX78" s="119">
        <v>0.1</v>
      </c>
    </row>
    <row r="79" spans="1:50" s="43" customFormat="1" ht="19.5" customHeight="1">
      <c r="A79" s="508"/>
      <c r="B79" s="487" t="s">
        <v>186</v>
      </c>
      <c r="C79" s="525">
        <v>48955000</v>
      </c>
      <c r="D79" s="490">
        <v>6.8999999999999999E-3</v>
      </c>
      <c r="E79" s="44"/>
      <c r="F79" s="45"/>
      <c r="G79" s="46"/>
      <c r="H79" s="44"/>
      <c r="I79" s="45"/>
      <c r="J79" s="46"/>
      <c r="K79" s="44"/>
      <c r="L79" s="45"/>
      <c r="M79" s="46"/>
      <c r="N79" s="44"/>
      <c r="O79" s="48" t="s">
        <v>187</v>
      </c>
      <c r="P79" s="46"/>
      <c r="Q79" s="44"/>
      <c r="R79" s="45"/>
      <c r="S79" s="46"/>
      <c r="T79" s="44"/>
      <c r="U79" s="48" t="s">
        <v>188</v>
      </c>
      <c r="V79" s="46"/>
      <c r="W79" s="44"/>
      <c r="X79" s="45"/>
      <c r="Y79" s="46"/>
      <c r="Z79" s="44"/>
      <c r="AA79" s="48" t="s">
        <v>189</v>
      </c>
      <c r="AB79" s="46"/>
      <c r="AC79" s="44"/>
      <c r="AD79" s="45"/>
      <c r="AE79" s="46"/>
      <c r="AF79" s="44"/>
      <c r="AG79" s="48" t="s">
        <v>190</v>
      </c>
      <c r="AH79" s="46"/>
      <c r="AI79" s="44"/>
      <c r="AJ79" s="48"/>
      <c r="AK79" s="46"/>
      <c r="AL79" s="47"/>
      <c r="AM79" s="48"/>
      <c r="AN79" s="51"/>
      <c r="AO79" s="47"/>
      <c r="AP79" s="48" t="s">
        <v>191</v>
      </c>
      <c r="AQ79" s="51"/>
      <c r="AR79" s="47"/>
      <c r="AS79" s="45"/>
      <c r="AT79" s="46"/>
      <c r="AU79" s="47"/>
      <c r="AV79" s="45"/>
      <c r="AW79" s="46"/>
      <c r="AX79" s="119"/>
    </row>
    <row r="80" spans="1:50" s="43" customFormat="1" ht="19.5" customHeight="1">
      <c r="A80" s="508"/>
      <c r="B80" s="481"/>
      <c r="C80" s="524"/>
      <c r="D80" s="485"/>
      <c r="E80" s="44"/>
      <c r="F80" s="45"/>
      <c r="G80" s="46"/>
      <c r="H80" s="44"/>
      <c r="I80" s="45"/>
      <c r="J80" s="46"/>
      <c r="K80" s="44"/>
      <c r="L80" s="45"/>
      <c r="M80" s="46"/>
      <c r="N80" s="44"/>
      <c r="O80" s="45">
        <v>0.01</v>
      </c>
      <c r="P80" s="46"/>
      <c r="Q80" s="49"/>
      <c r="R80" s="45">
        <v>0.05</v>
      </c>
      <c r="S80" s="46"/>
      <c r="T80" s="44"/>
      <c r="U80" s="45">
        <v>0.05</v>
      </c>
      <c r="V80" s="46"/>
      <c r="W80" s="44"/>
      <c r="X80" s="45">
        <v>0.05</v>
      </c>
      <c r="Y80" s="46"/>
      <c r="Z80" s="44"/>
      <c r="AA80" s="45">
        <v>0.05</v>
      </c>
      <c r="AB80" s="46"/>
      <c r="AC80" s="44"/>
      <c r="AD80" s="45">
        <v>0.05</v>
      </c>
      <c r="AE80" s="46"/>
      <c r="AF80" s="44"/>
      <c r="AG80" s="45">
        <v>0.09</v>
      </c>
      <c r="AH80" s="46"/>
      <c r="AI80" s="44"/>
      <c r="AJ80" s="45"/>
      <c r="AK80" s="46"/>
      <c r="AL80" s="44"/>
      <c r="AM80" s="45">
        <v>0.1</v>
      </c>
      <c r="AN80" s="46"/>
      <c r="AO80" s="44"/>
      <c r="AP80" s="45">
        <v>0.2</v>
      </c>
      <c r="AQ80" s="46"/>
      <c r="AR80" s="44"/>
      <c r="AS80" s="45">
        <v>0.04</v>
      </c>
      <c r="AT80" s="46"/>
      <c r="AU80" s="44"/>
      <c r="AV80" s="45"/>
      <c r="AW80" s="46"/>
      <c r="AX80" s="119"/>
    </row>
    <row r="81" spans="1:53" s="43" customFormat="1" ht="18.95" customHeight="1">
      <c r="A81" s="508"/>
      <c r="B81" s="487" t="s">
        <v>142</v>
      </c>
      <c r="C81" s="517">
        <v>14300000</v>
      </c>
      <c r="D81" s="486">
        <f>SUM(D69:D80)</f>
        <v>0.125</v>
      </c>
      <c r="E81" s="44"/>
      <c r="F81" s="45"/>
      <c r="G81" s="46"/>
      <c r="H81" s="44"/>
      <c r="I81" s="45"/>
      <c r="J81" s="46"/>
      <c r="K81" s="44"/>
      <c r="L81" s="45"/>
      <c r="M81" s="46"/>
      <c r="N81" s="44"/>
      <c r="O81" s="45"/>
      <c r="P81" s="46"/>
      <c r="Q81" s="49"/>
      <c r="R81" s="45"/>
      <c r="S81" s="46"/>
      <c r="T81" s="44"/>
      <c r="U81" s="45"/>
      <c r="V81" s="46"/>
      <c r="W81" s="44"/>
      <c r="X81" s="45"/>
      <c r="Y81" s="46"/>
      <c r="Z81" s="44"/>
      <c r="AA81" s="45"/>
      <c r="AB81" s="46"/>
      <c r="AC81" s="44"/>
      <c r="AD81" s="45"/>
      <c r="AE81" s="46"/>
      <c r="AF81" s="44"/>
      <c r="AG81" s="45"/>
      <c r="AH81" s="46"/>
      <c r="AI81" s="44"/>
      <c r="AJ81" s="48"/>
      <c r="AK81" s="46"/>
      <c r="AL81" s="47"/>
      <c r="AM81" s="48"/>
      <c r="AN81" s="51"/>
      <c r="AO81" s="47"/>
      <c r="AP81" s="48"/>
      <c r="AQ81" s="51"/>
      <c r="AR81" s="47"/>
      <c r="AS81" s="45"/>
      <c r="AT81" s="46"/>
      <c r="AU81" s="47"/>
      <c r="AV81" s="45"/>
      <c r="AW81" s="46"/>
      <c r="AX81" s="119"/>
    </row>
    <row r="82" spans="1:53" s="43" customFormat="1" ht="18.95" customHeight="1">
      <c r="A82" s="508"/>
      <c r="B82" s="488"/>
      <c r="C82" s="525"/>
      <c r="D82" s="490"/>
      <c r="E82" s="71"/>
      <c r="F82" s="72"/>
      <c r="G82" s="74"/>
      <c r="H82" s="71"/>
      <c r="I82" s="72"/>
      <c r="J82" s="74"/>
      <c r="K82" s="71"/>
      <c r="L82" s="72"/>
      <c r="M82" s="74"/>
      <c r="N82" s="71"/>
      <c r="O82" s="72"/>
      <c r="P82" s="74"/>
      <c r="Q82" s="75"/>
      <c r="R82" s="72"/>
      <c r="S82" s="74"/>
      <c r="T82" s="71"/>
      <c r="U82" s="72"/>
      <c r="V82" s="74"/>
      <c r="W82" s="71"/>
      <c r="X82" s="72"/>
      <c r="Y82" s="74"/>
      <c r="Z82" s="71"/>
      <c r="AA82" s="72"/>
      <c r="AB82" s="74"/>
      <c r="AC82" s="71"/>
      <c r="AD82" s="72"/>
      <c r="AE82" s="74"/>
      <c r="AF82" s="71"/>
      <c r="AG82" s="72"/>
      <c r="AH82" s="74"/>
      <c r="AI82" s="71"/>
      <c r="AJ82" s="72"/>
      <c r="AK82" s="74"/>
      <c r="AL82" s="71"/>
      <c r="AM82" s="72"/>
      <c r="AN82" s="74"/>
      <c r="AO82" s="71"/>
      <c r="AP82" s="72"/>
      <c r="AQ82" s="74"/>
      <c r="AR82" s="71"/>
      <c r="AS82" s="72"/>
      <c r="AT82" s="74"/>
      <c r="AU82" s="71"/>
      <c r="AV82" s="72"/>
      <c r="AW82" s="74"/>
      <c r="AX82" s="119">
        <v>0</v>
      </c>
    </row>
    <row r="83" spans="1:53" s="43" customFormat="1" ht="18.600000000000001" customHeight="1">
      <c r="A83" s="529" t="s">
        <v>192</v>
      </c>
      <c r="B83" s="501"/>
      <c r="C83" s="516">
        <v>2912000</v>
      </c>
      <c r="D83" s="518">
        <f>D81+D67+D45</f>
        <v>1</v>
      </c>
      <c r="E83" s="97"/>
      <c r="F83" s="62"/>
      <c r="G83" s="96"/>
      <c r="H83" s="61"/>
      <c r="I83" s="62"/>
      <c r="J83" s="98"/>
      <c r="K83" s="61"/>
      <c r="L83" s="62"/>
      <c r="M83" s="63"/>
      <c r="N83" s="61"/>
      <c r="O83" s="62"/>
      <c r="P83" s="63"/>
      <c r="Q83" s="65"/>
      <c r="R83" s="66"/>
      <c r="S83" s="63"/>
      <c r="T83" s="61"/>
      <c r="U83" s="62"/>
      <c r="V83" s="63"/>
      <c r="W83" s="61"/>
      <c r="X83" s="62"/>
      <c r="Y83" s="63"/>
      <c r="Z83" s="99"/>
      <c r="AA83" s="96"/>
      <c r="AB83" s="96"/>
      <c r="AC83" s="61"/>
      <c r="AD83" s="62"/>
      <c r="AE83" s="96"/>
      <c r="AF83" s="61"/>
      <c r="AG83" s="62"/>
      <c r="AH83" s="96"/>
      <c r="AI83" s="61"/>
      <c r="AJ83" s="62"/>
      <c r="AK83" s="98"/>
      <c r="AL83" s="97"/>
      <c r="AM83" s="62"/>
      <c r="AN83" s="125"/>
      <c r="AO83" s="61"/>
      <c r="AP83" s="62"/>
      <c r="AQ83" s="63"/>
      <c r="AR83" s="61"/>
      <c r="AS83" s="62"/>
      <c r="AT83" s="63"/>
      <c r="AU83" s="61"/>
      <c r="AV83" s="62"/>
      <c r="AW83" s="63"/>
      <c r="AX83" s="126"/>
    </row>
    <row r="84" spans="1:53" s="43" customFormat="1" ht="18.600000000000001" customHeight="1">
      <c r="A84" s="530"/>
      <c r="B84" s="504"/>
      <c r="C84" s="521"/>
      <c r="D84" s="522"/>
      <c r="E84" s="44"/>
      <c r="F84" s="45">
        <f>SUM(F12:F83)</f>
        <v>0.12</v>
      </c>
      <c r="G84" s="80"/>
      <c r="H84" s="92"/>
      <c r="I84" s="45">
        <f>SUM(I12:I83)</f>
        <v>1.7100000000000002</v>
      </c>
      <c r="J84" s="81"/>
      <c r="K84" s="71"/>
      <c r="L84" s="72">
        <f>SUM(L12:L83)</f>
        <v>2.39</v>
      </c>
      <c r="M84" s="74"/>
      <c r="N84" s="71"/>
      <c r="O84" s="72">
        <f>SUM(O12:O83)</f>
        <v>3.1199999999999997</v>
      </c>
      <c r="P84" s="74"/>
      <c r="Q84" s="75"/>
      <c r="R84" s="76">
        <f>SUM(R12:R83)</f>
        <v>3.28</v>
      </c>
      <c r="S84" s="74"/>
      <c r="T84" s="71"/>
      <c r="U84" s="72">
        <f>SUM(U12:U83)</f>
        <v>5.6399999999999988</v>
      </c>
      <c r="V84" s="74"/>
      <c r="W84" s="71"/>
      <c r="X84" s="72">
        <f>SUM(X12:X83)</f>
        <v>5.92</v>
      </c>
      <c r="Y84" s="74"/>
      <c r="Z84" s="93"/>
      <c r="AA84" s="80">
        <f>SUM(AA12:AA83)</f>
        <v>8.370000000000001</v>
      </c>
      <c r="AB84" s="80"/>
      <c r="AC84" s="44"/>
      <c r="AD84" s="45">
        <f>SUM(AD12:AD83)</f>
        <v>9.1900000000000013</v>
      </c>
      <c r="AE84" s="80"/>
      <c r="AF84" s="44"/>
      <c r="AG84" s="45">
        <f>SUM(AG12:AG83)</f>
        <v>11.19</v>
      </c>
      <c r="AH84" s="80"/>
      <c r="AI84" s="44"/>
      <c r="AJ84" s="45">
        <f>SUM(AJ12:AJ83)</f>
        <v>17.04</v>
      </c>
      <c r="AK84" s="81"/>
      <c r="AL84" s="92"/>
      <c r="AM84" s="45">
        <f>SUM(AM12:AM83)</f>
        <v>15.610000000000001</v>
      </c>
      <c r="AN84" s="95"/>
      <c r="AO84" s="44"/>
      <c r="AP84" s="45">
        <f>SUM(AP12:AP83)</f>
        <v>9.1699999999999982</v>
      </c>
      <c r="AQ84" s="46"/>
      <c r="AR84" s="44"/>
      <c r="AS84" s="45">
        <f>SUM(AS12:AS83)</f>
        <v>4.9700000000000006</v>
      </c>
      <c r="AT84" s="46"/>
      <c r="AU84" s="44"/>
      <c r="AV84" s="53">
        <f>SUM(AV12:AV83)</f>
        <v>2.2799999999999998</v>
      </c>
      <c r="AW84" s="46"/>
      <c r="AX84" s="119"/>
    </row>
    <row r="85" spans="1:53" s="43" customFormat="1" ht="18.600000000000001" customHeight="1">
      <c r="A85" s="529" t="s">
        <v>63</v>
      </c>
      <c r="B85" s="500"/>
      <c r="C85" s="500"/>
      <c r="D85" s="501"/>
      <c r="E85" s="61"/>
      <c r="F85" s="62"/>
      <c r="G85" s="96"/>
      <c r="H85" s="97"/>
      <c r="I85" s="62"/>
      <c r="J85" s="98"/>
      <c r="K85" s="61"/>
      <c r="L85" s="62"/>
      <c r="M85" s="63"/>
      <c r="N85" s="61"/>
      <c r="O85" s="62"/>
      <c r="P85" s="63"/>
      <c r="Q85" s="65"/>
      <c r="R85" s="66"/>
      <c r="S85" s="63"/>
      <c r="T85" s="61"/>
      <c r="U85" s="62"/>
      <c r="V85" s="63"/>
      <c r="W85" s="61"/>
      <c r="X85" s="62"/>
      <c r="Y85" s="63"/>
      <c r="Z85" s="99"/>
      <c r="AA85" s="96"/>
      <c r="AB85" s="96"/>
      <c r="AC85" s="61"/>
      <c r="AD85" s="62"/>
      <c r="AE85" s="96"/>
      <c r="AF85" s="61"/>
      <c r="AG85" s="62"/>
      <c r="AH85" s="96"/>
      <c r="AI85" s="61"/>
      <c r="AJ85" s="62"/>
      <c r="AK85" s="98"/>
      <c r="AL85" s="97"/>
      <c r="AM85" s="62"/>
      <c r="AN85" s="100"/>
      <c r="AO85" s="61"/>
      <c r="AP85" s="62"/>
      <c r="AQ85" s="63"/>
      <c r="AR85" s="61"/>
      <c r="AS85" s="62"/>
      <c r="AT85" s="63"/>
      <c r="AU85" s="61"/>
      <c r="AV85" s="62"/>
      <c r="AW85" s="63"/>
      <c r="AX85" s="126"/>
    </row>
    <row r="86" spans="1:53" s="43" customFormat="1" ht="18.600000000000001" customHeight="1">
      <c r="A86" s="530"/>
      <c r="B86" s="503"/>
      <c r="C86" s="503"/>
      <c r="D86" s="504"/>
      <c r="E86" s="44"/>
      <c r="F86" s="45">
        <f>F84</f>
        <v>0.12</v>
      </c>
      <c r="G86" s="80"/>
      <c r="H86" s="92"/>
      <c r="I86" s="45">
        <f>I84</f>
        <v>1.7100000000000002</v>
      </c>
      <c r="J86" s="81"/>
      <c r="K86" s="71"/>
      <c r="L86" s="72">
        <f>L84</f>
        <v>2.39</v>
      </c>
      <c r="M86" s="74"/>
      <c r="N86" s="71"/>
      <c r="O86" s="72">
        <f>O84</f>
        <v>3.1199999999999997</v>
      </c>
      <c r="P86" s="74"/>
      <c r="Q86" s="75"/>
      <c r="R86" s="76">
        <f>R84</f>
        <v>3.28</v>
      </c>
      <c r="S86" s="74"/>
      <c r="T86" s="71"/>
      <c r="U86" s="72">
        <f>U84</f>
        <v>5.6399999999999988</v>
      </c>
      <c r="V86" s="74"/>
      <c r="W86" s="71"/>
      <c r="X86" s="72">
        <f>X84</f>
        <v>5.92</v>
      </c>
      <c r="Y86" s="74"/>
      <c r="Z86" s="93"/>
      <c r="AA86" s="80">
        <f>AA84</f>
        <v>8.370000000000001</v>
      </c>
      <c r="AB86" s="80"/>
      <c r="AC86" s="44"/>
      <c r="AD86" s="45">
        <f>AD84</f>
        <v>9.1900000000000013</v>
      </c>
      <c r="AE86" s="80"/>
      <c r="AF86" s="44"/>
      <c r="AG86" s="45">
        <f>AG84</f>
        <v>11.19</v>
      </c>
      <c r="AH86" s="80"/>
      <c r="AI86" s="44"/>
      <c r="AJ86" s="45">
        <f>AJ84</f>
        <v>17.04</v>
      </c>
      <c r="AK86" s="81"/>
      <c r="AL86" s="92"/>
      <c r="AM86" s="45">
        <f>AM84</f>
        <v>15.610000000000001</v>
      </c>
      <c r="AN86" s="95"/>
      <c r="AO86" s="44"/>
      <c r="AP86" s="45">
        <f>AP84</f>
        <v>9.1699999999999982</v>
      </c>
      <c r="AQ86" s="46"/>
      <c r="AR86" s="44"/>
      <c r="AS86" s="45">
        <f>AS84</f>
        <v>4.9700000000000006</v>
      </c>
      <c r="AT86" s="46"/>
      <c r="AU86" s="44"/>
      <c r="AV86" s="53">
        <f>AV84</f>
        <v>2.2799999999999998</v>
      </c>
      <c r="AW86" s="46"/>
      <c r="AX86" s="119"/>
    </row>
    <row r="87" spans="1:53" s="43" customFormat="1" ht="18.600000000000001" customHeight="1">
      <c r="A87" s="529" t="s">
        <v>193</v>
      </c>
      <c r="B87" s="500"/>
      <c r="C87" s="500"/>
      <c r="D87" s="501"/>
      <c r="E87" s="61"/>
      <c r="F87" s="62"/>
      <c r="G87" s="96"/>
      <c r="H87" s="97"/>
      <c r="I87" s="62"/>
      <c r="J87" s="98"/>
      <c r="K87" s="44"/>
      <c r="L87" s="45"/>
      <c r="M87" s="46"/>
      <c r="N87" s="44"/>
      <c r="O87" s="45"/>
      <c r="P87" s="46"/>
      <c r="Q87" s="49"/>
      <c r="R87" s="50"/>
      <c r="S87" s="46"/>
      <c r="T87" s="44"/>
      <c r="U87" s="45"/>
      <c r="V87" s="46"/>
      <c r="W87" s="44"/>
      <c r="X87" s="45"/>
      <c r="Y87" s="46"/>
      <c r="Z87" s="99"/>
      <c r="AA87" s="96"/>
      <c r="AB87" s="63"/>
      <c r="AC87" s="61"/>
      <c r="AD87" s="62"/>
      <c r="AE87" s="96"/>
      <c r="AF87" s="61"/>
      <c r="AG87" s="62"/>
      <c r="AH87" s="96"/>
      <c r="AI87" s="61"/>
      <c r="AJ87" s="62"/>
      <c r="AK87" s="98"/>
      <c r="AL87" s="97"/>
      <c r="AM87" s="62"/>
      <c r="AN87" s="100"/>
      <c r="AO87" s="61"/>
      <c r="AP87" s="62"/>
      <c r="AQ87" s="63"/>
      <c r="AR87" s="61"/>
      <c r="AS87" s="62"/>
      <c r="AT87" s="63"/>
      <c r="AU87" s="61"/>
      <c r="AV87" s="62"/>
      <c r="AW87" s="63"/>
      <c r="AX87" s="126"/>
    </row>
    <row r="88" spans="1:53" s="43" customFormat="1" ht="18.600000000000001" customHeight="1" thickBot="1">
      <c r="A88" s="531"/>
      <c r="B88" s="532"/>
      <c r="C88" s="532"/>
      <c r="D88" s="533"/>
      <c r="E88" s="127"/>
      <c r="F88" s="128">
        <f>F86</f>
        <v>0.12</v>
      </c>
      <c r="G88" s="129"/>
      <c r="H88" s="130"/>
      <c r="I88" s="128">
        <f>F88+I86</f>
        <v>1.83</v>
      </c>
      <c r="J88" s="131"/>
      <c r="K88" s="127"/>
      <c r="L88" s="128">
        <f>I88+L86</f>
        <v>4.2200000000000006</v>
      </c>
      <c r="M88" s="132"/>
      <c r="N88" s="127"/>
      <c r="O88" s="128">
        <f>L88+O86</f>
        <v>7.34</v>
      </c>
      <c r="P88" s="132"/>
      <c r="Q88" s="133"/>
      <c r="R88" s="134">
        <f>O88+R86</f>
        <v>10.62</v>
      </c>
      <c r="S88" s="132"/>
      <c r="T88" s="127"/>
      <c r="U88" s="128">
        <f>R88+U86</f>
        <v>16.259999999999998</v>
      </c>
      <c r="V88" s="132"/>
      <c r="W88" s="127"/>
      <c r="X88" s="128">
        <f>U88+X86</f>
        <v>22.18</v>
      </c>
      <c r="Y88" s="132"/>
      <c r="Z88" s="135"/>
      <c r="AA88" s="129">
        <f>X88+AA86</f>
        <v>30.55</v>
      </c>
      <c r="AB88" s="129"/>
      <c r="AC88" s="127"/>
      <c r="AD88" s="128">
        <f>AA88+AD86</f>
        <v>39.74</v>
      </c>
      <c r="AE88" s="129"/>
      <c r="AF88" s="127"/>
      <c r="AG88" s="128">
        <f>AD88+AG86</f>
        <v>50.93</v>
      </c>
      <c r="AH88" s="129"/>
      <c r="AI88" s="127"/>
      <c r="AJ88" s="128">
        <f>AG88+AJ86</f>
        <v>67.97</v>
      </c>
      <c r="AK88" s="131"/>
      <c r="AL88" s="130"/>
      <c r="AM88" s="128">
        <f>AJ88+AM86</f>
        <v>83.58</v>
      </c>
      <c r="AN88" s="136"/>
      <c r="AO88" s="127"/>
      <c r="AP88" s="128">
        <f>AM88+AP86</f>
        <v>92.75</v>
      </c>
      <c r="AQ88" s="132"/>
      <c r="AR88" s="127"/>
      <c r="AS88" s="128">
        <f>AP88+AS86</f>
        <v>97.72</v>
      </c>
      <c r="AT88" s="132"/>
      <c r="AU88" s="127"/>
      <c r="AV88" s="137">
        <f>AS88+AV86</f>
        <v>100</v>
      </c>
      <c r="AW88" s="132"/>
      <c r="AX88" s="138"/>
    </row>
    <row r="89" spans="1:53" s="27" customFormat="1" ht="15.75" customHeight="1" thickTop="1">
      <c r="A89" s="140"/>
      <c r="B89" s="526"/>
      <c r="C89" s="527"/>
      <c r="D89" s="528"/>
      <c r="E89" s="141"/>
      <c r="F89" s="22"/>
      <c r="G89" s="22"/>
      <c r="H89" s="22"/>
      <c r="I89" s="22"/>
      <c r="J89" s="22"/>
      <c r="AC89" s="142"/>
      <c r="AO89" s="141"/>
      <c r="AP89" s="141"/>
      <c r="AQ89" s="141"/>
      <c r="AR89" s="141"/>
      <c r="AS89" s="141"/>
      <c r="AT89" s="141"/>
      <c r="AU89" s="141"/>
      <c r="AV89" s="141"/>
      <c r="AW89" s="141"/>
    </row>
    <row r="90" spans="1:53" s="27" customFormat="1" ht="15.75" customHeight="1">
      <c r="A90" s="140"/>
      <c r="B90" s="526"/>
      <c r="C90" s="527"/>
      <c r="D90" s="528"/>
      <c r="E90" s="141"/>
      <c r="F90" s="22"/>
      <c r="G90" s="22"/>
      <c r="H90" s="22"/>
      <c r="I90" s="22"/>
      <c r="J90" s="22"/>
      <c r="AO90" s="141"/>
      <c r="AP90" s="141"/>
      <c r="AQ90" s="141"/>
      <c r="AR90" s="141"/>
      <c r="AS90" s="141"/>
      <c r="AT90" s="141"/>
      <c r="AU90" s="141"/>
      <c r="AV90" s="141"/>
      <c r="AW90" s="141"/>
    </row>
    <row r="91" spans="1:53" s="27" customFormat="1" ht="15.75" customHeight="1">
      <c r="A91" s="140"/>
      <c r="B91" s="526"/>
      <c r="C91" s="527"/>
      <c r="D91" s="528"/>
      <c r="E91" s="141"/>
      <c r="AG91" s="22"/>
      <c r="AH91" s="22"/>
      <c r="AI91" s="22"/>
      <c r="AO91" s="141"/>
      <c r="AP91" s="141"/>
      <c r="AQ91" s="141"/>
      <c r="AR91" s="141"/>
      <c r="AS91" s="141"/>
      <c r="AT91" s="141"/>
      <c r="AU91" s="141"/>
      <c r="AV91" s="141"/>
      <c r="AW91" s="141"/>
    </row>
    <row r="92" spans="1:53" s="27" customFormat="1" ht="20.100000000000001" customHeight="1">
      <c r="A92" s="140"/>
      <c r="B92" s="526"/>
      <c r="C92" s="527"/>
      <c r="D92" s="528"/>
      <c r="E92" s="141"/>
      <c r="N92" s="22"/>
      <c r="O92" s="143"/>
      <c r="P92" s="143"/>
      <c r="Q92" s="143"/>
      <c r="R92" s="143"/>
      <c r="S92" s="143"/>
      <c r="T92" s="22"/>
      <c r="U92" s="22"/>
      <c r="V92" s="22"/>
      <c r="AO92" s="141"/>
      <c r="AP92" s="141"/>
      <c r="AQ92" s="141"/>
      <c r="AR92" s="141"/>
      <c r="AS92" s="141"/>
      <c r="AT92" s="141"/>
      <c r="AU92" s="141"/>
      <c r="AV92" s="141"/>
      <c r="AW92" s="141"/>
      <c r="AY92" s="144" t="s">
        <v>194</v>
      </c>
      <c r="AZ92" s="144" t="s">
        <v>195</v>
      </c>
      <c r="BA92" s="144" t="s">
        <v>196</v>
      </c>
    </row>
    <row r="93" spans="1:53" s="27" customFormat="1" ht="57.75" customHeight="1">
      <c r="A93" s="140"/>
      <c r="B93" s="13"/>
      <c r="C93" s="14"/>
      <c r="D93" s="15"/>
      <c r="E93" s="141"/>
      <c r="N93" s="143"/>
      <c r="O93" s="143"/>
      <c r="P93" s="143"/>
      <c r="Q93" s="143"/>
      <c r="R93" s="143"/>
      <c r="S93" s="143"/>
      <c r="T93" s="22"/>
      <c r="U93" s="22"/>
      <c r="V93" s="22"/>
      <c r="AD93" s="22"/>
      <c r="AE93" s="22"/>
      <c r="AF93" s="22"/>
      <c r="AG93" s="22"/>
      <c r="AH93" s="22"/>
      <c r="AI93" s="22"/>
      <c r="AO93" s="141"/>
      <c r="AP93" s="141"/>
      <c r="AQ93" s="141"/>
      <c r="AR93" s="141"/>
      <c r="AS93" s="141"/>
      <c r="AT93" s="141"/>
      <c r="AU93" s="141"/>
      <c r="AV93" s="141"/>
      <c r="AW93" s="141"/>
      <c r="AY93" s="145"/>
      <c r="AZ93" s="145"/>
      <c r="BA93" s="145"/>
    </row>
  </sheetData>
  <mergeCells count="150">
    <mergeCell ref="B91:B92"/>
    <mergeCell ref="C91:C92"/>
    <mergeCell ref="D91:D92"/>
    <mergeCell ref="A83:B84"/>
    <mergeCell ref="C83:C84"/>
    <mergeCell ref="D83:D84"/>
    <mergeCell ref="A85:D86"/>
    <mergeCell ref="A87:D88"/>
    <mergeCell ref="B89:B90"/>
    <mergeCell ref="C89:C90"/>
    <mergeCell ref="D89:D90"/>
    <mergeCell ref="A69:A82"/>
    <mergeCell ref="B69:B70"/>
    <mergeCell ref="C69:C70"/>
    <mergeCell ref="D69:D70"/>
    <mergeCell ref="B71:B72"/>
    <mergeCell ref="C71:C72"/>
    <mergeCell ref="D71:D72"/>
    <mergeCell ref="B73:B74"/>
    <mergeCell ref="C73:C74"/>
    <mergeCell ref="D73:D74"/>
    <mergeCell ref="B79:B80"/>
    <mergeCell ref="C79:C80"/>
    <mergeCell ref="D79:D80"/>
    <mergeCell ref="B81:B82"/>
    <mergeCell ref="C81:C82"/>
    <mergeCell ref="D81:D82"/>
    <mergeCell ref="B75:B76"/>
    <mergeCell ref="C75:C76"/>
    <mergeCell ref="D75:D76"/>
    <mergeCell ref="B77:B78"/>
    <mergeCell ref="C77:C78"/>
    <mergeCell ref="D77:D78"/>
    <mergeCell ref="D65:D66"/>
    <mergeCell ref="B67:B68"/>
    <mergeCell ref="C67:C68"/>
    <mergeCell ref="D67:D68"/>
    <mergeCell ref="B59:B60"/>
    <mergeCell ref="C59:C60"/>
    <mergeCell ref="D59:D60"/>
    <mergeCell ref="B61:B62"/>
    <mergeCell ref="D61:D62"/>
    <mergeCell ref="B63:B64"/>
    <mergeCell ref="C63:C64"/>
    <mergeCell ref="D63:D64"/>
    <mergeCell ref="B45:B46"/>
    <mergeCell ref="C45:C46"/>
    <mergeCell ref="D45:D46"/>
    <mergeCell ref="A47:A68"/>
    <mergeCell ref="B47:B48"/>
    <mergeCell ref="C47:C48"/>
    <mergeCell ref="D47:D48"/>
    <mergeCell ref="B49:B50"/>
    <mergeCell ref="C49:C50"/>
    <mergeCell ref="D49:D50"/>
    <mergeCell ref="B55:B56"/>
    <mergeCell ref="C55:C56"/>
    <mergeCell ref="D55:D56"/>
    <mergeCell ref="B57:B58"/>
    <mergeCell ref="C57:C58"/>
    <mergeCell ref="D57:D58"/>
    <mergeCell ref="B51:B52"/>
    <mergeCell ref="C51:C52"/>
    <mergeCell ref="D51:D52"/>
    <mergeCell ref="B53:B54"/>
    <mergeCell ref="C53:C54"/>
    <mergeCell ref="D53:D54"/>
    <mergeCell ref="B65:B66"/>
    <mergeCell ref="C65:C66"/>
    <mergeCell ref="B41:B42"/>
    <mergeCell ref="C41:C42"/>
    <mergeCell ref="D41:D42"/>
    <mergeCell ref="B43:B44"/>
    <mergeCell ref="C43:C44"/>
    <mergeCell ref="D43:D44"/>
    <mergeCell ref="B37:B38"/>
    <mergeCell ref="C37:C38"/>
    <mergeCell ref="D37:D38"/>
    <mergeCell ref="B39:B40"/>
    <mergeCell ref="C39:C40"/>
    <mergeCell ref="D39:D40"/>
    <mergeCell ref="B33:B34"/>
    <mergeCell ref="C33:C34"/>
    <mergeCell ref="D33:D34"/>
    <mergeCell ref="B35:B36"/>
    <mergeCell ref="C35:C36"/>
    <mergeCell ref="D35:D36"/>
    <mergeCell ref="B29:B30"/>
    <mergeCell ref="C29:C30"/>
    <mergeCell ref="D29:D30"/>
    <mergeCell ref="B31:B32"/>
    <mergeCell ref="C31:C32"/>
    <mergeCell ref="D31:D32"/>
    <mergeCell ref="A9:D11"/>
    <mergeCell ref="A12:A46"/>
    <mergeCell ref="B12:B14"/>
    <mergeCell ref="D12:D14"/>
    <mergeCell ref="B15:B16"/>
    <mergeCell ref="C15:C16"/>
    <mergeCell ref="D15:D16"/>
    <mergeCell ref="B17:B18"/>
    <mergeCell ref="C17:C18"/>
    <mergeCell ref="B25:B26"/>
    <mergeCell ref="C25:C26"/>
    <mergeCell ref="D25:D26"/>
    <mergeCell ref="B27:B28"/>
    <mergeCell ref="C27:C28"/>
    <mergeCell ref="D27:D28"/>
    <mergeCell ref="D17:D18"/>
    <mergeCell ref="B19:B20"/>
    <mergeCell ref="C19:C20"/>
    <mergeCell ref="D19:D20"/>
    <mergeCell ref="B21:B22"/>
    <mergeCell ref="C21:C24"/>
    <mergeCell ref="D21:D22"/>
    <mergeCell ref="B23:B24"/>
    <mergeCell ref="D23:D24"/>
    <mergeCell ref="A6:A8"/>
    <mergeCell ref="B6:B8"/>
    <mergeCell ref="C6:C8"/>
    <mergeCell ref="D6:D8"/>
    <mergeCell ref="E6:Y6"/>
    <mergeCell ref="Z6:AW6"/>
    <mergeCell ref="AX6:AX8"/>
    <mergeCell ref="E7:G7"/>
    <mergeCell ref="H7:J7"/>
    <mergeCell ref="AU7:AW7"/>
    <mergeCell ref="AC7:AE7"/>
    <mergeCell ref="AF7:AH7"/>
    <mergeCell ref="AI7:AK7"/>
    <mergeCell ref="AL7:AN7"/>
    <mergeCell ref="AO7:AQ7"/>
    <mergeCell ref="AR7:AT7"/>
    <mergeCell ref="K7:M7"/>
    <mergeCell ref="N7:P7"/>
    <mergeCell ref="Q7:S7"/>
    <mergeCell ref="T7:V7"/>
    <mergeCell ref="W7:Y7"/>
    <mergeCell ref="Z7:AB7"/>
    <mergeCell ref="A1:B2"/>
    <mergeCell ref="C1:AL4"/>
    <mergeCell ref="AM1:AP1"/>
    <mergeCell ref="AQ1:AT1"/>
    <mergeCell ref="AU1:AX1"/>
    <mergeCell ref="AM2:AP3"/>
    <mergeCell ref="AQ2:AT3"/>
    <mergeCell ref="AU2:AX3"/>
    <mergeCell ref="A3:B4"/>
    <mergeCell ref="AM4:AR4"/>
    <mergeCell ref="AS4:AX4"/>
  </mergeCells>
  <phoneticPr fontId="4" type="noConversion"/>
  <printOptions horizontalCentered="1"/>
  <pageMargins left="0.31496062992125984" right="0.31496062992125984" top="0.55118110236220474" bottom="0.39370078740157483" header="0.31496062992125984" footer="0.19685039370078741"/>
  <pageSetup paperSize="9" scale="28" fitToHeight="0" orientation="landscape" r:id="rId1"/>
  <headerFooter>
    <oddFooter>&amp;L&amp;18※ 본 양식은 단지 참조용으로 제시된 것이며 별도의 서식을 사용할 수 있음.&amp;R&amp;18QA-8.6-1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32"/>
  <sheetViews>
    <sheetView showGridLines="0" view="pageBreakPreview" topLeftCell="A13" zoomScaleNormal="55" zoomScaleSheetLayoutView="100" workbookViewId="0">
      <selection activeCell="C37" sqref="C37"/>
    </sheetView>
  </sheetViews>
  <sheetFormatPr defaultColWidth="9" defaultRowHeight="20.100000000000001" customHeight="1"/>
  <cols>
    <col min="1" max="1" width="13.625" style="146" customWidth="1"/>
    <col min="2" max="2" width="15.625" style="146" customWidth="1"/>
    <col min="3" max="3" width="20.625" style="146" customWidth="1"/>
    <col min="4" max="4" width="5.75" style="146" customWidth="1"/>
    <col min="5" max="5" width="10.625" style="147" customWidth="1"/>
    <col min="6" max="6" width="5.75" style="147" customWidth="1"/>
    <col min="7" max="41" width="3.75" style="146" customWidth="1"/>
    <col min="42" max="16384" width="9" style="146"/>
  </cols>
  <sheetData>
    <row r="1" spans="1:41" ht="30" customHeight="1">
      <c r="A1" s="435"/>
      <c r="B1" s="435"/>
      <c r="C1" s="534" t="s">
        <v>197</v>
      </c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 t="s">
        <v>198</v>
      </c>
      <c r="AA1" s="535"/>
      <c r="AB1" s="535"/>
      <c r="AC1" s="535"/>
      <c r="AD1" s="535"/>
      <c r="AE1" s="535" t="s">
        <v>199</v>
      </c>
      <c r="AF1" s="535"/>
      <c r="AG1" s="535"/>
      <c r="AH1" s="535"/>
      <c r="AI1" s="535"/>
      <c r="AJ1" s="535" t="s">
        <v>200</v>
      </c>
      <c r="AK1" s="535"/>
      <c r="AL1" s="535"/>
      <c r="AM1" s="535"/>
      <c r="AN1" s="535"/>
      <c r="AO1" s="535"/>
    </row>
    <row r="2" spans="1:41" ht="35.1" customHeight="1">
      <c r="A2" s="435"/>
      <c r="B2" s="435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5"/>
      <c r="AA2" s="535"/>
      <c r="AB2" s="535"/>
      <c r="AC2" s="535"/>
      <c r="AD2" s="535"/>
      <c r="AE2" s="535"/>
      <c r="AF2" s="535"/>
      <c r="AG2" s="535"/>
      <c r="AH2" s="535"/>
      <c r="AI2" s="535"/>
      <c r="AJ2" s="535"/>
      <c r="AK2" s="535"/>
      <c r="AL2" s="535"/>
      <c r="AM2" s="535"/>
      <c r="AN2" s="535"/>
      <c r="AO2" s="535"/>
    </row>
    <row r="3" spans="1:41" ht="35.1" customHeight="1">
      <c r="A3" s="536" t="s">
        <v>67</v>
      </c>
      <c r="B3" s="536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</row>
    <row r="4" spans="1:41" ht="30" customHeight="1">
      <c r="A4" s="536"/>
      <c r="B4" s="536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534"/>
      <c r="T4" s="534"/>
      <c r="U4" s="534"/>
      <c r="V4" s="534"/>
      <c r="W4" s="534"/>
      <c r="X4" s="534"/>
      <c r="Y4" s="534"/>
      <c r="Z4" s="537" t="s">
        <v>201</v>
      </c>
      <c r="AA4" s="538"/>
      <c r="AB4" s="538"/>
      <c r="AC4" s="538"/>
      <c r="AD4" s="538"/>
      <c r="AE4" s="538"/>
      <c r="AF4" s="538"/>
      <c r="AG4" s="539"/>
      <c r="AH4" s="540" t="s">
        <v>31</v>
      </c>
      <c r="AI4" s="541"/>
      <c r="AJ4" s="541"/>
      <c r="AK4" s="541"/>
      <c r="AL4" s="541"/>
      <c r="AM4" s="541"/>
      <c r="AN4" s="541"/>
      <c r="AO4" s="542"/>
    </row>
    <row r="5" spans="1:41" s="150" customFormat="1" ht="31.5" customHeight="1">
      <c r="A5" s="148"/>
      <c r="B5" s="149"/>
      <c r="E5" s="151"/>
      <c r="F5" s="151"/>
      <c r="AO5" s="152"/>
    </row>
    <row r="6" spans="1:41" s="149" customFormat="1" ht="24.75" customHeight="1">
      <c r="A6" s="543" t="s">
        <v>202</v>
      </c>
      <c r="B6" s="543" t="s">
        <v>203</v>
      </c>
      <c r="C6" s="543" t="s">
        <v>204</v>
      </c>
      <c r="D6" s="543" t="s">
        <v>205</v>
      </c>
      <c r="E6" s="545" t="s">
        <v>206</v>
      </c>
      <c r="F6" s="546" t="s">
        <v>207</v>
      </c>
      <c r="G6" s="549" t="s">
        <v>208</v>
      </c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3"/>
      <c r="AA6" s="543"/>
      <c r="AB6" s="543"/>
      <c r="AC6" s="543"/>
      <c r="AD6" s="543"/>
      <c r="AE6" s="543"/>
      <c r="AF6" s="543"/>
      <c r="AG6" s="543"/>
      <c r="AH6" s="543"/>
      <c r="AI6" s="543"/>
      <c r="AJ6" s="543"/>
      <c r="AK6" s="550"/>
      <c r="AL6" s="551" t="s">
        <v>209</v>
      </c>
      <c r="AM6" s="552"/>
      <c r="AN6" s="551" t="s">
        <v>210</v>
      </c>
      <c r="AO6" s="552"/>
    </row>
    <row r="7" spans="1:41" s="149" customFormat="1" ht="24.75" customHeight="1">
      <c r="A7" s="543"/>
      <c r="B7" s="543"/>
      <c r="C7" s="543"/>
      <c r="D7" s="543"/>
      <c r="E7" s="543"/>
      <c r="F7" s="547"/>
      <c r="G7" s="153">
        <v>1</v>
      </c>
      <c r="H7" s="154">
        <v>2</v>
      </c>
      <c r="I7" s="154">
        <v>3</v>
      </c>
      <c r="J7" s="154">
        <v>4</v>
      </c>
      <c r="K7" s="154">
        <v>5</v>
      </c>
      <c r="L7" s="154">
        <v>6</v>
      </c>
      <c r="M7" s="154">
        <v>7</v>
      </c>
      <c r="N7" s="154">
        <v>8</v>
      </c>
      <c r="O7" s="154">
        <v>9</v>
      </c>
      <c r="P7" s="154">
        <v>10</v>
      </c>
      <c r="Q7" s="154">
        <v>11</v>
      </c>
      <c r="R7" s="154">
        <v>12</v>
      </c>
      <c r="S7" s="154">
        <v>13</v>
      </c>
      <c r="T7" s="154">
        <v>14</v>
      </c>
      <c r="U7" s="154">
        <v>15</v>
      </c>
      <c r="V7" s="154">
        <v>16</v>
      </c>
      <c r="W7" s="154">
        <v>17</v>
      </c>
      <c r="X7" s="154">
        <v>18</v>
      </c>
      <c r="Y7" s="154">
        <v>19</v>
      </c>
      <c r="Z7" s="154">
        <v>20</v>
      </c>
      <c r="AA7" s="154">
        <v>21</v>
      </c>
      <c r="AB7" s="154">
        <v>22</v>
      </c>
      <c r="AC7" s="154">
        <v>23</v>
      </c>
      <c r="AD7" s="154">
        <v>24</v>
      </c>
      <c r="AE7" s="154">
        <v>25</v>
      </c>
      <c r="AF7" s="154">
        <v>26</v>
      </c>
      <c r="AG7" s="154">
        <v>27</v>
      </c>
      <c r="AH7" s="154">
        <v>28</v>
      </c>
      <c r="AI7" s="155">
        <v>29</v>
      </c>
      <c r="AJ7" s="155">
        <v>30</v>
      </c>
      <c r="AK7" s="155">
        <v>31</v>
      </c>
      <c r="AL7" s="553"/>
      <c r="AM7" s="554"/>
      <c r="AN7" s="553"/>
      <c r="AO7" s="554"/>
    </row>
    <row r="8" spans="1:41" s="149" customFormat="1" ht="24.75" customHeight="1" thickBot="1">
      <c r="A8" s="544"/>
      <c r="B8" s="544"/>
      <c r="C8" s="544"/>
      <c r="D8" s="544"/>
      <c r="E8" s="544"/>
      <c r="F8" s="548"/>
      <c r="G8" s="156" t="s">
        <v>211</v>
      </c>
      <c r="H8" s="157" t="s">
        <v>212</v>
      </c>
      <c r="I8" s="157" t="s">
        <v>213</v>
      </c>
      <c r="J8" s="157" t="s">
        <v>214</v>
      </c>
      <c r="K8" s="157" t="s">
        <v>215</v>
      </c>
      <c r="L8" s="157" t="s">
        <v>216</v>
      </c>
      <c r="M8" s="157" t="s">
        <v>217</v>
      </c>
      <c r="N8" s="157" t="s">
        <v>218</v>
      </c>
      <c r="O8" s="157" t="s">
        <v>219</v>
      </c>
      <c r="P8" s="157" t="s">
        <v>213</v>
      </c>
      <c r="Q8" s="157" t="s">
        <v>214</v>
      </c>
      <c r="R8" s="157" t="s">
        <v>215</v>
      </c>
      <c r="S8" s="157" t="s">
        <v>216</v>
      </c>
      <c r="T8" s="157" t="s">
        <v>217</v>
      </c>
      <c r="U8" s="157" t="s">
        <v>218</v>
      </c>
      <c r="V8" s="157" t="s">
        <v>219</v>
      </c>
      <c r="W8" s="157" t="s">
        <v>213</v>
      </c>
      <c r="X8" s="157" t="s">
        <v>214</v>
      </c>
      <c r="Y8" s="157" t="s">
        <v>215</v>
      </c>
      <c r="Z8" s="157" t="s">
        <v>216</v>
      </c>
      <c r="AA8" s="157" t="s">
        <v>217</v>
      </c>
      <c r="AB8" s="157" t="s">
        <v>218</v>
      </c>
      <c r="AC8" s="157" t="s">
        <v>219</v>
      </c>
      <c r="AD8" s="157" t="s">
        <v>213</v>
      </c>
      <c r="AE8" s="157" t="s">
        <v>214</v>
      </c>
      <c r="AF8" s="157" t="s">
        <v>215</v>
      </c>
      <c r="AG8" s="157" t="s">
        <v>216</v>
      </c>
      <c r="AH8" s="157" t="s">
        <v>217</v>
      </c>
      <c r="AI8" s="157" t="s">
        <v>218</v>
      </c>
      <c r="AJ8" s="157" t="s">
        <v>219</v>
      </c>
      <c r="AK8" s="158" t="s">
        <v>220</v>
      </c>
      <c r="AL8" s="555"/>
      <c r="AM8" s="556"/>
      <c r="AN8" s="555"/>
      <c r="AO8" s="556"/>
    </row>
    <row r="9" spans="1:41" ht="20.100000000000001" customHeight="1" thickTop="1">
      <c r="A9" s="577" t="s">
        <v>221</v>
      </c>
      <c r="B9" s="579"/>
      <c r="C9" s="581"/>
      <c r="D9" s="582"/>
      <c r="E9" s="582"/>
      <c r="F9" s="159" t="s">
        <v>222</v>
      </c>
      <c r="G9" s="160"/>
      <c r="H9" s="161"/>
      <c r="I9" s="162"/>
      <c r="J9" s="163"/>
      <c r="K9" s="164"/>
      <c r="L9" s="162"/>
      <c r="M9" s="163"/>
      <c r="N9" s="162"/>
      <c r="O9" s="165"/>
      <c r="P9" s="166"/>
      <c r="Q9" s="161"/>
      <c r="R9" s="162"/>
      <c r="S9" s="161"/>
      <c r="T9" s="167"/>
      <c r="U9" s="162"/>
      <c r="V9" s="162"/>
      <c r="W9" s="161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6"/>
      <c r="AL9" s="568"/>
      <c r="AM9" s="569"/>
      <c r="AN9" s="568"/>
      <c r="AO9" s="569"/>
    </row>
    <row r="10" spans="1:41" ht="20.100000000000001" customHeight="1">
      <c r="A10" s="578"/>
      <c r="B10" s="580"/>
      <c r="C10" s="561"/>
      <c r="D10" s="573"/>
      <c r="E10" s="573"/>
      <c r="F10" s="168" t="s">
        <v>223</v>
      </c>
      <c r="G10" s="169"/>
      <c r="H10" s="170"/>
      <c r="I10" s="171"/>
      <c r="J10" s="172"/>
      <c r="K10" s="173"/>
      <c r="L10" s="171"/>
      <c r="M10" s="172"/>
      <c r="N10" s="171"/>
      <c r="O10" s="170"/>
      <c r="P10" s="171"/>
      <c r="Q10" s="174"/>
      <c r="R10" s="171"/>
      <c r="S10" s="169"/>
      <c r="T10" s="169"/>
      <c r="U10" s="171"/>
      <c r="V10" s="171"/>
      <c r="W10" s="171"/>
      <c r="X10" s="171"/>
      <c r="Y10" s="171"/>
      <c r="Z10" s="171"/>
      <c r="AA10" s="175"/>
      <c r="AB10" s="171"/>
      <c r="AC10" s="171"/>
      <c r="AD10" s="171"/>
      <c r="AE10" s="171"/>
      <c r="AF10" s="171"/>
      <c r="AG10" s="171"/>
      <c r="AH10" s="171"/>
      <c r="AI10" s="171"/>
      <c r="AJ10" s="171"/>
      <c r="AK10" s="174"/>
      <c r="AL10" s="570"/>
      <c r="AM10" s="571"/>
      <c r="AN10" s="570"/>
      <c r="AO10" s="571"/>
    </row>
    <row r="11" spans="1:41" ht="20.100000000000001" customHeight="1">
      <c r="A11" s="578"/>
      <c r="B11" s="580"/>
      <c r="C11" s="572"/>
      <c r="D11" s="573"/>
      <c r="E11" s="573"/>
      <c r="F11" s="176" t="s">
        <v>224</v>
      </c>
      <c r="G11" s="177"/>
      <c r="H11" s="178"/>
      <c r="I11" s="179"/>
      <c r="J11" s="178"/>
      <c r="K11" s="180"/>
      <c r="L11" s="179"/>
      <c r="M11" s="178"/>
      <c r="N11" s="179"/>
      <c r="O11" s="179"/>
      <c r="P11" s="179"/>
      <c r="Q11" s="181"/>
      <c r="R11" s="182"/>
      <c r="S11" s="177"/>
      <c r="T11" s="177"/>
      <c r="U11" s="179"/>
      <c r="V11" s="179"/>
      <c r="W11" s="179"/>
      <c r="X11" s="179"/>
      <c r="Y11" s="179"/>
      <c r="Z11" s="179"/>
      <c r="AA11" s="162"/>
      <c r="AB11" s="179"/>
      <c r="AC11" s="179"/>
      <c r="AD11" s="179"/>
      <c r="AE11" s="179"/>
      <c r="AF11" s="179"/>
      <c r="AG11" s="179"/>
      <c r="AH11" s="179"/>
      <c r="AI11" s="179"/>
      <c r="AJ11" s="179"/>
      <c r="AK11" s="181"/>
      <c r="AL11" s="570"/>
      <c r="AM11" s="571"/>
      <c r="AN11" s="570"/>
      <c r="AO11" s="571"/>
    </row>
    <row r="12" spans="1:41" ht="20.100000000000001" customHeight="1">
      <c r="A12" s="578"/>
      <c r="B12" s="580"/>
      <c r="C12" s="562"/>
      <c r="D12" s="574"/>
      <c r="E12" s="574"/>
      <c r="F12" s="183" t="s">
        <v>223</v>
      </c>
      <c r="G12" s="169"/>
      <c r="H12" s="170"/>
      <c r="I12" s="171"/>
      <c r="J12" s="170"/>
      <c r="K12" s="173"/>
      <c r="L12" s="171"/>
      <c r="M12" s="170"/>
      <c r="N12" s="171"/>
      <c r="O12" s="171"/>
      <c r="P12" s="171"/>
      <c r="Q12" s="174"/>
      <c r="R12" s="172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84"/>
      <c r="AL12" s="575"/>
      <c r="AM12" s="576"/>
      <c r="AN12" s="575"/>
      <c r="AO12" s="576"/>
    </row>
    <row r="13" spans="1:41" s="191" customFormat="1" ht="20.100000000000001" customHeight="1">
      <c r="A13" s="557" t="s">
        <v>225</v>
      </c>
      <c r="B13" s="560"/>
      <c r="C13" s="560"/>
      <c r="D13" s="563"/>
      <c r="E13" s="565"/>
      <c r="F13" s="168" t="s">
        <v>224</v>
      </c>
      <c r="G13" s="185"/>
      <c r="H13" s="186"/>
      <c r="I13" s="186"/>
      <c r="J13" s="187"/>
      <c r="K13" s="188"/>
      <c r="L13" s="186"/>
      <c r="M13" s="187"/>
      <c r="N13" s="186"/>
      <c r="O13" s="186"/>
      <c r="P13" s="186"/>
      <c r="Q13" s="189"/>
      <c r="R13" s="190"/>
      <c r="S13" s="185"/>
      <c r="T13" s="185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9"/>
      <c r="AJ13" s="189"/>
      <c r="AK13" s="189"/>
      <c r="AL13" s="567"/>
      <c r="AM13" s="567"/>
      <c r="AN13" s="567"/>
      <c r="AO13" s="567"/>
    </row>
    <row r="14" spans="1:41" s="191" customFormat="1" ht="20.100000000000001" customHeight="1">
      <c r="A14" s="558"/>
      <c r="B14" s="561"/>
      <c r="C14" s="561"/>
      <c r="D14" s="564"/>
      <c r="E14" s="566"/>
      <c r="F14" s="168" t="s">
        <v>223</v>
      </c>
      <c r="G14" s="167"/>
      <c r="H14" s="165"/>
      <c r="I14" s="162"/>
      <c r="J14" s="165"/>
      <c r="K14" s="164"/>
      <c r="L14" s="175"/>
      <c r="M14" s="192"/>
      <c r="N14" s="175"/>
      <c r="O14" s="175"/>
      <c r="P14" s="175"/>
      <c r="Q14" s="193"/>
      <c r="R14" s="194"/>
      <c r="S14" s="167"/>
      <c r="T14" s="167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6"/>
      <c r="AJ14" s="166"/>
      <c r="AK14" s="166"/>
      <c r="AL14" s="583"/>
      <c r="AM14" s="583"/>
      <c r="AN14" s="583"/>
      <c r="AO14" s="583"/>
    </row>
    <row r="15" spans="1:41" s="191" customFormat="1" ht="20.100000000000001" customHeight="1">
      <c r="A15" s="558"/>
      <c r="B15" s="561"/>
      <c r="C15" s="572"/>
      <c r="D15" s="574"/>
      <c r="E15" s="585"/>
      <c r="F15" s="176" t="s">
        <v>224</v>
      </c>
      <c r="G15" s="167"/>
      <c r="H15" s="165"/>
      <c r="I15" s="162"/>
      <c r="J15" s="165"/>
      <c r="K15" s="164"/>
      <c r="L15" s="175"/>
      <c r="M15" s="192"/>
      <c r="N15" s="175"/>
      <c r="O15" s="175"/>
      <c r="P15" s="175"/>
      <c r="Q15" s="193"/>
      <c r="R15" s="194"/>
      <c r="S15" s="167"/>
      <c r="T15" s="167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6"/>
      <c r="AJ15" s="166"/>
      <c r="AK15" s="166"/>
      <c r="AL15" s="583"/>
      <c r="AM15" s="583"/>
      <c r="AN15" s="583"/>
      <c r="AO15" s="583"/>
    </row>
    <row r="16" spans="1:41" s="191" customFormat="1" ht="20.100000000000001" customHeight="1">
      <c r="A16" s="559"/>
      <c r="B16" s="562"/>
      <c r="C16" s="562"/>
      <c r="D16" s="584"/>
      <c r="E16" s="586"/>
      <c r="F16" s="183" t="s">
        <v>223</v>
      </c>
      <c r="G16" s="195"/>
      <c r="H16" s="196"/>
      <c r="I16" s="197"/>
      <c r="J16" s="196"/>
      <c r="K16" s="198"/>
      <c r="L16" s="199"/>
      <c r="M16" s="200"/>
      <c r="N16" s="199"/>
      <c r="O16" s="199"/>
      <c r="P16" s="199"/>
      <c r="Q16" s="201"/>
      <c r="R16" s="202"/>
      <c r="S16" s="195"/>
      <c r="T16" s="195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203"/>
      <c r="AJ16" s="203"/>
      <c r="AK16" s="203"/>
      <c r="AL16" s="587"/>
      <c r="AM16" s="587"/>
      <c r="AN16" s="587"/>
      <c r="AO16" s="587"/>
    </row>
    <row r="17" spans="1:41" s="191" customFormat="1" ht="20.100000000000001" customHeight="1">
      <c r="A17" s="558" t="s">
        <v>226</v>
      </c>
      <c r="B17" s="561"/>
      <c r="C17" s="561"/>
      <c r="D17" s="564"/>
      <c r="E17" s="566"/>
      <c r="F17" s="168" t="s">
        <v>227</v>
      </c>
      <c r="G17" s="167"/>
      <c r="H17" s="162"/>
      <c r="I17" s="162"/>
      <c r="J17" s="165"/>
      <c r="K17" s="164"/>
      <c r="L17" s="162"/>
      <c r="M17" s="165"/>
      <c r="N17" s="162"/>
      <c r="O17" s="162"/>
      <c r="P17" s="162"/>
      <c r="Q17" s="166"/>
      <c r="R17" s="163"/>
      <c r="S17" s="167"/>
      <c r="T17" s="167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6"/>
      <c r="AJ17" s="166"/>
      <c r="AK17" s="166"/>
      <c r="AL17" s="567"/>
      <c r="AM17" s="567"/>
      <c r="AN17" s="567"/>
      <c r="AO17" s="567"/>
    </row>
    <row r="18" spans="1:41" s="191" customFormat="1" ht="20.100000000000001" customHeight="1">
      <c r="A18" s="558"/>
      <c r="B18" s="561"/>
      <c r="C18" s="561"/>
      <c r="D18" s="564"/>
      <c r="E18" s="566"/>
      <c r="F18" s="168" t="s">
        <v>228</v>
      </c>
      <c r="G18" s="167"/>
      <c r="H18" s="165"/>
      <c r="I18" s="162"/>
      <c r="J18" s="165"/>
      <c r="K18" s="164"/>
      <c r="L18" s="175"/>
      <c r="M18" s="192"/>
      <c r="N18" s="175"/>
      <c r="O18" s="175"/>
      <c r="P18" s="175"/>
      <c r="Q18" s="193"/>
      <c r="R18" s="194"/>
      <c r="S18" s="167"/>
      <c r="T18" s="167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6"/>
      <c r="AJ18" s="166"/>
      <c r="AK18" s="166"/>
      <c r="AL18" s="583"/>
      <c r="AM18" s="583"/>
      <c r="AN18" s="583"/>
      <c r="AO18" s="583"/>
    </row>
    <row r="19" spans="1:41" s="191" customFormat="1" ht="20.100000000000001" customHeight="1">
      <c r="A19" s="558"/>
      <c r="B19" s="561"/>
      <c r="C19" s="572"/>
      <c r="D19" s="574"/>
      <c r="E19" s="585"/>
      <c r="F19" s="176" t="s">
        <v>222</v>
      </c>
      <c r="G19" s="167"/>
      <c r="H19" s="165"/>
      <c r="I19" s="162"/>
      <c r="J19" s="165"/>
      <c r="K19" s="164"/>
      <c r="L19" s="175"/>
      <c r="M19" s="192"/>
      <c r="N19" s="175"/>
      <c r="O19" s="175"/>
      <c r="P19" s="175"/>
      <c r="Q19" s="193"/>
      <c r="R19" s="194"/>
      <c r="S19" s="167"/>
      <c r="T19" s="167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6"/>
      <c r="AJ19" s="166"/>
      <c r="AK19" s="166"/>
      <c r="AL19" s="583"/>
      <c r="AM19" s="583"/>
      <c r="AN19" s="583"/>
      <c r="AO19" s="583"/>
    </row>
    <row r="20" spans="1:41" s="191" customFormat="1" ht="20.100000000000001" customHeight="1">
      <c r="A20" s="558"/>
      <c r="B20" s="561"/>
      <c r="C20" s="561"/>
      <c r="D20" s="564"/>
      <c r="E20" s="566"/>
      <c r="F20" s="183" t="s">
        <v>228</v>
      </c>
      <c r="G20" s="169"/>
      <c r="H20" s="170"/>
      <c r="I20" s="171"/>
      <c r="J20" s="170"/>
      <c r="K20" s="173"/>
      <c r="L20" s="204"/>
      <c r="M20" s="205"/>
      <c r="N20" s="204"/>
      <c r="O20" s="204"/>
      <c r="P20" s="204"/>
      <c r="Q20" s="206"/>
      <c r="R20" s="207"/>
      <c r="S20" s="169"/>
      <c r="T20" s="169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4"/>
      <c r="AJ20" s="174"/>
      <c r="AK20" s="174"/>
      <c r="AL20" s="587"/>
      <c r="AM20" s="587"/>
      <c r="AN20" s="587"/>
      <c r="AO20" s="587"/>
    </row>
    <row r="21" spans="1:41" s="191" customFormat="1" ht="20.100000000000001" customHeight="1">
      <c r="A21" s="557" t="s">
        <v>229</v>
      </c>
      <c r="B21" s="560"/>
      <c r="C21" s="560"/>
      <c r="D21" s="563"/>
      <c r="E21" s="565"/>
      <c r="F21" s="168" t="s">
        <v>224</v>
      </c>
      <c r="G21" s="185"/>
      <c r="H21" s="186"/>
      <c r="I21" s="186"/>
      <c r="J21" s="187"/>
      <c r="K21" s="188"/>
      <c r="L21" s="186"/>
      <c r="M21" s="187"/>
      <c r="N21" s="186"/>
      <c r="O21" s="186"/>
      <c r="P21" s="186"/>
      <c r="Q21" s="189"/>
      <c r="R21" s="190"/>
      <c r="S21" s="185"/>
      <c r="T21" s="185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9"/>
      <c r="AJ21" s="189"/>
      <c r="AK21" s="189"/>
      <c r="AL21" s="567"/>
      <c r="AM21" s="567"/>
      <c r="AN21" s="567"/>
      <c r="AO21" s="567"/>
    </row>
    <row r="22" spans="1:41" s="191" customFormat="1" ht="20.100000000000001" customHeight="1">
      <c r="A22" s="558"/>
      <c r="B22" s="561"/>
      <c r="C22" s="561"/>
      <c r="D22" s="564"/>
      <c r="E22" s="566"/>
      <c r="F22" s="168" t="s">
        <v>228</v>
      </c>
      <c r="G22" s="167"/>
      <c r="H22" s="165"/>
      <c r="I22" s="162"/>
      <c r="J22" s="165"/>
      <c r="K22" s="164"/>
      <c r="L22" s="175"/>
      <c r="M22" s="192"/>
      <c r="N22" s="175"/>
      <c r="O22" s="175"/>
      <c r="P22" s="175"/>
      <c r="Q22" s="193"/>
      <c r="R22" s="194"/>
      <c r="S22" s="167"/>
      <c r="T22" s="167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6"/>
      <c r="AJ22" s="166"/>
      <c r="AK22" s="166"/>
      <c r="AL22" s="583"/>
      <c r="AM22" s="583"/>
      <c r="AN22" s="583"/>
      <c r="AO22" s="583"/>
    </row>
    <row r="23" spans="1:41" s="191" customFormat="1" ht="20.100000000000001" customHeight="1">
      <c r="A23" s="558"/>
      <c r="B23" s="561"/>
      <c r="C23" s="572"/>
      <c r="D23" s="574"/>
      <c r="E23" s="585"/>
      <c r="F23" s="176" t="s">
        <v>222</v>
      </c>
      <c r="G23" s="167"/>
      <c r="H23" s="165"/>
      <c r="I23" s="162"/>
      <c r="J23" s="165"/>
      <c r="K23" s="164"/>
      <c r="L23" s="175"/>
      <c r="M23" s="192"/>
      <c r="N23" s="175"/>
      <c r="O23" s="175"/>
      <c r="P23" s="175"/>
      <c r="Q23" s="193"/>
      <c r="R23" s="194"/>
      <c r="S23" s="167"/>
      <c r="T23" s="167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6"/>
      <c r="AJ23" s="166"/>
      <c r="AK23" s="166"/>
      <c r="AL23" s="583"/>
      <c r="AM23" s="583"/>
      <c r="AN23" s="583"/>
      <c r="AO23" s="583"/>
    </row>
    <row r="24" spans="1:41" s="191" customFormat="1" ht="20.100000000000001" customHeight="1">
      <c r="A24" s="559"/>
      <c r="B24" s="562"/>
      <c r="C24" s="562"/>
      <c r="D24" s="584"/>
      <c r="E24" s="586"/>
      <c r="F24" s="183" t="s">
        <v>228</v>
      </c>
      <c r="G24" s="195"/>
      <c r="H24" s="196"/>
      <c r="I24" s="197"/>
      <c r="J24" s="196"/>
      <c r="K24" s="198"/>
      <c r="L24" s="199"/>
      <c r="M24" s="200"/>
      <c r="N24" s="199"/>
      <c r="O24" s="199"/>
      <c r="P24" s="199"/>
      <c r="Q24" s="201"/>
      <c r="R24" s="202"/>
      <c r="S24" s="195"/>
      <c r="T24" s="195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203"/>
      <c r="AJ24" s="203"/>
      <c r="AK24" s="203"/>
      <c r="AL24" s="587"/>
      <c r="AM24" s="587"/>
      <c r="AN24" s="587"/>
      <c r="AO24" s="587"/>
    </row>
    <row r="25" spans="1:41" s="191" customFormat="1" ht="20.100000000000001" customHeight="1">
      <c r="A25" s="557" t="s">
        <v>164</v>
      </c>
      <c r="B25" s="560"/>
      <c r="C25" s="560"/>
      <c r="D25" s="563"/>
      <c r="E25" s="565"/>
      <c r="F25" s="168" t="s">
        <v>222</v>
      </c>
      <c r="G25" s="185"/>
      <c r="H25" s="186"/>
      <c r="I25" s="186"/>
      <c r="J25" s="187"/>
      <c r="K25" s="188"/>
      <c r="L25" s="186"/>
      <c r="M25" s="187"/>
      <c r="N25" s="186"/>
      <c r="O25" s="186"/>
      <c r="P25" s="186"/>
      <c r="Q25" s="189"/>
      <c r="R25" s="190"/>
      <c r="S25" s="185"/>
      <c r="T25" s="185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9"/>
      <c r="AJ25" s="189"/>
      <c r="AK25" s="189"/>
      <c r="AL25" s="567"/>
      <c r="AM25" s="567"/>
      <c r="AN25" s="567"/>
      <c r="AO25" s="567"/>
    </row>
    <row r="26" spans="1:41" s="191" customFormat="1" ht="20.100000000000001" customHeight="1">
      <c r="A26" s="558"/>
      <c r="B26" s="561"/>
      <c r="C26" s="561"/>
      <c r="D26" s="564"/>
      <c r="E26" s="566"/>
      <c r="F26" s="168" t="s">
        <v>228</v>
      </c>
      <c r="G26" s="167"/>
      <c r="H26" s="165"/>
      <c r="I26" s="162"/>
      <c r="J26" s="165"/>
      <c r="K26" s="164"/>
      <c r="L26" s="175"/>
      <c r="M26" s="192"/>
      <c r="N26" s="175"/>
      <c r="O26" s="175"/>
      <c r="P26" s="175"/>
      <c r="Q26" s="193"/>
      <c r="R26" s="194"/>
      <c r="S26" s="167"/>
      <c r="T26" s="167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6"/>
      <c r="AJ26" s="166"/>
      <c r="AK26" s="166"/>
      <c r="AL26" s="583"/>
      <c r="AM26" s="583"/>
      <c r="AN26" s="583"/>
      <c r="AO26" s="583"/>
    </row>
    <row r="27" spans="1:41" s="191" customFormat="1" ht="20.100000000000001" customHeight="1">
      <c r="A27" s="558"/>
      <c r="B27" s="561"/>
      <c r="C27" s="572"/>
      <c r="D27" s="574"/>
      <c r="E27" s="585"/>
      <c r="F27" s="176" t="s">
        <v>224</v>
      </c>
      <c r="G27" s="167"/>
      <c r="H27" s="165"/>
      <c r="I27" s="162"/>
      <c r="J27" s="165"/>
      <c r="K27" s="164"/>
      <c r="L27" s="175"/>
      <c r="M27" s="192"/>
      <c r="N27" s="175"/>
      <c r="O27" s="175"/>
      <c r="P27" s="175"/>
      <c r="Q27" s="193"/>
      <c r="R27" s="194"/>
      <c r="S27" s="167"/>
      <c r="T27" s="167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6"/>
      <c r="AJ27" s="166"/>
      <c r="AK27" s="166"/>
      <c r="AL27" s="583"/>
      <c r="AM27" s="583"/>
      <c r="AN27" s="583"/>
      <c r="AO27" s="583"/>
    </row>
    <row r="28" spans="1:41" s="191" customFormat="1" ht="20.100000000000001" customHeight="1">
      <c r="A28" s="559"/>
      <c r="B28" s="562"/>
      <c r="C28" s="562"/>
      <c r="D28" s="584"/>
      <c r="E28" s="586"/>
      <c r="F28" s="183" t="s">
        <v>223</v>
      </c>
      <c r="G28" s="195"/>
      <c r="H28" s="196"/>
      <c r="I28" s="197"/>
      <c r="J28" s="196"/>
      <c r="K28" s="198"/>
      <c r="L28" s="199"/>
      <c r="M28" s="200"/>
      <c r="N28" s="199"/>
      <c r="O28" s="199"/>
      <c r="P28" s="199"/>
      <c r="Q28" s="201"/>
      <c r="R28" s="202"/>
      <c r="S28" s="195"/>
      <c r="T28" s="195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203"/>
      <c r="AJ28" s="203"/>
      <c r="AK28" s="203"/>
      <c r="AL28" s="587"/>
      <c r="AM28" s="587"/>
      <c r="AN28" s="587"/>
      <c r="AO28" s="587"/>
    </row>
    <row r="29" spans="1:41" s="191" customFormat="1" ht="20.100000000000001" customHeight="1">
      <c r="A29" s="588" t="s">
        <v>230</v>
      </c>
      <c r="B29" s="589"/>
      <c r="C29" s="589"/>
      <c r="D29" s="589"/>
      <c r="E29" s="589"/>
      <c r="F29" s="590"/>
      <c r="G29" s="210"/>
      <c r="H29" s="211"/>
      <c r="I29" s="212"/>
      <c r="J29" s="211"/>
      <c r="K29" s="211"/>
      <c r="L29" s="212"/>
      <c r="M29" s="211"/>
      <c r="N29" s="212"/>
      <c r="O29" s="212"/>
      <c r="P29" s="212"/>
      <c r="Q29" s="212"/>
      <c r="R29" s="213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597"/>
      <c r="AM29" s="597"/>
      <c r="AN29" s="597"/>
      <c r="AO29" s="598"/>
    </row>
    <row r="30" spans="1:41" s="191" customFormat="1" ht="20.100000000000001" customHeight="1">
      <c r="A30" s="591"/>
      <c r="B30" s="592"/>
      <c r="C30" s="592"/>
      <c r="D30" s="592"/>
      <c r="E30" s="592"/>
      <c r="F30" s="593"/>
      <c r="G30" s="214"/>
      <c r="H30" s="215"/>
      <c r="I30" s="216"/>
      <c r="J30" s="184" t="s">
        <v>231</v>
      </c>
      <c r="K30" s="215"/>
      <c r="L30" s="184"/>
      <c r="M30" s="215"/>
      <c r="N30" s="184"/>
      <c r="O30" s="184"/>
      <c r="P30" s="184"/>
      <c r="Q30" s="184"/>
      <c r="R30" s="217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599"/>
      <c r="AM30" s="599"/>
      <c r="AN30" s="599"/>
      <c r="AO30" s="600"/>
    </row>
    <row r="31" spans="1:41" s="191" customFormat="1" ht="20.100000000000001" customHeight="1">
      <c r="A31" s="591"/>
      <c r="B31" s="592"/>
      <c r="C31" s="592"/>
      <c r="D31" s="592"/>
      <c r="E31" s="592"/>
      <c r="F31" s="593"/>
      <c r="G31" s="214"/>
      <c r="H31" s="215"/>
      <c r="I31" s="217"/>
      <c r="J31" s="184" t="s">
        <v>232</v>
      </c>
      <c r="K31" s="215"/>
      <c r="L31" s="184"/>
      <c r="M31" s="215"/>
      <c r="N31" s="184"/>
      <c r="O31" s="184"/>
      <c r="P31" s="184"/>
      <c r="Q31" s="184"/>
      <c r="R31" s="217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599"/>
      <c r="AM31" s="599"/>
      <c r="AN31" s="599"/>
      <c r="AO31" s="600"/>
    </row>
    <row r="32" spans="1:41" ht="20.100000000000001" customHeight="1">
      <c r="A32" s="594"/>
      <c r="B32" s="595"/>
      <c r="C32" s="595"/>
      <c r="D32" s="595"/>
      <c r="E32" s="595"/>
      <c r="F32" s="596"/>
      <c r="G32" s="218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20"/>
      <c r="AI32" s="220"/>
      <c r="AJ32" s="220"/>
      <c r="AK32" s="220"/>
      <c r="AL32" s="601"/>
      <c r="AM32" s="601"/>
      <c r="AN32" s="601"/>
      <c r="AO32" s="602"/>
    </row>
  </sheetData>
  <mergeCells count="109">
    <mergeCell ref="A29:F32"/>
    <mergeCell ref="AL29:AM29"/>
    <mergeCell ref="AN29:AO29"/>
    <mergeCell ref="AL30:AM30"/>
    <mergeCell ref="AN30:AO30"/>
    <mergeCell ref="AL31:AM31"/>
    <mergeCell ref="AN31:AO31"/>
    <mergeCell ref="AL32:AM32"/>
    <mergeCell ref="AN32:AO32"/>
    <mergeCell ref="C27:C28"/>
    <mergeCell ref="D27:D28"/>
    <mergeCell ref="E27:E28"/>
    <mergeCell ref="AL27:AM27"/>
    <mergeCell ref="AN27:AO27"/>
    <mergeCell ref="AL28:AM28"/>
    <mergeCell ref="AN28:AO28"/>
    <mergeCell ref="A25:A28"/>
    <mergeCell ref="B25:B28"/>
    <mergeCell ref="C25:C26"/>
    <mergeCell ref="D25:D26"/>
    <mergeCell ref="E25:E26"/>
    <mergeCell ref="AL25:AM25"/>
    <mergeCell ref="C23:C24"/>
    <mergeCell ref="D23:D24"/>
    <mergeCell ref="E23:E24"/>
    <mergeCell ref="AL23:AM23"/>
    <mergeCell ref="AN23:AO23"/>
    <mergeCell ref="AL24:AM24"/>
    <mergeCell ref="AN24:AO24"/>
    <mergeCell ref="AN25:AO25"/>
    <mergeCell ref="AL26:AM26"/>
    <mergeCell ref="AN26:AO26"/>
    <mergeCell ref="A17:A20"/>
    <mergeCell ref="B17:B20"/>
    <mergeCell ref="C17:C18"/>
    <mergeCell ref="D17:D18"/>
    <mergeCell ref="E17:E18"/>
    <mergeCell ref="AL17:AM17"/>
    <mergeCell ref="AN21:AO21"/>
    <mergeCell ref="AL22:AM22"/>
    <mergeCell ref="AN22:AO22"/>
    <mergeCell ref="AN14:AO14"/>
    <mergeCell ref="C15:C16"/>
    <mergeCell ref="D15:D16"/>
    <mergeCell ref="E15:E16"/>
    <mergeCell ref="AL15:AM15"/>
    <mergeCell ref="AN15:AO15"/>
    <mergeCell ref="AL16:AM16"/>
    <mergeCell ref="AN16:AO16"/>
    <mergeCell ref="A21:A24"/>
    <mergeCell ref="B21:B24"/>
    <mergeCell ref="C21:C22"/>
    <mergeCell ref="D21:D22"/>
    <mergeCell ref="E21:E22"/>
    <mergeCell ref="AL21:AM21"/>
    <mergeCell ref="AN17:AO17"/>
    <mergeCell ref="AL18:AM18"/>
    <mergeCell ref="AN18:AO18"/>
    <mergeCell ref="C19:C20"/>
    <mergeCell ref="D19:D20"/>
    <mergeCell ref="E19:E20"/>
    <mergeCell ref="AL19:AM19"/>
    <mergeCell ref="AN19:AO19"/>
    <mergeCell ref="AL20:AM20"/>
    <mergeCell ref="AN20:AO20"/>
    <mergeCell ref="A13:A16"/>
    <mergeCell ref="B13:B16"/>
    <mergeCell ref="C13:C14"/>
    <mergeCell ref="D13:D14"/>
    <mergeCell ref="E13:E14"/>
    <mergeCell ref="AL13:AM13"/>
    <mergeCell ref="AN9:AO9"/>
    <mergeCell ref="AL10:AM10"/>
    <mergeCell ref="AN10:AO10"/>
    <mergeCell ref="C11:C12"/>
    <mergeCell ref="D11:D12"/>
    <mergeCell ref="E11:E12"/>
    <mergeCell ref="AL11:AM11"/>
    <mergeCell ref="AN11:AO11"/>
    <mergeCell ref="AL12:AM12"/>
    <mergeCell ref="AN12:AO12"/>
    <mergeCell ref="A9:A12"/>
    <mergeCell ref="B9:B12"/>
    <mergeCell ref="C9:C10"/>
    <mergeCell ref="D9:D10"/>
    <mergeCell ref="E9:E10"/>
    <mergeCell ref="AL9:AM9"/>
    <mergeCell ref="AN13:AO13"/>
    <mergeCell ref="AL14:AM14"/>
    <mergeCell ref="A6:A8"/>
    <mergeCell ref="B6:B8"/>
    <mergeCell ref="C6:C8"/>
    <mergeCell ref="D6:D8"/>
    <mergeCell ref="E6:E8"/>
    <mergeCell ref="F6:F8"/>
    <mergeCell ref="G6:AK6"/>
    <mergeCell ref="AL6:AM8"/>
    <mergeCell ref="AN6:AO8"/>
    <mergeCell ref="A1:B2"/>
    <mergeCell ref="C1:Y4"/>
    <mergeCell ref="Z1:AD1"/>
    <mergeCell ref="AE1:AI1"/>
    <mergeCell ref="AJ1:AO1"/>
    <mergeCell ref="Z2:AD3"/>
    <mergeCell ref="AE2:AI3"/>
    <mergeCell ref="AJ2:AO3"/>
    <mergeCell ref="A3:B4"/>
    <mergeCell ref="Z4:AG4"/>
    <mergeCell ref="AH4:AO4"/>
  </mergeCells>
  <phoneticPr fontId="4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64" fitToHeight="0" orientation="landscape" r:id="rId1"/>
  <headerFooter>
    <oddFooter>&amp;L※ 본 양식은 단지 참조용으로 제시된 것이며 별도의 서식을 사용할 수 있음.&amp;RQA-8.6-2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B1:AP39"/>
  <sheetViews>
    <sheetView showGridLines="0" view="pageBreakPreview" zoomScaleNormal="55" zoomScaleSheetLayoutView="100" workbookViewId="0">
      <selection activeCell="D16" sqref="D16:D17"/>
    </sheetView>
  </sheetViews>
  <sheetFormatPr defaultColWidth="9" defaultRowHeight="20.100000000000001" customHeight="1"/>
  <cols>
    <col min="1" max="1" width="0.625" style="146" customWidth="1"/>
    <col min="2" max="2" width="13.625" style="146" customWidth="1"/>
    <col min="3" max="3" width="15.625" style="146" customWidth="1"/>
    <col min="4" max="4" width="20.625" style="146" customWidth="1"/>
    <col min="5" max="5" width="5.75" style="146" customWidth="1"/>
    <col min="6" max="6" width="10.625" style="147" customWidth="1"/>
    <col min="7" max="7" width="5.75" style="147" customWidth="1"/>
    <col min="8" max="42" width="3.75" style="146" customWidth="1"/>
    <col min="43" max="43" width="0.625" style="146" customWidth="1"/>
    <col min="44" max="16384" width="9" style="146"/>
  </cols>
  <sheetData>
    <row r="1" spans="2:42" ht="5.0999999999999996" customHeight="1"/>
    <row r="2" spans="2:42" ht="30" customHeight="1">
      <c r="B2" s="435"/>
      <c r="C2" s="435"/>
      <c r="D2" s="534" t="s">
        <v>233</v>
      </c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5" t="s">
        <v>234</v>
      </c>
      <c r="AB2" s="535"/>
      <c r="AC2" s="535"/>
      <c r="AD2" s="535"/>
      <c r="AE2" s="535"/>
      <c r="AF2" s="535" t="s">
        <v>235</v>
      </c>
      <c r="AG2" s="535"/>
      <c r="AH2" s="535"/>
      <c r="AI2" s="535"/>
      <c r="AJ2" s="535"/>
      <c r="AK2" s="535" t="s">
        <v>236</v>
      </c>
      <c r="AL2" s="535"/>
      <c r="AM2" s="535"/>
      <c r="AN2" s="535"/>
      <c r="AO2" s="535"/>
      <c r="AP2" s="535"/>
    </row>
    <row r="3" spans="2:42" ht="35.1" customHeight="1">
      <c r="B3" s="435"/>
      <c r="C3" s="435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535"/>
    </row>
    <row r="4" spans="2:42" ht="35.1" customHeight="1">
      <c r="B4" s="536" t="s">
        <v>29</v>
      </c>
      <c r="C4" s="536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534"/>
      <c r="T4" s="534"/>
      <c r="U4" s="534"/>
      <c r="V4" s="534"/>
      <c r="W4" s="534"/>
      <c r="X4" s="534"/>
      <c r="Y4" s="534"/>
      <c r="Z4" s="534"/>
      <c r="AA4" s="535"/>
      <c r="AB4" s="535"/>
      <c r="AC4" s="535"/>
      <c r="AD4" s="535"/>
      <c r="AE4" s="535"/>
      <c r="AF4" s="535"/>
      <c r="AG4" s="535"/>
      <c r="AH4" s="535"/>
      <c r="AI4" s="535"/>
      <c r="AJ4" s="535"/>
      <c r="AK4" s="535"/>
      <c r="AL4" s="535"/>
      <c r="AM4" s="535"/>
      <c r="AN4" s="535"/>
      <c r="AO4" s="535"/>
      <c r="AP4" s="535"/>
    </row>
    <row r="5" spans="2:42" ht="30" customHeight="1">
      <c r="B5" s="536"/>
      <c r="C5" s="536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7" t="s">
        <v>415</v>
      </c>
      <c r="AB5" s="538"/>
      <c r="AC5" s="538"/>
      <c r="AD5" s="538"/>
      <c r="AE5" s="538"/>
      <c r="AF5" s="538"/>
      <c r="AG5" s="538"/>
      <c r="AH5" s="539"/>
      <c r="AI5" s="540" t="s">
        <v>237</v>
      </c>
      <c r="AJ5" s="541"/>
      <c r="AK5" s="541"/>
      <c r="AL5" s="541"/>
      <c r="AM5" s="541"/>
      <c r="AN5" s="541"/>
      <c r="AO5" s="541"/>
      <c r="AP5" s="542"/>
    </row>
    <row r="6" spans="2:42" s="150" customFormat="1" ht="31.5" customHeight="1">
      <c r="B6" s="148"/>
      <c r="C6" s="149"/>
      <c r="F6" s="151"/>
      <c r="G6" s="151"/>
      <c r="AP6" s="152"/>
    </row>
    <row r="7" spans="2:42" s="149" customFormat="1" ht="24.75" customHeight="1">
      <c r="B7" s="543" t="s">
        <v>202</v>
      </c>
      <c r="C7" s="543" t="s">
        <v>203</v>
      </c>
      <c r="D7" s="543" t="s">
        <v>204</v>
      </c>
      <c r="E7" s="543" t="s">
        <v>238</v>
      </c>
      <c r="F7" s="545" t="s">
        <v>206</v>
      </c>
      <c r="G7" s="545" t="s">
        <v>239</v>
      </c>
      <c r="H7" s="543" t="s">
        <v>420</v>
      </c>
      <c r="I7" s="543"/>
      <c r="J7" s="543"/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3"/>
      <c r="W7" s="543"/>
      <c r="X7" s="543"/>
      <c r="Y7" s="543"/>
      <c r="Z7" s="543"/>
      <c r="AA7" s="543"/>
      <c r="AB7" s="543"/>
      <c r="AC7" s="543"/>
      <c r="AD7" s="543"/>
      <c r="AE7" s="543"/>
      <c r="AF7" s="543"/>
      <c r="AG7" s="543"/>
      <c r="AH7" s="543"/>
      <c r="AI7" s="543"/>
      <c r="AJ7" s="543"/>
      <c r="AK7" s="543"/>
      <c r="AL7" s="543"/>
      <c r="AM7" s="543" t="s">
        <v>240</v>
      </c>
      <c r="AN7" s="543"/>
      <c r="AO7" s="543" t="s">
        <v>241</v>
      </c>
      <c r="AP7" s="543"/>
    </row>
    <row r="8" spans="2:42" s="149" customFormat="1" ht="24.75" customHeight="1">
      <c r="B8" s="543"/>
      <c r="C8" s="543"/>
      <c r="D8" s="543"/>
      <c r="E8" s="543"/>
      <c r="F8" s="543"/>
      <c r="G8" s="545"/>
      <c r="H8" s="221">
        <v>1</v>
      </c>
      <c r="I8" s="221">
        <v>2</v>
      </c>
      <c r="J8" s="221">
        <v>3</v>
      </c>
      <c r="K8" s="221">
        <v>4</v>
      </c>
      <c r="L8" s="221">
        <v>5</v>
      </c>
      <c r="M8" s="221">
        <v>6</v>
      </c>
      <c r="N8" s="221">
        <v>7</v>
      </c>
      <c r="O8" s="221">
        <v>8</v>
      </c>
      <c r="P8" s="221">
        <v>9</v>
      </c>
      <c r="Q8" s="221">
        <v>10</v>
      </c>
      <c r="R8" s="221">
        <v>11</v>
      </c>
      <c r="S8" s="221">
        <v>12</v>
      </c>
      <c r="T8" s="221">
        <v>13</v>
      </c>
      <c r="U8" s="221">
        <v>14</v>
      </c>
      <c r="V8" s="221">
        <v>15</v>
      </c>
      <c r="W8" s="221">
        <v>16</v>
      </c>
      <c r="X8" s="221">
        <v>17</v>
      </c>
      <c r="Y8" s="221">
        <v>18</v>
      </c>
      <c r="Z8" s="221">
        <v>19</v>
      </c>
      <c r="AA8" s="221">
        <v>20</v>
      </c>
      <c r="AB8" s="221">
        <v>21</v>
      </c>
      <c r="AC8" s="221">
        <v>22</v>
      </c>
      <c r="AD8" s="221">
        <v>23</v>
      </c>
      <c r="AE8" s="221">
        <v>24</v>
      </c>
      <c r="AF8" s="221">
        <v>25</v>
      </c>
      <c r="AG8" s="221">
        <v>26</v>
      </c>
      <c r="AH8" s="221">
        <v>27</v>
      </c>
      <c r="AI8" s="221">
        <v>28</v>
      </c>
      <c r="AJ8" s="221">
        <v>29</v>
      </c>
      <c r="AK8" s="221">
        <v>30</v>
      </c>
      <c r="AL8" s="221">
        <v>31</v>
      </c>
      <c r="AM8" s="543"/>
      <c r="AN8" s="543"/>
      <c r="AO8" s="543"/>
      <c r="AP8" s="543"/>
    </row>
    <row r="9" spans="2:42" s="149" customFormat="1" ht="24.75" customHeight="1">
      <c r="B9" s="543"/>
      <c r="C9" s="543"/>
      <c r="D9" s="543"/>
      <c r="E9" s="543"/>
      <c r="F9" s="543"/>
      <c r="G9" s="545"/>
      <c r="H9" s="221" t="s">
        <v>211</v>
      </c>
      <c r="I9" s="221" t="s">
        <v>212</v>
      </c>
      <c r="J9" s="221" t="s">
        <v>213</v>
      </c>
      <c r="K9" s="221" t="s">
        <v>214</v>
      </c>
      <c r="L9" s="221" t="s">
        <v>215</v>
      </c>
      <c r="M9" s="221" t="s">
        <v>216</v>
      </c>
      <c r="N9" s="221" t="s">
        <v>217</v>
      </c>
      <c r="O9" s="221" t="s">
        <v>218</v>
      </c>
      <c r="P9" s="221" t="s">
        <v>219</v>
      </c>
      <c r="Q9" s="221" t="s">
        <v>213</v>
      </c>
      <c r="R9" s="221" t="s">
        <v>214</v>
      </c>
      <c r="S9" s="221" t="s">
        <v>215</v>
      </c>
      <c r="T9" s="221" t="s">
        <v>216</v>
      </c>
      <c r="U9" s="221" t="s">
        <v>217</v>
      </c>
      <c r="V9" s="221" t="s">
        <v>218</v>
      </c>
      <c r="W9" s="221" t="s">
        <v>219</v>
      </c>
      <c r="X9" s="221" t="s">
        <v>213</v>
      </c>
      <c r="Y9" s="221" t="s">
        <v>214</v>
      </c>
      <c r="Z9" s="221" t="s">
        <v>215</v>
      </c>
      <c r="AA9" s="221" t="s">
        <v>216</v>
      </c>
      <c r="AB9" s="221" t="s">
        <v>217</v>
      </c>
      <c r="AC9" s="221" t="s">
        <v>218</v>
      </c>
      <c r="AD9" s="221" t="s">
        <v>219</v>
      </c>
      <c r="AE9" s="221" t="s">
        <v>213</v>
      </c>
      <c r="AF9" s="221" t="s">
        <v>214</v>
      </c>
      <c r="AG9" s="221" t="s">
        <v>215</v>
      </c>
      <c r="AH9" s="221" t="s">
        <v>216</v>
      </c>
      <c r="AI9" s="221" t="s">
        <v>217</v>
      </c>
      <c r="AJ9" s="221" t="s">
        <v>218</v>
      </c>
      <c r="AK9" s="221" t="s">
        <v>219</v>
      </c>
      <c r="AL9" s="221" t="s">
        <v>242</v>
      </c>
      <c r="AM9" s="543"/>
      <c r="AN9" s="543"/>
      <c r="AO9" s="543"/>
      <c r="AP9" s="543"/>
    </row>
    <row r="10" spans="2:42" s="230" customFormat="1" ht="18.95" customHeight="1">
      <c r="B10" s="603" t="s">
        <v>243</v>
      </c>
      <c r="C10" s="603" t="s">
        <v>244</v>
      </c>
      <c r="D10" s="606" t="s">
        <v>245</v>
      </c>
      <c r="E10" s="608"/>
      <c r="F10" s="608"/>
      <c r="G10" s="222" t="s">
        <v>246</v>
      </c>
      <c r="H10" s="223"/>
      <c r="I10" s="224"/>
      <c r="J10" s="225"/>
      <c r="K10" s="226" t="s">
        <v>247</v>
      </c>
      <c r="L10" s="225"/>
      <c r="M10" s="225"/>
      <c r="N10" s="227" t="s">
        <v>248</v>
      </c>
      <c r="O10" s="228"/>
      <c r="P10" s="228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6"/>
      <c r="AJ10" s="225"/>
      <c r="AK10" s="224"/>
      <c r="AL10" s="229"/>
      <c r="AM10" s="610"/>
      <c r="AN10" s="611"/>
      <c r="AO10" s="610"/>
      <c r="AP10" s="611"/>
    </row>
    <row r="11" spans="2:42" s="230" customFormat="1" ht="18.95" customHeight="1">
      <c r="B11" s="604"/>
      <c r="C11" s="604"/>
      <c r="D11" s="607"/>
      <c r="E11" s="609"/>
      <c r="F11" s="609"/>
      <c r="G11" s="231" t="s">
        <v>249</v>
      </c>
      <c r="H11" s="232"/>
      <c r="I11" s="233"/>
      <c r="J11" s="234"/>
      <c r="K11" s="234"/>
      <c r="L11" s="234"/>
      <c r="M11" s="235"/>
      <c r="N11" s="236"/>
      <c r="O11" s="237"/>
      <c r="P11" s="237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3"/>
      <c r="AJ11" s="234"/>
      <c r="AK11" s="233"/>
      <c r="AL11" s="238"/>
      <c r="AM11" s="570"/>
      <c r="AN11" s="571"/>
      <c r="AO11" s="570"/>
      <c r="AP11" s="571"/>
    </row>
    <row r="12" spans="2:42" s="230" customFormat="1" ht="18.95" customHeight="1">
      <c r="B12" s="604"/>
      <c r="C12" s="604" t="s">
        <v>250</v>
      </c>
      <c r="D12" s="612" t="s">
        <v>251</v>
      </c>
      <c r="E12" s="609"/>
      <c r="F12" s="609"/>
      <c r="G12" s="239" t="s">
        <v>252</v>
      </c>
      <c r="H12" s="240" t="s">
        <v>253</v>
      </c>
      <c r="I12" s="240"/>
      <c r="J12" s="240"/>
      <c r="K12" s="240"/>
      <c r="L12" s="241"/>
      <c r="M12" s="242"/>
      <c r="N12" s="243"/>
      <c r="O12" s="244"/>
      <c r="P12" s="245"/>
      <c r="Q12" s="246"/>
      <c r="R12" s="246"/>
      <c r="S12" s="246"/>
      <c r="T12" s="246" t="s">
        <v>254</v>
      </c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0"/>
      <c r="AJ12" s="240"/>
      <c r="AK12" s="240"/>
      <c r="AL12" s="247"/>
      <c r="AM12" s="570"/>
      <c r="AN12" s="571"/>
      <c r="AO12" s="570"/>
      <c r="AP12" s="571"/>
    </row>
    <row r="13" spans="2:42" s="230" customFormat="1" ht="18.95" customHeight="1">
      <c r="B13" s="604"/>
      <c r="C13" s="604"/>
      <c r="D13" s="607"/>
      <c r="E13" s="609"/>
      <c r="F13" s="609"/>
      <c r="G13" s="248" t="s">
        <v>249</v>
      </c>
      <c r="H13" s="249"/>
      <c r="I13" s="250"/>
      <c r="J13" s="251"/>
      <c r="K13" s="251"/>
      <c r="L13" s="251"/>
      <c r="M13" s="252"/>
      <c r="N13" s="253"/>
      <c r="O13" s="254"/>
      <c r="P13" s="254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0"/>
      <c r="AJ13" s="251"/>
      <c r="AK13" s="250"/>
      <c r="AL13" s="255"/>
      <c r="AM13" s="575"/>
      <c r="AN13" s="576"/>
      <c r="AO13" s="575"/>
      <c r="AP13" s="576"/>
    </row>
    <row r="14" spans="2:42" s="230" customFormat="1" ht="18.95" customHeight="1">
      <c r="B14" s="604"/>
      <c r="C14" s="604" t="s">
        <v>255</v>
      </c>
      <c r="D14" s="612" t="s">
        <v>256</v>
      </c>
      <c r="E14" s="609"/>
      <c r="F14" s="609"/>
      <c r="G14" s="256" t="s">
        <v>257</v>
      </c>
      <c r="H14" s="257"/>
      <c r="I14" s="258"/>
      <c r="J14" s="259"/>
      <c r="K14" s="259"/>
      <c r="L14" s="259"/>
      <c r="M14" s="260"/>
      <c r="N14" s="261"/>
      <c r="O14" s="615" t="s">
        <v>258</v>
      </c>
      <c r="P14" s="616"/>
      <c r="Q14" s="616"/>
      <c r="R14" s="616"/>
      <c r="S14" s="616"/>
      <c r="T14" s="616"/>
      <c r="U14" s="616"/>
      <c r="V14" s="616"/>
      <c r="W14" s="616"/>
      <c r="X14" s="616"/>
      <c r="Y14" s="616"/>
      <c r="Z14" s="616"/>
      <c r="AA14" s="616"/>
      <c r="AB14" s="616"/>
      <c r="AC14" s="616"/>
      <c r="AD14" s="616"/>
      <c r="AE14" s="616"/>
      <c r="AF14" s="616"/>
      <c r="AG14" s="616"/>
      <c r="AH14" s="616"/>
      <c r="AI14" s="616"/>
      <c r="AJ14" s="616"/>
      <c r="AK14" s="616"/>
      <c r="AL14" s="617"/>
      <c r="AM14" s="583"/>
      <c r="AN14" s="583"/>
      <c r="AO14" s="583"/>
      <c r="AP14" s="583"/>
    </row>
    <row r="15" spans="2:42" s="230" customFormat="1" ht="18.95" customHeight="1">
      <c r="B15" s="605"/>
      <c r="C15" s="605"/>
      <c r="D15" s="613"/>
      <c r="E15" s="614"/>
      <c r="F15" s="614"/>
      <c r="G15" s="262" t="s">
        <v>259</v>
      </c>
      <c r="H15" s="263"/>
      <c r="I15" s="264"/>
      <c r="J15" s="265"/>
      <c r="K15" s="265"/>
      <c r="L15" s="265"/>
      <c r="M15" s="266"/>
      <c r="N15" s="267"/>
      <c r="O15" s="263"/>
      <c r="P15" s="263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4"/>
      <c r="AJ15" s="265"/>
      <c r="AK15" s="264"/>
      <c r="AL15" s="268"/>
      <c r="AM15" s="587"/>
      <c r="AN15" s="587"/>
      <c r="AO15" s="587"/>
      <c r="AP15" s="587"/>
    </row>
    <row r="16" spans="2:42" s="230" customFormat="1" ht="18.95" customHeight="1">
      <c r="B16" s="620" t="s">
        <v>260</v>
      </c>
      <c r="C16" s="620" t="s">
        <v>261</v>
      </c>
      <c r="D16" s="621" t="s">
        <v>262</v>
      </c>
      <c r="E16" s="622"/>
      <c r="F16" s="622"/>
      <c r="G16" s="269" t="s">
        <v>257</v>
      </c>
      <c r="H16" s="270"/>
      <c r="I16" s="270" t="s">
        <v>263</v>
      </c>
      <c r="J16" s="271"/>
      <c r="K16" s="270"/>
      <c r="L16" s="271"/>
      <c r="M16" s="272"/>
      <c r="N16" s="273"/>
      <c r="O16" s="270" t="s">
        <v>264</v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1"/>
      <c r="AJ16" s="271"/>
      <c r="AK16" s="274"/>
      <c r="AL16" s="275"/>
      <c r="AM16" s="618"/>
      <c r="AN16" s="618"/>
      <c r="AO16" s="618"/>
      <c r="AP16" s="618"/>
    </row>
    <row r="17" spans="2:42" s="230" customFormat="1" ht="18.95" customHeight="1">
      <c r="B17" s="604"/>
      <c r="C17" s="604"/>
      <c r="D17" s="607"/>
      <c r="E17" s="609"/>
      <c r="F17" s="609"/>
      <c r="G17" s="248" t="s">
        <v>249</v>
      </c>
      <c r="H17" s="249"/>
      <c r="I17" s="250"/>
      <c r="J17" s="251"/>
      <c r="K17" s="251"/>
      <c r="L17" s="251"/>
      <c r="M17" s="252"/>
      <c r="N17" s="276"/>
      <c r="O17" s="254"/>
      <c r="P17" s="254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0"/>
      <c r="AJ17" s="251"/>
      <c r="AK17" s="250"/>
      <c r="AL17" s="255"/>
      <c r="AM17" s="619"/>
      <c r="AN17" s="619"/>
      <c r="AO17" s="619"/>
      <c r="AP17" s="619"/>
    </row>
    <row r="18" spans="2:42" s="230" customFormat="1" ht="18.95" customHeight="1">
      <c r="B18" s="604"/>
      <c r="C18" s="604" t="s">
        <v>250</v>
      </c>
      <c r="D18" s="612" t="s">
        <v>262</v>
      </c>
      <c r="E18" s="609"/>
      <c r="F18" s="609"/>
      <c r="G18" s="256" t="s">
        <v>257</v>
      </c>
      <c r="H18" s="257"/>
      <c r="I18" s="257" t="s">
        <v>263</v>
      </c>
      <c r="J18" s="259"/>
      <c r="K18" s="257"/>
      <c r="L18" s="259"/>
      <c r="M18" s="260"/>
      <c r="N18" s="277"/>
      <c r="O18" s="257" t="s">
        <v>264</v>
      </c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78"/>
      <c r="AM18" s="583"/>
      <c r="AN18" s="583"/>
      <c r="AO18" s="583"/>
      <c r="AP18" s="583"/>
    </row>
    <row r="19" spans="2:42" s="230" customFormat="1" ht="18.95" customHeight="1">
      <c r="B19" s="605"/>
      <c r="C19" s="605"/>
      <c r="D19" s="613"/>
      <c r="E19" s="614"/>
      <c r="F19" s="614"/>
      <c r="G19" s="279" t="s">
        <v>249</v>
      </c>
      <c r="H19" s="280"/>
      <c r="I19" s="281"/>
      <c r="J19" s="282"/>
      <c r="K19" s="282"/>
      <c r="L19" s="282"/>
      <c r="M19" s="283"/>
      <c r="N19" s="284"/>
      <c r="O19" s="285"/>
      <c r="P19" s="285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1"/>
      <c r="AJ19" s="282"/>
      <c r="AK19" s="281"/>
      <c r="AL19" s="286"/>
      <c r="AM19" s="587"/>
      <c r="AN19" s="587"/>
      <c r="AO19" s="587"/>
      <c r="AP19" s="587"/>
    </row>
    <row r="20" spans="2:42" s="230" customFormat="1" ht="18.95" customHeight="1">
      <c r="B20" s="603" t="s">
        <v>265</v>
      </c>
      <c r="C20" s="624" t="s">
        <v>266</v>
      </c>
      <c r="D20" s="625" t="s">
        <v>267</v>
      </c>
      <c r="E20" s="626"/>
      <c r="F20" s="626"/>
      <c r="G20" s="239" t="s">
        <v>257</v>
      </c>
      <c r="H20" s="246" t="s">
        <v>268</v>
      </c>
      <c r="I20" s="246"/>
      <c r="J20" s="246"/>
      <c r="K20" s="241"/>
      <c r="L20" s="241" t="s">
        <v>269</v>
      </c>
      <c r="M20" s="287"/>
      <c r="N20" s="288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1"/>
      <c r="AK20" s="289"/>
      <c r="AL20" s="247"/>
      <c r="AM20" s="618"/>
      <c r="AN20" s="618"/>
      <c r="AO20" s="618"/>
      <c r="AP20" s="618"/>
    </row>
    <row r="21" spans="2:42" s="230" customFormat="1" ht="18.95" customHeight="1">
      <c r="B21" s="623"/>
      <c r="C21" s="624"/>
      <c r="D21" s="625"/>
      <c r="E21" s="627"/>
      <c r="F21" s="627"/>
      <c r="G21" s="222" t="s">
        <v>270</v>
      </c>
      <c r="H21" s="223"/>
      <c r="I21" s="226"/>
      <c r="J21" s="225"/>
      <c r="K21" s="225"/>
      <c r="L21" s="225"/>
      <c r="M21" s="290"/>
      <c r="N21" s="291"/>
      <c r="O21" s="228"/>
      <c r="P21" s="225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6"/>
      <c r="AJ21" s="225"/>
      <c r="AK21" s="226"/>
      <c r="AL21" s="229"/>
      <c r="AM21" s="587"/>
      <c r="AN21" s="587"/>
      <c r="AO21" s="587"/>
      <c r="AP21" s="587"/>
    </row>
    <row r="22" spans="2:42" s="230" customFormat="1" ht="18.95" customHeight="1">
      <c r="B22" s="620" t="s">
        <v>271</v>
      </c>
      <c r="C22" s="624" t="s">
        <v>266</v>
      </c>
      <c r="D22" s="625" t="s">
        <v>272</v>
      </c>
      <c r="E22" s="626"/>
      <c r="F22" s="626"/>
      <c r="G22" s="292" t="s">
        <v>257</v>
      </c>
      <c r="H22" s="293"/>
      <c r="I22" s="293" t="s">
        <v>273</v>
      </c>
      <c r="J22" s="293"/>
      <c r="K22" s="294"/>
      <c r="L22" s="294"/>
      <c r="M22" s="295"/>
      <c r="N22" s="296"/>
      <c r="O22" s="293"/>
      <c r="P22" s="293"/>
      <c r="Q22" s="293" t="s">
        <v>274</v>
      </c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293"/>
      <c r="AH22" s="293"/>
      <c r="AI22" s="294"/>
      <c r="AJ22" s="294"/>
      <c r="AK22" s="297"/>
      <c r="AL22" s="298"/>
      <c r="AM22" s="567"/>
      <c r="AN22" s="567"/>
      <c r="AO22" s="567"/>
      <c r="AP22" s="567"/>
    </row>
    <row r="23" spans="2:42" s="230" customFormat="1" ht="18.95" customHeight="1">
      <c r="B23" s="605"/>
      <c r="C23" s="624"/>
      <c r="D23" s="625"/>
      <c r="E23" s="627"/>
      <c r="F23" s="627"/>
      <c r="G23" s="279" t="s">
        <v>270</v>
      </c>
      <c r="H23" s="280"/>
      <c r="I23" s="281"/>
      <c r="J23" s="282"/>
      <c r="K23" s="282"/>
      <c r="L23" s="282"/>
      <c r="M23" s="283"/>
      <c r="N23" s="299"/>
      <c r="O23" s="285"/>
      <c r="P23" s="282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1"/>
      <c r="AJ23" s="282"/>
      <c r="AK23" s="281"/>
      <c r="AL23" s="286"/>
      <c r="AM23" s="619"/>
      <c r="AN23" s="619"/>
      <c r="AO23" s="619"/>
      <c r="AP23" s="619"/>
    </row>
    <row r="24" spans="2:42" s="230" customFormat="1" ht="18.95" customHeight="1">
      <c r="B24" s="620" t="s">
        <v>275</v>
      </c>
      <c r="C24" s="620" t="s">
        <v>266</v>
      </c>
      <c r="D24" s="628" t="s">
        <v>276</v>
      </c>
      <c r="E24" s="622"/>
      <c r="F24" s="622"/>
      <c r="G24" s="239" t="s">
        <v>252</v>
      </c>
      <c r="H24" s="241" t="s">
        <v>277</v>
      </c>
      <c r="I24" s="241"/>
      <c r="J24" s="241"/>
      <c r="K24" s="241"/>
      <c r="L24" s="241"/>
      <c r="M24" s="242"/>
      <c r="N24" s="243"/>
      <c r="O24" s="246"/>
      <c r="P24" s="246"/>
      <c r="Q24" s="241" t="s">
        <v>278</v>
      </c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0"/>
      <c r="AJ24" s="289"/>
      <c r="AK24" s="240"/>
      <c r="AL24" s="247"/>
      <c r="AM24" s="567"/>
      <c r="AN24" s="567"/>
      <c r="AO24" s="567"/>
      <c r="AP24" s="567"/>
    </row>
    <row r="25" spans="2:42" s="230" customFormat="1" ht="18.95" customHeight="1">
      <c r="B25" s="604"/>
      <c r="C25" s="604"/>
      <c r="D25" s="607"/>
      <c r="E25" s="609"/>
      <c r="F25" s="609"/>
      <c r="G25" s="248" t="s">
        <v>249</v>
      </c>
      <c r="H25" s="249"/>
      <c r="I25" s="251"/>
      <c r="J25" s="251"/>
      <c r="K25" s="251"/>
      <c r="L25" s="251"/>
      <c r="M25" s="252"/>
      <c r="N25" s="276"/>
      <c r="O25" s="254"/>
      <c r="P25" s="254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0"/>
      <c r="AJ25" s="251"/>
      <c r="AK25" s="250"/>
      <c r="AL25" s="255"/>
      <c r="AM25" s="583"/>
      <c r="AN25" s="583"/>
      <c r="AO25" s="583"/>
      <c r="AP25" s="583"/>
    </row>
    <row r="26" spans="2:42" s="230" customFormat="1" ht="18.95" customHeight="1">
      <c r="B26" s="604"/>
      <c r="C26" s="604" t="s">
        <v>255</v>
      </c>
      <c r="D26" s="607" t="s">
        <v>276</v>
      </c>
      <c r="E26" s="609"/>
      <c r="F26" s="609"/>
      <c r="G26" s="256" t="s">
        <v>257</v>
      </c>
      <c r="H26" s="259"/>
      <c r="I26" s="259"/>
      <c r="J26" s="259"/>
      <c r="K26" s="259"/>
      <c r="L26" s="236" t="s">
        <v>279</v>
      </c>
      <c r="M26" s="260"/>
      <c r="N26" s="277"/>
      <c r="O26" s="300"/>
      <c r="P26" s="258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8" t="s">
        <v>280</v>
      </c>
      <c r="AJ26" s="258"/>
      <c r="AK26" s="258"/>
      <c r="AL26" s="278"/>
      <c r="AM26" s="618"/>
      <c r="AN26" s="618"/>
      <c r="AO26" s="618"/>
      <c r="AP26" s="618"/>
    </row>
    <row r="27" spans="2:42" s="230" customFormat="1" ht="18.95" customHeight="1">
      <c r="B27" s="605"/>
      <c r="C27" s="605"/>
      <c r="D27" s="613"/>
      <c r="E27" s="614"/>
      <c r="F27" s="614"/>
      <c r="G27" s="262" t="s">
        <v>259</v>
      </c>
      <c r="H27" s="301"/>
      <c r="I27" s="265"/>
      <c r="J27" s="265"/>
      <c r="K27" s="265"/>
      <c r="L27" s="265"/>
      <c r="M27" s="266"/>
      <c r="N27" s="302"/>
      <c r="O27" s="263"/>
      <c r="P27" s="263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4"/>
      <c r="AJ27" s="265"/>
      <c r="AK27" s="264"/>
      <c r="AL27" s="268"/>
      <c r="AM27" s="619"/>
      <c r="AN27" s="619"/>
      <c r="AO27" s="619"/>
      <c r="AP27" s="619"/>
    </row>
    <row r="28" spans="2:42" s="230" customFormat="1" ht="18.95" customHeight="1">
      <c r="B28" s="620" t="s">
        <v>281</v>
      </c>
      <c r="C28" s="624" t="s">
        <v>266</v>
      </c>
      <c r="D28" s="625" t="s">
        <v>282</v>
      </c>
      <c r="E28" s="626"/>
      <c r="F28" s="626"/>
      <c r="G28" s="269" t="s">
        <v>257</v>
      </c>
      <c r="H28" s="270"/>
      <c r="I28" s="270"/>
      <c r="J28" s="270"/>
      <c r="K28" s="271"/>
      <c r="L28" s="270"/>
      <c r="M28" s="270" t="s">
        <v>283</v>
      </c>
      <c r="N28" s="303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1"/>
      <c r="AK28" s="271"/>
      <c r="AL28" s="275"/>
      <c r="AM28" s="567"/>
      <c r="AN28" s="567"/>
      <c r="AO28" s="567"/>
      <c r="AP28" s="567"/>
    </row>
    <row r="29" spans="2:42" s="230" customFormat="1" ht="18.95" customHeight="1">
      <c r="B29" s="605"/>
      <c r="C29" s="624"/>
      <c r="D29" s="625"/>
      <c r="E29" s="627"/>
      <c r="F29" s="627"/>
      <c r="G29" s="304" t="s">
        <v>270</v>
      </c>
      <c r="H29" s="305"/>
      <c r="I29" s="306"/>
      <c r="J29" s="307"/>
      <c r="K29" s="307"/>
      <c r="L29" s="307"/>
      <c r="M29" s="308"/>
      <c r="N29" s="309"/>
      <c r="O29" s="310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7"/>
      <c r="AH29" s="307"/>
      <c r="AI29" s="311"/>
      <c r="AJ29" s="307"/>
      <c r="AK29" s="311"/>
      <c r="AL29" s="312"/>
      <c r="AM29" s="587"/>
      <c r="AN29" s="587"/>
      <c r="AO29" s="587"/>
      <c r="AP29" s="587"/>
    </row>
    <row r="30" spans="2:42" s="230" customFormat="1" ht="18.95" customHeight="1">
      <c r="B30" s="603" t="s">
        <v>284</v>
      </c>
      <c r="C30" s="629" t="s">
        <v>285</v>
      </c>
      <c r="D30" s="625" t="s">
        <v>286</v>
      </c>
      <c r="E30" s="626"/>
      <c r="F30" s="626"/>
      <c r="G30" s="222" t="s">
        <v>246</v>
      </c>
      <c r="H30" s="223"/>
      <c r="I30" s="224"/>
      <c r="J30" s="225"/>
      <c r="K30" s="226"/>
      <c r="L30" s="226"/>
      <c r="M30" s="290"/>
      <c r="N30" s="227" t="s">
        <v>287</v>
      </c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5"/>
      <c r="AJ30" s="225"/>
      <c r="AK30" s="226"/>
      <c r="AL30" s="229"/>
      <c r="AM30" s="567"/>
      <c r="AN30" s="567"/>
      <c r="AO30" s="567"/>
      <c r="AP30" s="567"/>
    </row>
    <row r="31" spans="2:42" s="230" customFormat="1" ht="18.95" customHeight="1">
      <c r="B31" s="623"/>
      <c r="C31" s="624"/>
      <c r="D31" s="625"/>
      <c r="E31" s="627"/>
      <c r="F31" s="627"/>
      <c r="G31" s="262" t="s">
        <v>249</v>
      </c>
      <c r="H31" s="301"/>
      <c r="I31" s="313"/>
      <c r="J31" s="265"/>
      <c r="K31" s="265"/>
      <c r="L31" s="265"/>
      <c r="M31" s="266"/>
      <c r="N31" s="302"/>
      <c r="O31" s="263"/>
      <c r="P31" s="263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4"/>
      <c r="AJ31" s="265"/>
      <c r="AK31" s="264"/>
      <c r="AL31" s="268"/>
      <c r="AM31" s="619"/>
      <c r="AN31" s="619"/>
      <c r="AO31" s="619"/>
      <c r="AP31" s="619"/>
    </row>
    <row r="32" spans="2:42" s="230" customFormat="1" ht="18.95" customHeight="1">
      <c r="B32" s="620" t="s">
        <v>288</v>
      </c>
      <c r="C32" s="629" t="s">
        <v>289</v>
      </c>
      <c r="D32" s="625" t="s">
        <v>290</v>
      </c>
      <c r="E32" s="626"/>
      <c r="F32" s="626"/>
      <c r="G32" s="269" t="s">
        <v>246</v>
      </c>
      <c r="H32" s="314" t="s">
        <v>291</v>
      </c>
      <c r="I32" s="274"/>
      <c r="J32" s="271"/>
      <c r="K32" s="271"/>
      <c r="L32" s="271"/>
      <c r="M32" s="272"/>
      <c r="N32" s="315"/>
      <c r="O32" s="274"/>
      <c r="P32" s="270"/>
      <c r="Q32" s="274" t="s">
        <v>292</v>
      </c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1"/>
      <c r="AK32" s="316"/>
      <c r="AL32" s="275"/>
      <c r="AM32" s="567"/>
      <c r="AN32" s="567"/>
      <c r="AO32" s="567"/>
      <c r="AP32" s="567"/>
    </row>
    <row r="33" spans="2:42" s="230" customFormat="1" ht="18.95" customHeight="1">
      <c r="B33" s="605"/>
      <c r="C33" s="624"/>
      <c r="D33" s="625"/>
      <c r="E33" s="627"/>
      <c r="F33" s="627"/>
      <c r="G33" s="304" t="s">
        <v>249</v>
      </c>
      <c r="H33" s="305"/>
      <c r="I33" s="306"/>
      <c r="J33" s="307"/>
      <c r="K33" s="307"/>
      <c r="L33" s="307"/>
      <c r="M33" s="308"/>
      <c r="N33" s="309"/>
      <c r="O33" s="310"/>
      <c r="P33" s="310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7"/>
      <c r="AH33" s="307"/>
      <c r="AI33" s="311"/>
      <c r="AJ33" s="307"/>
      <c r="AK33" s="311"/>
      <c r="AL33" s="312"/>
      <c r="AM33" s="587"/>
      <c r="AN33" s="587"/>
      <c r="AO33" s="587"/>
      <c r="AP33" s="587"/>
    </row>
    <row r="34" spans="2:42" s="230" customFormat="1" ht="18.95" customHeight="1">
      <c r="B34" s="603" t="s">
        <v>59</v>
      </c>
      <c r="C34" s="624" t="s">
        <v>293</v>
      </c>
      <c r="D34" s="625" t="s">
        <v>294</v>
      </c>
      <c r="E34" s="626"/>
      <c r="F34" s="626"/>
      <c r="G34" s="222" t="s">
        <v>257</v>
      </c>
      <c r="H34" s="223"/>
      <c r="I34" s="226"/>
      <c r="J34" s="226"/>
      <c r="K34" s="226"/>
      <c r="L34" s="226" t="s">
        <v>295</v>
      </c>
      <c r="M34" s="317"/>
      <c r="N34" s="318"/>
      <c r="O34" s="319"/>
      <c r="P34" s="319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4"/>
      <c r="AK34" s="224"/>
      <c r="AL34" s="229"/>
      <c r="AM34" s="567"/>
      <c r="AN34" s="567"/>
      <c r="AO34" s="567"/>
      <c r="AP34" s="567"/>
    </row>
    <row r="35" spans="2:42" s="230" customFormat="1" ht="18.95" customHeight="1">
      <c r="B35" s="605"/>
      <c r="C35" s="624"/>
      <c r="D35" s="625"/>
      <c r="E35" s="627"/>
      <c r="F35" s="627"/>
      <c r="G35" s="279" t="s">
        <v>259</v>
      </c>
      <c r="H35" s="320"/>
      <c r="I35" s="281"/>
      <c r="J35" s="281"/>
      <c r="K35" s="282"/>
      <c r="L35" s="282"/>
      <c r="M35" s="283"/>
      <c r="N35" s="284"/>
      <c r="O35" s="321"/>
      <c r="P35" s="32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322"/>
      <c r="AL35" s="286"/>
      <c r="AM35" s="587"/>
      <c r="AN35" s="587"/>
      <c r="AO35" s="587"/>
      <c r="AP35" s="587"/>
    </row>
    <row r="36" spans="2:42" s="230" customFormat="1" ht="18.95" customHeight="1">
      <c r="B36" s="620" t="s">
        <v>143</v>
      </c>
      <c r="C36" s="624" t="s">
        <v>296</v>
      </c>
      <c r="D36" s="625" t="s">
        <v>297</v>
      </c>
      <c r="E36" s="626"/>
      <c r="F36" s="626"/>
      <c r="G36" s="269" t="s">
        <v>257</v>
      </c>
      <c r="H36" s="323"/>
      <c r="I36" s="316"/>
      <c r="J36" s="316"/>
      <c r="K36" s="316"/>
      <c r="L36" s="274" t="s">
        <v>298</v>
      </c>
      <c r="M36" s="324"/>
      <c r="N36" s="315"/>
      <c r="O36" s="325"/>
      <c r="P36" s="325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274"/>
      <c r="AK36" s="274"/>
      <c r="AL36" s="275"/>
      <c r="AM36" s="567"/>
      <c r="AN36" s="567"/>
      <c r="AO36" s="567"/>
      <c r="AP36" s="567"/>
    </row>
    <row r="37" spans="2:42" s="230" customFormat="1" ht="18.95" customHeight="1">
      <c r="B37" s="605"/>
      <c r="C37" s="624"/>
      <c r="D37" s="625"/>
      <c r="E37" s="627"/>
      <c r="F37" s="627"/>
      <c r="G37" s="304" t="s">
        <v>249</v>
      </c>
      <c r="H37" s="326"/>
      <c r="I37" s="311"/>
      <c r="J37" s="311"/>
      <c r="K37" s="307"/>
      <c r="L37" s="307"/>
      <c r="M37" s="308"/>
      <c r="N37" s="309"/>
      <c r="O37" s="327"/>
      <c r="P37" s="327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28"/>
      <c r="AL37" s="312"/>
      <c r="AM37" s="587"/>
      <c r="AN37" s="587"/>
      <c r="AO37" s="587"/>
      <c r="AP37" s="587"/>
    </row>
    <row r="38" spans="2:42" s="230" customFormat="1" ht="36" customHeight="1">
      <c r="B38" s="630" t="s">
        <v>299</v>
      </c>
      <c r="C38" s="631"/>
      <c r="D38" s="632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  <c r="AA38" s="633"/>
      <c r="AB38" s="633"/>
      <c r="AC38" s="633"/>
      <c r="AD38" s="633"/>
      <c r="AE38" s="633"/>
      <c r="AF38" s="633"/>
      <c r="AG38" s="633"/>
      <c r="AH38" s="633"/>
      <c r="AI38" s="633"/>
      <c r="AJ38" s="633"/>
      <c r="AK38" s="633"/>
      <c r="AL38" s="633"/>
      <c r="AM38" s="633"/>
      <c r="AN38" s="633"/>
      <c r="AO38" s="633"/>
      <c r="AP38" s="634"/>
    </row>
    <row r="39" spans="2:42" s="230" customFormat="1" ht="3" customHeight="1">
      <c r="B39" s="139"/>
      <c r="G39" s="329"/>
    </row>
  </sheetData>
  <mergeCells count="145">
    <mergeCell ref="AO36:AP36"/>
    <mergeCell ref="AM37:AN37"/>
    <mergeCell ref="AO37:AP37"/>
    <mergeCell ref="B38:C38"/>
    <mergeCell ref="D38:AP38"/>
    <mergeCell ref="B36:B37"/>
    <mergeCell ref="C36:C37"/>
    <mergeCell ref="D36:D37"/>
    <mergeCell ref="E36:E37"/>
    <mergeCell ref="F36:F37"/>
    <mergeCell ref="AM36:AN36"/>
    <mergeCell ref="B34:B35"/>
    <mergeCell ref="C34:C35"/>
    <mergeCell ref="D34:D35"/>
    <mergeCell ref="E34:E35"/>
    <mergeCell ref="F34:F35"/>
    <mergeCell ref="AM34:AN34"/>
    <mergeCell ref="AO34:AP34"/>
    <mergeCell ref="AM35:AN35"/>
    <mergeCell ref="AO35:AP35"/>
    <mergeCell ref="B32:B33"/>
    <mergeCell ref="C32:C33"/>
    <mergeCell ref="D32:D33"/>
    <mergeCell ref="E32:E33"/>
    <mergeCell ref="F32:F33"/>
    <mergeCell ref="AM32:AN32"/>
    <mergeCell ref="AO32:AP32"/>
    <mergeCell ref="AM33:AN33"/>
    <mergeCell ref="AO33:AP33"/>
    <mergeCell ref="AO26:AP26"/>
    <mergeCell ref="AM27:AN27"/>
    <mergeCell ref="AO27:AP27"/>
    <mergeCell ref="AO28:AP28"/>
    <mergeCell ref="AM29:AN29"/>
    <mergeCell ref="AO29:AP29"/>
    <mergeCell ref="B30:B31"/>
    <mergeCell ref="C30:C31"/>
    <mergeCell ref="D30:D31"/>
    <mergeCell ref="E30:E31"/>
    <mergeCell ref="F30:F31"/>
    <mergeCell ref="AM30:AN30"/>
    <mergeCell ref="AO30:AP30"/>
    <mergeCell ref="B28:B29"/>
    <mergeCell ref="C28:C29"/>
    <mergeCell ref="D28:D29"/>
    <mergeCell ref="E28:E29"/>
    <mergeCell ref="F28:F29"/>
    <mergeCell ref="AM28:AN28"/>
    <mergeCell ref="AM31:AN31"/>
    <mergeCell ref="AO31:AP31"/>
    <mergeCell ref="B16:B19"/>
    <mergeCell ref="AO22:AP22"/>
    <mergeCell ref="AM23:AN23"/>
    <mergeCell ref="AO23:AP23"/>
    <mergeCell ref="B24:B27"/>
    <mergeCell ref="C24:C25"/>
    <mergeCell ref="D24:D25"/>
    <mergeCell ref="E24:E25"/>
    <mergeCell ref="F24:F25"/>
    <mergeCell ref="AM24:AN24"/>
    <mergeCell ref="AO24:AP24"/>
    <mergeCell ref="B22:B23"/>
    <mergeCell ref="C22:C23"/>
    <mergeCell ref="D22:D23"/>
    <mergeCell ref="E22:E23"/>
    <mergeCell ref="F22:F23"/>
    <mergeCell ref="AM22:AN22"/>
    <mergeCell ref="AM25:AN25"/>
    <mergeCell ref="AO25:AP25"/>
    <mergeCell ref="C26:C27"/>
    <mergeCell ref="D26:D27"/>
    <mergeCell ref="E26:E27"/>
    <mergeCell ref="F26:F27"/>
    <mergeCell ref="AM26:AN26"/>
    <mergeCell ref="B20:B21"/>
    <mergeCell ref="C20:C21"/>
    <mergeCell ref="D20:D21"/>
    <mergeCell ref="E20:E21"/>
    <mergeCell ref="F20:F21"/>
    <mergeCell ref="AM20:AN20"/>
    <mergeCell ref="AO20:AP20"/>
    <mergeCell ref="AM21:AN21"/>
    <mergeCell ref="AO21:AP21"/>
    <mergeCell ref="AO16:AP16"/>
    <mergeCell ref="AM17:AN17"/>
    <mergeCell ref="AO17:AP17"/>
    <mergeCell ref="C18:C19"/>
    <mergeCell ref="D18:D19"/>
    <mergeCell ref="E18:E19"/>
    <mergeCell ref="F18:F19"/>
    <mergeCell ref="AM18:AN18"/>
    <mergeCell ref="AO18:AP18"/>
    <mergeCell ref="AM19:AN19"/>
    <mergeCell ref="C16:C17"/>
    <mergeCell ref="D16:D17"/>
    <mergeCell ref="E16:E17"/>
    <mergeCell ref="F16:F17"/>
    <mergeCell ref="AM16:AN16"/>
    <mergeCell ref="AO19:AP19"/>
    <mergeCell ref="AO12:AP12"/>
    <mergeCell ref="AM13:AN13"/>
    <mergeCell ref="AO13:AP13"/>
    <mergeCell ref="C14:C15"/>
    <mergeCell ref="D14:D15"/>
    <mergeCell ref="E14:E15"/>
    <mergeCell ref="F14:F15"/>
    <mergeCell ref="O14:AL14"/>
    <mergeCell ref="AM14:AN14"/>
    <mergeCell ref="AO14:AP14"/>
    <mergeCell ref="AM15:AN15"/>
    <mergeCell ref="AO15:AP15"/>
    <mergeCell ref="B10:B15"/>
    <mergeCell ref="C10:C11"/>
    <mergeCell ref="D10:D11"/>
    <mergeCell ref="E10:E11"/>
    <mergeCell ref="F10:F11"/>
    <mergeCell ref="AM10:AN10"/>
    <mergeCell ref="AI5:AP5"/>
    <mergeCell ref="B7:B9"/>
    <mergeCell ref="C7:C9"/>
    <mergeCell ref="D7:D9"/>
    <mergeCell ref="E7:E9"/>
    <mergeCell ref="F7:F9"/>
    <mergeCell ref="G7:G9"/>
    <mergeCell ref="H7:AL7"/>
    <mergeCell ref="AM7:AN9"/>
    <mergeCell ref="AO7:AP9"/>
    <mergeCell ref="AO10:AP10"/>
    <mergeCell ref="AM11:AN11"/>
    <mergeCell ref="AO11:AP11"/>
    <mergeCell ref="C12:C13"/>
    <mergeCell ref="D12:D13"/>
    <mergeCell ref="E12:E13"/>
    <mergeCell ref="F12:F13"/>
    <mergeCell ref="AM12:AN12"/>
    <mergeCell ref="B2:C3"/>
    <mergeCell ref="D2:Z5"/>
    <mergeCell ref="AA2:AE2"/>
    <mergeCell ref="AF2:AJ2"/>
    <mergeCell ref="AK2:AP2"/>
    <mergeCell ref="AA3:AE4"/>
    <mergeCell ref="AF3:AJ4"/>
    <mergeCell ref="AK3:AP4"/>
    <mergeCell ref="B4:C5"/>
    <mergeCell ref="AA5:AH5"/>
  </mergeCells>
  <phoneticPr fontId="4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63" fitToHeight="0" orientation="landscape" r:id="rId1"/>
  <headerFooter>
    <oddFooter xml:space="preserve">&amp;L※ 본 양식은 단지 참조용으로 제시된 것이며 별도의 서식을 사용할 수 있음.&amp;RQA-8.6-2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35"/>
  <sheetViews>
    <sheetView showGridLines="0" view="pageBreakPreview" zoomScaleNormal="55" zoomScaleSheetLayoutView="100" workbookViewId="0">
      <selection activeCell="Y29" sqref="Y29"/>
    </sheetView>
  </sheetViews>
  <sheetFormatPr defaultColWidth="9" defaultRowHeight="20.100000000000001" customHeight="1"/>
  <cols>
    <col min="1" max="2" width="14.625" style="146" customWidth="1"/>
    <col min="3" max="3" width="25.625" style="146" customWidth="1"/>
    <col min="4" max="4" width="7.625" style="146" customWidth="1"/>
    <col min="5" max="5" width="12.625" style="147" customWidth="1"/>
    <col min="6" max="6" width="6.625" style="147" customWidth="1"/>
    <col min="7" max="23" width="5.625" style="146" customWidth="1"/>
    <col min="24" max="16384" width="9" style="146"/>
  </cols>
  <sheetData>
    <row r="1" spans="1:23" ht="30" customHeight="1">
      <c r="A1" s="435"/>
      <c r="B1" s="435"/>
      <c r="C1" s="635" t="s">
        <v>300</v>
      </c>
      <c r="D1" s="636"/>
      <c r="E1" s="636"/>
      <c r="F1" s="636"/>
      <c r="G1" s="636"/>
      <c r="H1" s="636"/>
      <c r="I1" s="636"/>
      <c r="J1" s="636"/>
      <c r="K1" s="637"/>
      <c r="L1" s="535" t="s">
        <v>198</v>
      </c>
      <c r="M1" s="535"/>
      <c r="N1" s="535"/>
      <c r="O1" s="535"/>
      <c r="P1" s="535" t="s">
        <v>235</v>
      </c>
      <c r="Q1" s="535"/>
      <c r="R1" s="535"/>
      <c r="S1" s="535"/>
      <c r="T1" s="535" t="s">
        <v>200</v>
      </c>
      <c r="U1" s="535"/>
      <c r="V1" s="535"/>
      <c r="W1" s="535"/>
    </row>
    <row r="2" spans="1:23" ht="30" customHeight="1">
      <c r="A2" s="435"/>
      <c r="B2" s="435"/>
      <c r="C2" s="638"/>
      <c r="D2" s="639"/>
      <c r="E2" s="639"/>
      <c r="F2" s="639"/>
      <c r="G2" s="639"/>
      <c r="H2" s="639"/>
      <c r="I2" s="639"/>
      <c r="J2" s="639"/>
      <c r="K2" s="640"/>
      <c r="L2" s="644"/>
      <c r="M2" s="645"/>
      <c r="N2" s="645"/>
      <c r="O2" s="646"/>
      <c r="P2" s="535"/>
      <c r="Q2" s="535"/>
      <c r="R2" s="535"/>
      <c r="S2" s="535"/>
      <c r="T2" s="535"/>
      <c r="U2" s="535"/>
      <c r="V2" s="535"/>
      <c r="W2" s="535"/>
    </row>
    <row r="3" spans="1:23" ht="30" customHeight="1">
      <c r="A3" s="536" t="s">
        <v>301</v>
      </c>
      <c r="B3" s="536"/>
      <c r="C3" s="638"/>
      <c r="D3" s="639"/>
      <c r="E3" s="639"/>
      <c r="F3" s="639"/>
      <c r="G3" s="639"/>
      <c r="H3" s="639"/>
      <c r="I3" s="639"/>
      <c r="J3" s="639"/>
      <c r="K3" s="640"/>
      <c r="L3" s="647"/>
      <c r="M3" s="648"/>
      <c r="N3" s="648"/>
      <c r="O3" s="649"/>
      <c r="P3" s="535"/>
      <c r="Q3" s="535"/>
      <c r="R3" s="535"/>
      <c r="S3" s="535"/>
      <c r="T3" s="535"/>
      <c r="U3" s="535"/>
      <c r="V3" s="535"/>
      <c r="W3" s="535"/>
    </row>
    <row r="4" spans="1:23" ht="30" customHeight="1">
      <c r="A4" s="536"/>
      <c r="B4" s="536"/>
      <c r="C4" s="641"/>
      <c r="D4" s="642"/>
      <c r="E4" s="642"/>
      <c r="F4" s="642"/>
      <c r="G4" s="642"/>
      <c r="H4" s="642"/>
      <c r="I4" s="642"/>
      <c r="J4" s="642"/>
      <c r="K4" s="643"/>
      <c r="L4" s="650" t="s">
        <v>302</v>
      </c>
      <c r="M4" s="651"/>
      <c r="N4" s="651"/>
      <c r="O4" s="651"/>
      <c r="P4" s="651"/>
      <c r="Q4" s="652"/>
      <c r="R4" s="540" t="s">
        <v>303</v>
      </c>
      <c r="S4" s="541"/>
      <c r="T4" s="541"/>
      <c r="U4" s="541"/>
      <c r="V4" s="541"/>
      <c r="W4" s="542"/>
    </row>
    <row r="5" spans="1:23" s="150" customFormat="1" ht="9.9499999999999993" customHeight="1">
      <c r="A5" s="148"/>
      <c r="B5" s="149"/>
      <c r="E5" s="151"/>
      <c r="F5" s="151"/>
      <c r="W5" s="330"/>
    </row>
    <row r="6" spans="1:23" s="149" customFormat="1" ht="20.100000000000001" customHeight="1">
      <c r="A6" s="543" t="s">
        <v>202</v>
      </c>
      <c r="B6" s="543" t="s">
        <v>304</v>
      </c>
      <c r="C6" s="543" t="s">
        <v>305</v>
      </c>
      <c r="D6" s="543" t="s">
        <v>238</v>
      </c>
      <c r="E6" s="545" t="s">
        <v>306</v>
      </c>
      <c r="F6" s="546" t="s">
        <v>207</v>
      </c>
      <c r="G6" s="655" t="s">
        <v>307</v>
      </c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7" t="s">
        <v>209</v>
      </c>
      <c r="V6" s="658"/>
      <c r="W6" s="552" t="s">
        <v>308</v>
      </c>
    </row>
    <row r="7" spans="1:23" s="149" customFormat="1" ht="20.100000000000001" customHeight="1">
      <c r="A7" s="653"/>
      <c r="B7" s="653"/>
      <c r="C7" s="653"/>
      <c r="D7" s="653"/>
      <c r="E7" s="654"/>
      <c r="F7" s="547"/>
      <c r="G7" s="655" t="s">
        <v>309</v>
      </c>
      <c r="H7" s="663"/>
      <c r="I7" s="663"/>
      <c r="J7" s="663"/>
      <c r="K7" s="663"/>
      <c r="L7" s="663"/>
      <c r="M7" s="663"/>
      <c r="N7" s="550" t="s">
        <v>310</v>
      </c>
      <c r="O7" s="663"/>
      <c r="P7" s="663"/>
      <c r="Q7" s="663"/>
      <c r="R7" s="663"/>
      <c r="S7" s="663"/>
      <c r="T7" s="663"/>
      <c r="U7" s="659"/>
      <c r="V7" s="660"/>
      <c r="W7" s="554"/>
    </row>
    <row r="8" spans="1:23" s="149" customFormat="1" ht="20.100000000000001" customHeight="1">
      <c r="A8" s="543"/>
      <c r="B8" s="543"/>
      <c r="C8" s="543"/>
      <c r="D8" s="543"/>
      <c r="E8" s="543"/>
      <c r="F8" s="547"/>
      <c r="G8" s="153">
        <v>1</v>
      </c>
      <c r="H8" s="154">
        <v>2</v>
      </c>
      <c r="I8" s="154">
        <v>3</v>
      </c>
      <c r="J8" s="154">
        <v>4</v>
      </c>
      <c r="K8" s="154">
        <v>5</v>
      </c>
      <c r="L8" s="154">
        <v>6</v>
      </c>
      <c r="M8" s="155">
        <v>7</v>
      </c>
      <c r="N8" s="331">
        <v>8</v>
      </c>
      <c r="O8" s="154">
        <v>9</v>
      </c>
      <c r="P8" s="154">
        <v>10</v>
      </c>
      <c r="Q8" s="154">
        <v>11</v>
      </c>
      <c r="R8" s="154">
        <v>12</v>
      </c>
      <c r="S8" s="154">
        <v>13</v>
      </c>
      <c r="T8" s="155">
        <v>14</v>
      </c>
      <c r="U8" s="659"/>
      <c r="V8" s="660"/>
      <c r="W8" s="554"/>
    </row>
    <row r="9" spans="1:23" s="149" customFormat="1" ht="20.100000000000001" customHeight="1" thickBot="1">
      <c r="A9" s="544"/>
      <c r="B9" s="544"/>
      <c r="C9" s="544"/>
      <c r="D9" s="544"/>
      <c r="E9" s="544"/>
      <c r="F9" s="548"/>
      <c r="G9" s="156" t="s">
        <v>311</v>
      </c>
      <c r="H9" s="157" t="s">
        <v>312</v>
      </c>
      <c r="I9" s="157" t="s">
        <v>313</v>
      </c>
      <c r="J9" s="157" t="s">
        <v>213</v>
      </c>
      <c r="K9" s="157" t="s">
        <v>214</v>
      </c>
      <c r="L9" s="157" t="s">
        <v>215</v>
      </c>
      <c r="M9" s="158" t="s">
        <v>216</v>
      </c>
      <c r="N9" s="332" t="s">
        <v>217</v>
      </c>
      <c r="O9" s="157" t="s">
        <v>218</v>
      </c>
      <c r="P9" s="157" t="s">
        <v>219</v>
      </c>
      <c r="Q9" s="157" t="s">
        <v>213</v>
      </c>
      <c r="R9" s="157" t="s">
        <v>214</v>
      </c>
      <c r="S9" s="157" t="s">
        <v>215</v>
      </c>
      <c r="T9" s="158" t="s">
        <v>216</v>
      </c>
      <c r="U9" s="661"/>
      <c r="V9" s="662"/>
      <c r="W9" s="556"/>
    </row>
    <row r="10" spans="1:23" ht="18.95" customHeight="1" thickTop="1">
      <c r="A10" s="577" t="s">
        <v>221</v>
      </c>
      <c r="B10" s="579"/>
      <c r="C10" s="581"/>
      <c r="D10" s="582"/>
      <c r="E10" s="582"/>
      <c r="F10" s="159" t="s">
        <v>224</v>
      </c>
      <c r="G10" s="160"/>
      <c r="H10" s="161"/>
      <c r="I10" s="162"/>
      <c r="J10" s="163"/>
      <c r="K10" s="164"/>
      <c r="L10" s="162"/>
      <c r="M10" s="333"/>
      <c r="N10" s="334"/>
      <c r="O10" s="165"/>
      <c r="P10" s="166"/>
      <c r="Q10" s="161"/>
      <c r="R10" s="162"/>
      <c r="S10" s="161"/>
      <c r="T10" s="160"/>
      <c r="U10" s="664"/>
      <c r="V10" s="664"/>
      <c r="W10" s="335"/>
    </row>
    <row r="11" spans="1:23" ht="18.95" customHeight="1">
      <c r="A11" s="578"/>
      <c r="B11" s="580"/>
      <c r="C11" s="561"/>
      <c r="D11" s="573"/>
      <c r="E11" s="573"/>
      <c r="F11" s="168" t="s">
        <v>223</v>
      </c>
      <c r="G11" s="169"/>
      <c r="H11" s="170"/>
      <c r="I11" s="171"/>
      <c r="J11" s="172"/>
      <c r="K11" s="173"/>
      <c r="L11" s="171"/>
      <c r="M11" s="336"/>
      <c r="N11" s="337"/>
      <c r="O11" s="170"/>
      <c r="P11" s="171"/>
      <c r="Q11" s="174"/>
      <c r="R11" s="171"/>
      <c r="S11" s="169"/>
      <c r="T11" s="184"/>
      <c r="U11" s="583"/>
      <c r="V11" s="583"/>
      <c r="W11" s="338"/>
    </row>
    <row r="12" spans="1:23" ht="18.95" customHeight="1">
      <c r="A12" s="578"/>
      <c r="B12" s="580"/>
      <c r="C12" s="572"/>
      <c r="D12" s="573"/>
      <c r="E12" s="573"/>
      <c r="F12" s="176" t="s">
        <v>224</v>
      </c>
      <c r="G12" s="177"/>
      <c r="H12" s="178"/>
      <c r="I12" s="179"/>
      <c r="J12" s="178"/>
      <c r="K12" s="180"/>
      <c r="L12" s="179"/>
      <c r="M12" s="180"/>
      <c r="N12" s="339"/>
      <c r="O12" s="179"/>
      <c r="P12" s="179"/>
      <c r="Q12" s="181"/>
      <c r="R12" s="182"/>
      <c r="S12" s="177"/>
      <c r="T12" s="340"/>
      <c r="U12" s="583"/>
      <c r="V12" s="583"/>
      <c r="W12" s="338"/>
    </row>
    <row r="13" spans="1:23" ht="18.95" customHeight="1">
      <c r="A13" s="578"/>
      <c r="B13" s="580"/>
      <c r="C13" s="562"/>
      <c r="D13" s="574"/>
      <c r="E13" s="574"/>
      <c r="F13" s="183" t="s">
        <v>223</v>
      </c>
      <c r="G13" s="169"/>
      <c r="H13" s="170"/>
      <c r="I13" s="171"/>
      <c r="J13" s="170"/>
      <c r="K13" s="173"/>
      <c r="L13" s="171"/>
      <c r="M13" s="173"/>
      <c r="N13" s="337"/>
      <c r="O13" s="171"/>
      <c r="P13" s="171"/>
      <c r="Q13" s="174"/>
      <c r="R13" s="172"/>
      <c r="S13" s="169"/>
      <c r="T13" s="184"/>
      <c r="U13" s="619"/>
      <c r="V13" s="619"/>
      <c r="W13" s="341"/>
    </row>
    <row r="14" spans="1:23" s="191" customFormat="1" ht="18.95" customHeight="1">
      <c r="A14" s="557" t="s">
        <v>314</v>
      </c>
      <c r="B14" s="560"/>
      <c r="C14" s="560"/>
      <c r="D14" s="563"/>
      <c r="E14" s="565"/>
      <c r="F14" s="168" t="s">
        <v>224</v>
      </c>
      <c r="G14" s="185"/>
      <c r="H14" s="186"/>
      <c r="I14" s="186"/>
      <c r="J14" s="187"/>
      <c r="K14" s="188"/>
      <c r="L14" s="186"/>
      <c r="M14" s="188"/>
      <c r="N14" s="342"/>
      <c r="O14" s="186"/>
      <c r="P14" s="186"/>
      <c r="Q14" s="189"/>
      <c r="R14" s="190"/>
      <c r="S14" s="185"/>
      <c r="T14" s="343"/>
      <c r="U14" s="567"/>
      <c r="V14" s="567"/>
      <c r="W14" s="344"/>
    </row>
    <row r="15" spans="1:23" s="191" customFormat="1" ht="18.95" customHeight="1">
      <c r="A15" s="558"/>
      <c r="B15" s="561"/>
      <c r="C15" s="561"/>
      <c r="D15" s="564"/>
      <c r="E15" s="566"/>
      <c r="F15" s="168" t="s">
        <v>223</v>
      </c>
      <c r="G15" s="167"/>
      <c r="H15" s="165"/>
      <c r="I15" s="162"/>
      <c r="J15" s="165"/>
      <c r="K15" s="164"/>
      <c r="L15" s="175"/>
      <c r="M15" s="345"/>
      <c r="N15" s="346"/>
      <c r="O15" s="175"/>
      <c r="P15" s="175"/>
      <c r="Q15" s="193"/>
      <c r="R15" s="194"/>
      <c r="S15" s="167"/>
      <c r="T15" s="160"/>
      <c r="U15" s="583"/>
      <c r="V15" s="583"/>
      <c r="W15" s="338"/>
    </row>
    <row r="16" spans="1:23" s="191" customFormat="1" ht="18.95" customHeight="1">
      <c r="A16" s="558"/>
      <c r="B16" s="561"/>
      <c r="C16" s="572"/>
      <c r="D16" s="574"/>
      <c r="E16" s="585"/>
      <c r="F16" s="176" t="s">
        <v>222</v>
      </c>
      <c r="G16" s="167"/>
      <c r="H16" s="165"/>
      <c r="I16" s="162"/>
      <c r="J16" s="165"/>
      <c r="K16" s="164"/>
      <c r="L16" s="175"/>
      <c r="M16" s="345"/>
      <c r="N16" s="346"/>
      <c r="O16" s="175"/>
      <c r="P16" s="175"/>
      <c r="Q16" s="193"/>
      <c r="R16" s="194"/>
      <c r="S16" s="167"/>
      <c r="T16" s="160"/>
      <c r="U16" s="583"/>
      <c r="V16" s="583"/>
      <c r="W16" s="338"/>
    </row>
    <row r="17" spans="1:23" s="191" customFormat="1" ht="18.95" customHeight="1">
      <c r="A17" s="559"/>
      <c r="B17" s="562"/>
      <c r="C17" s="562"/>
      <c r="D17" s="584"/>
      <c r="E17" s="586"/>
      <c r="F17" s="183" t="s">
        <v>315</v>
      </c>
      <c r="G17" s="195"/>
      <c r="H17" s="196"/>
      <c r="I17" s="197"/>
      <c r="J17" s="196"/>
      <c r="K17" s="198"/>
      <c r="L17" s="199"/>
      <c r="M17" s="347"/>
      <c r="N17" s="348"/>
      <c r="O17" s="199"/>
      <c r="P17" s="199"/>
      <c r="Q17" s="201"/>
      <c r="R17" s="202"/>
      <c r="S17" s="195"/>
      <c r="T17" s="349"/>
      <c r="U17" s="587"/>
      <c r="V17" s="587"/>
      <c r="W17" s="350"/>
    </row>
    <row r="18" spans="1:23" s="191" customFormat="1" ht="18.95" customHeight="1">
      <c r="A18" s="558" t="s">
        <v>226</v>
      </c>
      <c r="B18" s="561"/>
      <c r="C18" s="561"/>
      <c r="D18" s="564"/>
      <c r="E18" s="566"/>
      <c r="F18" s="168" t="s">
        <v>222</v>
      </c>
      <c r="G18" s="167"/>
      <c r="H18" s="162"/>
      <c r="I18" s="162"/>
      <c r="J18" s="165"/>
      <c r="K18" s="164"/>
      <c r="L18" s="162"/>
      <c r="M18" s="164"/>
      <c r="N18" s="334"/>
      <c r="O18" s="162"/>
      <c r="P18" s="162"/>
      <c r="Q18" s="166"/>
      <c r="R18" s="163"/>
      <c r="S18" s="167"/>
      <c r="T18" s="160"/>
      <c r="U18" s="567"/>
      <c r="V18" s="567"/>
      <c r="W18" s="344"/>
    </row>
    <row r="19" spans="1:23" s="191" customFormat="1" ht="18.95" customHeight="1">
      <c r="A19" s="558"/>
      <c r="B19" s="561"/>
      <c r="C19" s="561"/>
      <c r="D19" s="564"/>
      <c r="E19" s="566"/>
      <c r="F19" s="168" t="s">
        <v>223</v>
      </c>
      <c r="G19" s="167"/>
      <c r="H19" s="165"/>
      <c r="I19" s="162"/>
      <c r="J19" s="165"/>
      <c r="K19" s="164"/>
      <c r="L19" s="175"/>
      <c r="M19" s="345"/>
      <c r="N19" s="346"/>
      <c r="O19" s="175"/>
      <c r="P19" s="175"/>
      <c r="Q19" s="193"/>
      <c r="R19" s="194"/>
      <c r="S19" s="167"/>
      <c r="T19" s="160"/>
      <c r="U19" s="583"/>
      <c r="V19" s="583"/>
      <c r="W19" s="338"/>
    </row>
    <row r="20" spans="1:23" s="191" customFormat="1" ht="18.95" customHeight="1">
      <c r="A20" s="558"/>
      <c r="B20" s="561"/>
      <c r="C20" s="572"/>
      <c r="D20" s="574"/>
      <c r="E20" s="585"/>
      <c r="F20" s="176" t="s">
        <v>224</v>
      </c>
      <c r="G20" s="167"/>
      <c r="H20" s="165"/>
      <c r="I20" s="162"/>
      <c r="J20" s="165"/>
      <c r="K20" s="164"/>
      <c r="L20" s="175"/>
      <c r="M20" s="345"/>
      <c r="N20" s="346"/>
      <c r="O20" s="175"/>
      <c r="P20" s="175"/>
      <c r="Q20" s="193"/>
      <c r="R20" s="194"/>
      <c r="S20" s="167"/>
      <c r="T20" s="160"/>
      <c r="U20" s="583"/>
      <c r="V20" s="583"/>
      <c r="W20" s="338"/>
    </row>
    <row r="21" spans="1:23" s="191" customFormat="1" ht="18.95" customHeight="1">
      <c r="A21" s="558"/>
      <c r="B21" s="561"/>
      <c r="C21" s="561"/>
      <c r="D21" s="564"/>
      <c r="E21" s="566"/>
      <c r="F21" s="183" t="s">
        <v>223</v>
      </c>
      <c r="G21" s="169"/>
      <c r="H21" s="170"/>
      <c r="I21" s="171"/>
      <c r="J21" s="170"/>
      <c r="K21" s="173"/>
      <c r="L21" s="204"/>
      <c r="M21" s="351"/>
      <c r="N21" s="352"/>
      <c r="O21" s="204"/>
      <c r="P21" s="204"/>
      <c r="Q21" s="206"/>
      <c r="R21" s="207"/>
      <c r="S21" s="169"/>
      <c r="T21" s="184"/>
      <c r="U21" s="587"/>
      <c r="V21" s="587"/>
      <c r="W21" s="350"/>
    </row>
    <row r="22" spans="1:23" s="191" customFormat="1" ht="18.95" customHeight="1">
      <c r="A22" s="557" t="s">
        <v>229</v>
      </c>
      <c r="B22" s="560"/>
      <c r="C22" s="560"/>
      <c r="D22" s="563"/>
      <c r="E22" s="565"/>
      <c r="F22" s="168" t="s">
        <v>224</v>
      </c>
      <c r="G22" s="185"/>
      <c r="H22" s="186"/>
      <c r="I22" s="186"/>
      <c r="J22" s="187"/>
      <c r="K22" s="188"/>
      <c r="L22" s="186"/>
      <c r="M22" s="188"/>
      <c r="N22" s="342"/>
      <c r="O22" s="186"/>
      <c r="P22" s="186"/>
      <c r="Q22" s="189"/>
      <c r="R22" s="190"/>
      <c r="S22" s="185"/>
      <c r="T22" s="343"/>
      <c r="U22" s="567"/>
      <c r="V22" s="567"/>
      <c r="W22" s="344"/>
    </row>
    <row r="23" spans="1:23" s="191" customFormat="1" ht="18.95" customHeight="1">
      <c r="A23" s="558"/>
      <c r="B23" s="561"/>
      <c r="C23" s="561"/>
      <c r="D23" s="564"/>
      <c r="E23" s="566"/>
      <c r="F23" s="168" t="s">
        <v>228</v>
      </c>
      <c r="G23" s="167"/>
      <c r="H23" s="165"/>
      <c r="I23" s="162"/>
      <c r="J23" s="165"/>
      <c r="K23" s="164"/>
      <c r="L23" s="175"/>
      <c r="M23" s="345"/>
      <c r="N23" s="346"/>
      <c r="O23" s="175"/>
      <c r="P23" s="175"/>
      <c r="Q23" s="193"/>
      <c r="R23" s="194"/>
      <c r="S23" s="167"/>
      <c r="T23" s="160"/>
      <c r="U23" s="583"/>
      <c r="V23" s="583"/>
      <c r="W23" s="338"/>
    </row>
    <row r="24" spans="1:23" s="191" customFormat="1" ht="18.95" customHeight="1">
      <c r="A24" s="558"/>
      <c r="B24" s="561"/>
      <c r="C24" s="572"/>
      <c r="D24" s="574"/>
      <c r="E24" s="585"/>
      <c r="F24" s="176" t="s">
        <v>224</v>
      </c>
      <c r="G24" s="167"/>
      <c r="H24" s="165"/>
      <c r="I24" s="162"/>
      <c r="J24" s="165"/>
      <c r="K24" s="164"/>
      <c r="L24" s="175"/>
      <c r="M24" s="345"/>
      <c r="N24" s="346"/>
      <c r="O24" s="175"/>
      <c r="P24" s="175"/>
      <c r="Q24" s="193"/>
      <c r="R24" s="194"/>
      <c r="S24" s="167"/>
      <c r="T24" s="160"/>
      <c r="U24" s="583"/>
      <c r="V24" s="583"/>
      <c r="W24" s="338"/>
    </row>
    <row r="25" spans="1:23" s="191" customFormat="1" ht="18.95" customHeight="1">
      <c r="A25" s="559"/>
      <c r="B25" s="562"/>
      <c r="C25" s="562"/>
      <c r="D25" s="584"/>
      <c r="E25" s="586"/>
      <c r="F25" s="183" t="s">
        <v>223</v>
      </c>
      <c r="G25" s="195"/>
      <c r="H25" s="196"/>
      <c r="I25" s="197"/>
      <c r="J25" s="196"/>
      <c r="K25" s="198"/>
      <c r="L25" s="199"/>
      <c r="M25" s="347"/>
      <c r="N25" s="348"/>
      <c r="O25" s="199"/>
      <c r="P25" s="199"/>
      <c r="Q25" s="201"/>
      <c r="R25" s="202"/>
      <c r="S25" s="195"/>
      <c r="T25" s="349"/>
      <c r="U25" s="587"/>
      <c r="V25" s="587"/>
      <c r="W25" s="350"/>
    </row>
    <row r="26" spans="1:23" s="191" customFormat="1" ht="18.95" customHeight="1">
      <c r="A26" s="557" t="s">
        <v>316</v>
      </c>
      <c r="B26" s="560"/>
      <c r="C26" s="560"/>
      <c r="D26" s="563"/>
      <c r="E26" s="565"/>
      <c r="F26" s="168" t="s">
        <v>222</v>
      </c>
      <c r="G26" s="185"/>
      <c r="H26" s="186"/>
      <c r="I26" s="186"/>
      <c r="J26" s="187"/>
      <c r="K26" s="188"/>
      <c r="L26" s="186"/>
      <c r="M26" s="188"/>
      <c r="N26" s="342"/>
      <c r="O26" s="186"/>
      <c r="P26" s="186"/>
      <c r="Q26" s="189"/>
      <c r="R26" s="190"/>
      <c r="S26" s="185"/>
      <c r="T26" s="343"/>
      <c r="U26" s="567"/>
      <c r="V26" s="567"/>
      <c r="W26" s="344"/>
    </row>
    <row r="27" spans="1:23" s="191" customFormat="1" ht="18.95" customHeight="1">
      <c r="A27" s="558"/>
      <c r="B27" s="561"/>
      <c r="C27" s="561"/>
      <c r="D27" s="564"/>
      <c r="E27" s="566"/>
      <c r="F27" s="168" t="s">
        <v>228</v>
      </c>
      <c r="G27" s="167"/>
      <c r="H27" s="165"/>
      <c r="I27" s="162"/>
      <c r="J27" s="165"/>
      <c r="K27" s="164"/>
      <c r="L27" s="175"/>
      <c r="M27" s="345"/>
      <c r="N27" s="346"/>
      <c r="O27" s="175"/>
      <c r="P27" s="175"/>
      <c r="Q27" s="193"/>
      <c r="R27" s="194"/>
      <c r="S27" s="167"/>
      <c r="T27" s="160"/>
      <c r="U27" s="583"/>
      <c r="V27" s="583"/>
      <c r="W27" s="338"/>
    </row>
    <row r="28" spans="1:23" s="191" customFormat="1" ht="18.95" customHeight="1">
      <c r="A28" s="558"/>
      <c r="B28" s="561"/>
      <c r="C28" s="572"/>
      <c r="D28" s="574"/>
      <c r="E28" s="585"/>
      <c r="F28" s="176" t="s">
        <v>224</v>
      </c>
      <c r="G28" s="167"/>
      <c r="H28" s="165"/>
      <c r="I28" s="162"/>
      <c r="J28" s="165"/>
      <c r="K28" s="164"/>
      <c r="L28" s="175"/>
      <c r="M28" s="345"/>
      <c r="N28" s="346"/>
      <c r="O28" s="175"/>
      <c r="P28" s="175"/>
      <c r="Q28" s="193"/>
      <c r="R28" s="194"/>
      <c r="S28" s="167"/>
      <c r="T28" s="160"/>
      <c r="U28" s="583"/>
      <c r="V28" s="583"/>
      <c r="W28" s="338"/>
    </row>
    <row r="29" spans="1:23" s="191" customFormat="1" ht="18.95" customHeight="1">
      <c r="A29" s="559"/>
      <c r="B29" s="562"/>
      <c r="C29" s="562"/>
      <c r="D29" s="584"/>
      <c r="E29" s="586"/>
      <c r="F29" s="183" t="s">
        <v>228</v>
      </c>
      <c r="G29" s="195"/>
      <c r="H29" s="196"/>
      <c r="I29" s="197"/>
      <c r="J29" s="196"/>
      <c r="K29" s="198"/>
      <c r="L29" s="199"/>
      <c r="M29" s="347"/>
      <c r="N29" s="348"/>
      <c r="O29" s="199"/>
      <c r="P29" s="199"/>
      <c r="Q29" s="201"/>
      <c r="R29" s="202"/>
      <c r="S29" s="195"/>
      <c r="T29" s="349"/>
      <c r="U29" s="587"/>
      <c r="V29" s="587"/>
      <c r="W29" s="350"/>
    </row>
    <row r="30" spans="1:23" s="191" customFormat="1" ht="18.95" customHeight="1">
      <c r="A30" s="557"/>
      <c r="B30" s="560"/>
      <c r="C30" s="560"/>
      <c r="D30" s="563"/>
      <c r="E30" s="565"/>
      <c r="F30" s="168" t="s">
        <v>224</v>
      </c>
      <c r="G30" s="185"/>
      <c r="H30" s="186"/>
      <c r="I30" s="186"/>
      <c r="J30" s="187"/>
      <c r="K30" s="188"/>
      <c r="L30" s="186"/>
      <c r="M30" s="188"/>
      <c r="N30" s="342"/>
      <c r="O30" s="186"/>
      <c r="P30" s="186"/>
      <c r="Q30" s="189"/>
      <c r="R30" s="190"/>
      <c r="S30" s="185"/>
      <c r="T30" s="343"/>
      <c r="U30" s="567"/>
      <c r="V30" s="567"/>
      <c r="W30" s="344"/>
    </row>
    <row r="31" spans="1:23" s="191" customFormat="1" ht="18.95" customHeight="1">
      <c r="A31" s="558"/>
      <c r="B31" s="561"/>
      <c r="C31" s="561"/>
      <c r="D31" s="564"/>
      <c r="E31" s="566"/>
      <c r="F31" s="168" t="s">
        <v>223</v>
      </c>
      <c r="G31" s="167"/>
      <c r="H31" s="165"/>
      <c r="I31" s="162"/>
      <c r="J31" s="165"/>
      <c r="K31" s="164"/>
      <c r="L31" s="175"/>
      <c r="M31" s="345"/>
      <c r="N31" s="346"/>
      <c r="O31" s="175"/>
      <c r="P31" s="175"/>
      <c r="Q31" s="193"/>
      <c r="R31" s="194"/>
      <c r="S31" s="167"/>
      <c r="T31" s="160"/>
      <c r="U31" s="583"/>
      <c r="V31" s="583"/>
      <c r="W31" s="338"/>
    </row>
    <row r="32" spans="1:23" s="191" customFormat="1" ht="18.95" customHeight="1">
      <c r="A32" s="558"/>
      <c r="B32" s="561"/>
      <c r="C32" s="572"/>
      <c r="D32" s="574"/>
      <c r="E32" s="585"/>
      <c r="F32" s="208" t="s">
        <v>224</v>
      </c>
      <c r="G32" s="167"/>
      <c r="H32" s="165"/>
      <c r="I32" s="162"/>
      <c r="J32" s="165"/>
      <c r="K32" s="164"/>
      <c r="L32" s="175"/>
      <c r="M32" s="345"/>
      <c r="N32" s="346"/>
      <c r="O32" s="175"/>
      <c r="P32" s="175"/>
      <c r="Q32" s="193"/>
      <c r="R32" s="194"/>
      <c r="S32" s="167"/>
      <c r="T32" s="160"/>
      <c r="U32" s="583"/>
      <c r="V32" s="583"/>
      <c r="W32" s="338"/>
    </row>
    <row r="33" spans="1:23" s="191" customFormat="1" ht="18.95" customHeight="1">
      <c r="A33" s="559"/>
      <c r="B33" s="562"/>
      <c r="C33" s="562"/>
      <c r="D33" s="584"/>
      <c r="E33" s="586"/>
      <c r="F33" s="209" t="s">
        <v>223</v>
      </c>
      <c r="G33" s="195"/>
      <c r="H33" s="196"/>
      <c r="I33" s="197"/>
      <c r="J33" s="196"/>
      <c r="K33" s="198"/>
      <c r="L33" s="199"/>
      <c r="M33" s="347"/>
      <c r="N33" s="348"/>
      <c r="O33" s="199"/>
      <c r="P33" s="199"/>
      <c r="Q33" s="201"/>
      <c r="R33" s="202"/>
      <c r="S33" s="195"/>
      <c r="T33" s="349"/>
      <c r="U33" s="587"/>
      <c r="V33" s="587"/>
      <c r="W33" s="350"/>
    </row>
    <row r="34" spans="1:23" s="191" customFormat="1" ht="20.100000000000001" customHeight="1">
      <c r="A34" s="665" t="s">
        <v>317</v>
      </c>
      <c r="B34" s="665"/>
      <c r="C34" s="665"/>
      <c r="D34" s="665"/>
      <c r="E34" s="665"/>
      <c r="F34" s="666"/>
      <c r="G34" s="210"/>
      <c r="H34" s="211"/>
      <c r="I34" s="353"/>
      <c r="J34" s="212" t="s">
        <v>231</v>
      </c>
      <c r="K34" s="211"/>
      <c r="L34" s="212"/>
      <c r="M34" s="211"/>
      <c r="N34" s="212"/>
      <c r="O34" s="212"/>
      <c r="P34" s="212"/>
      <c r="Q34" s="212"/>
      <c r="R34" s="213"/>
      <c r="S34" s="212"/>
      <c r="T34" s="212"/>
      <c r="U34" s="184"/>
      <c r="V34" s="184"/>
      <c r="W34" s="354"/>
    </row>
    <row r="35" spans="1:23" s="191" customFormat="1" ht="20.100000000000001" customHeight="1">
      <c r="A35" s="665"/>
      <c r="B35" s="665"/>
      <c r="C35" s="665"/>
      <c r="D35" s="665"/>
      <c r="E35" s="665"/>
      <c r="F35" s="666"/>
      <c r="G35" s="355"/>
      <c r="H35" s="356"/>
      <c r="I35" s="357"/>
      <c r="J35" s="349" t="s">
        <v>318</v>
      </c>
      <c r="K35" s="356"/>
      <c r="L35" s="349"/>
      <c r="M35" s="356"/>
      <c r="N35" s="349"/>
      <c r="O35" s="349"/>
      <c r="P35" s="349"/>
      <c r="Q35" s="349"/>
      <c r="R35" s="357"/>
      <c r="S35" s="349"/>
      <c r="T35" s="349"/>
      <c r="U35" s="349"/>
      <c r="V35" s="349"/>
      <c r="W35" s="358"/>
    </row>
  </sheetData>
  <mergeCells count="95">
    <mergeCell ref="A34:F35"/>
    <mergeCell ref="U30:V30"/>
    <mergeCell ref="U31:V31"/>
    <mergeCell ref="C32:C33"/>
    <mergeCell ref="A26:A29"/>
    <mergeCell ref="B26:B29"/>
    <mergeCell ref="C26:C27"/>
    <mergeCell ref="D26:D27"/>
    <mergeCell ref="E26:E27"/>
    <mergeCell ref="U26:V26"/>
    <mergeCell ref="D32:D33"/>
    <mergeCell ref="E32:E33"/>
    <mergeCell ref="U32:V32"/>
    <mergeCell ref="U33:V33"/>
    <mergeCell ref="A30:A33"/>
    <mergeCell ref="B30:B33"/>
    <mergeCell ref="C30:C31"/>
    <mergeCell ref="D30:D31"/>
    <mergeCell ref="E30:E31"/>
    <mergeCell ref="U22:V22"/>
    <mergeCell ref="U27:V27"/>
    <mergeCell ref="C28:C29"/>
    <mergeCell ref="D28:D29"/>
    <mergeCell ref="E28:E29"/>
    <mergeCell ref="U23:V23"/>
    <mergeCell ref="C24:C25"/>
    <mergeCell ref="D24:D25"/>
    <mergeCell ref="E24:E25"/>
    <mergeCell ref="U24:V24"/>
    <mergeCell ref="U25:V25"/>
    <mergeCell ref="U28:V28"/>
    <mergeCell ref="U29:V29"/>
    <mergeCell ref="A22:A25"/>
    <mergeCell ref="B22:B25"/>
    <mergeCell ref="C22:C23"/>
    <mergeCell ref="D22:D23"/>
    <mergeCell ref="E22:E23"/>
    <mergeCell ref="E20:E21"/>
    <mergeCell ref="U20:V20"/>
    <mergeCell ref="U21:V21"/>
    <mergeCell ref="A18:A21"/>
    <mergeCell ref="B18:B21"/>
    <mergeCell ref="C18:C19"/>
    <mergeCell ref="C20:C21"/>
    <mergeCell ref="E18:E19"/>
    <mergeCell ref="U18:V18"/>
    <mergeCell ref="U19:V19"/>
    <mergeCell ref="A14:A17"/>
    <mergeCell ref="B14:B17"/>
    <mergeCell ref="C14:C15"/>
    <mergeCell ref="D14:D15"/>
    <mergeCell ref="D20:D21"/>
    <mergeCell ref="D18:D19"/>
    <mergeCell ref="U15:V15"/>
    <mergeCell ref="C16:C17"/>
    <mergeCell ref="D16:D17"/>
    <mergeCell ref="E16:E17"/>
    <mergeCell ref="U16:V16"/>
    <mergeCell ref="U17:V17"/>
    <mergeCell ref="E14:E15"/>
    <mergeCell ref="U14:V14"/>
    <mergeCell ref="U10:V10"/>
    <mergeCell ref="U11:V11"/>
    <mergeCell ref="C12:C13"/>
    <mergeCell ref="D12:D13"/>
    <mergeCell ref="E12:E13"/>
    <mergeCell ref="U12:V12"/>
    <mergeCell ref="U13:V13"/>
    <mergeCell ref="A10:A13"/>
    <mergeCell ref="B10:B13"/>
    <mergeCell ref="C10:C11"/>
    <mergeCell ref="D10:D11"/>
    <mergeCell ref="E10:E11"/>
    <mergeCell ref="F6:F9"/>
    <mergeCell ref="G6:T6"/>
    <mergeCell ref="U6:V9"/>
    <mergeCell ref="W6:W9"/>
    <mergeCell ref="G7:M7"/>
    <mergeCell ref="N7:T7"/>
    <mergeCell ref="A6:A9"/>
    <mergeCell ref="B6:B9"/>
    <mergeCell ref="C6:C9"/>
    <mergeCell ref="D6:D9"/>
    <mergeCell ref="E6:E9"/>
    <mergeCell ref="A1:B2"/>
    <mergeCell ref="C1:K4"/>
    <mergeCell ref="L1:O1"/>
    <mergeCell ref="P1:S1"/>
    <mergeCell ref="T1:W1"/>
    <mergeCell ref="L2:O3"/>
    <mergeCell ref="P2:S3"/>
    <mergeCell ref="T2:W3"/>
    <mergeCell ref="A3:B4"/>
    <mergeCell ref="L4:Q4"/>
    <mergeCell ref="R4:W4"/>
  </mergeCells>
  <phoneticPr fontId="4" type="noConversion"/>
  <printOptions horizontalCentered="1"/>
  <pageMargins left="0.31496062992125984" right="0.31496062992125984" top="0.55118110236220474" bottom="0.47244094488188981" header="0.31496062992125984" footer="0.19685039370078741"/>
  <pageSetup paperSize="9" scale="73" fitToHeight="0" orientation="landscape" r:id="rId1"/>
  <headerFooter>
    <oddFooter>&amp;L※ 본 양식은 단지 참조용으로 제시된 것이며 별도의 서식을 사용할 수 있음.&amp;RQA-8.6-3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W38"/>
  <sheetViews>
    <sheetView showGridLines="0" view="pageBreakPreview" zoomScaleNormal="55" zoomScaleSheetLayoutView="100" workbookViewId="0">
      <selection activeCell="E14" sqref="E14:E15"/>
    </sheetView>
  </sheetViews>
  <sheetFormatPr defaultColWidth="9" defaultRowHeight="20.100000000000001" customHeight="1"/>
  <cols>
    <col min="1" max="2" width="14.625" style="146" customWidth="1"/>
    <col min="3" max="3" width="25.625" style="146" customWidth="1"/>
    <col min="4" max="4" width="7.625" style="146" customWidth="1"/>
    <col min="5" max="5" width="12.625" style="147" customWidth="1"/>
    <col min="6" max="6" width="6.625" style="147" customWidth="1"/>
    <col min="7" max="23" width="5.625" style="146" customWidth="1"/>
    <col min="24" max="16384" width="9" style="146"/>
  </cols>
  <sheetData>
    <row r="1" spans="1:23" ht="30" customHeight="1">
      <c r="A1" s="435"/>
      <c r="B1" s="435"/>
      <c r="C1" s="635" t="s">
        <v>319</v>
      </c>
      <c r="D1" s="636"/>
      <c r="E1" s="636"/>
      <c r="F1" s="636"/>
      <c r="G1" s="636"/>
      <c r="H1" s="636"/>
      <c r="I1" s="636"/>
      <c r="J1" s="636"/>
      <c r="K1" s="637"/>
      <c r="L1" s="535" t="s">
        <v>234</v>
      </c>
      <c r="M1" s="535"/>
      <c r="N1" s="535"/>
      <c r="O1" s="535"/>
      <c r="P1" s="535" t="s">
        <v>199</v>
      </c>
      <c r="Q1" s="535"/>
      <c r="R1" s="535"/>
      <c r="S1" s="535"/>
      <c r="T1" s="535" t="s">
        <v>236</v>
      </c>
      <c r="U1" s="535"/>
      <c r="V1" s="535"/>
      <c r="W1" s="535"/>
    </row>
    <row r="2" spans="1:23" ht="27.95" customHeight="1">
      <c r="A2" s="435"/>
      <c r="B2" s="435"/>
      <c r="C2" s="638"/>
      <c r="D2" s="639"/>
      <c r="E2" s="639"/>
      <c r="F2" s="639"/>
      <c r="G2" s="639"/>
      <c r="H2" s="639"/>
      <c r="I2" s="639"/>
      <c r="J2" s="639"/>
      <c r="K2" s="640"/>
      <c r="L2" s="644"/>
      <c r="M2" s="645"/>
      <c r="N2" s="645"/>
      <c r="O2" s="646"/>
      <c r="P2" s="535"/>
      <c r="Q2" s="535"/>
      <c r="R2" s="535"/>
      <c r="S2" s="535"/>
      <c r="T2" s="535"/>
      <c r="U2" s="535"/>
      <c r="V2" s="535"/>
      <c r="W2" s="535"/>
    </row>
    <row r="3" spans="1:23" ht="27.95" customHeight="1">
      <c r="A3" s="536" t="s">
        <v>301</v>
      </c>
      <c r="B3" s="536"/>
      <c r="C3" s="638"/>
      <c r="D3" s="639"/>
      <c r="E3" s="639"/>
      <c r="F3" s="639"/>
      <c r="G3" s="639"/>
      <c r="H3" s="639"/>
      <c r="I3" s="639"/>
      <c r="J3" s="639"/>
      <c r="K3" s="640"/>
      <c r="L3" s="647"/>
      <c r="M3" s="648"/>
      <c r="N3" s="648"/>
      <c r="O3" s="649"/>
      <c r="P3" s="535"/>
      <c r="Q3" s="535"/>
      <c r="R3" s="535"/>
      <c r="S3" s="535"/>
      <c r="T3" s="535"/>
      <c r="U3" s="535"/>
      <c r="V3" s="535"/>
      <c r="W3" s="535"/>
    </row>
    <row r="4" spans="1:23" ht="30" customHeight="1">
      <c r="A4" s="536"/>
      <c r="B4" s="536"/>
      <c r="C4" s="641"/>
      <c r="D4" s="642"/>
      <c r="E4" s="642"/>
      <c r="F4" s="642"/>
      <c r="G4" s="642"/>
      <c r="H4" s="642"/>
      <c r="I4" s="642"/>
      <c r="J4" s="642"/>
      <c r="K4" s="643"/>
      <c r="L4" s="650" t="s">
        <v>415</v>
      </c>
      <c r="M4" s="651"/>
      <c r="N4" s="651"/>
      <c r="O4" s="651"/>
      <c r="P4" s="651"/>
      <c r="Q4" s="652"/>
      <c r="R4" s="540" t="s">
        <v>320</v>
      </c>
      <c r="S4" s="541"/>
      <c r="T4" s="541"/>
      <c r="U4" s="541"/>
      <c r="V4" s="541"/>
      <c r="W4" s="542"/>
    </row>
    <row r="5" spans="1:23" s="150" customFormat="1" ht="9.9499999999999993" customHeight="1">
      <c r="A5" s="148"/>
      <c r="B5" s="149"/>
      <c r="E5" s="151"/>
      <c r="F5" s="151"/>
      <c r="W5" s="330"/>
    </row>
    <row r="6" spans="1:23" s="149" customFormat="1" ht="20.100000000000001" customHeight="1">
      <c r="A6" s="543" t="s">
        <v>202</v>
      </c>
      <c r="B6" s="543" t="s">
        <v>203</v>
      </c>
      <c r="C6" s="543" t="s">
        <v>204</v>
      </c>
      <c r="D6" s="543" t="s">
        <v>205</v>
      </c>
      <c r="E6" s="545" t="s">
        <v>206</v>
      </c>
      <c r="F6" s="546" t="s">
        <v>207</v>
      </c>
      <c r="G6" s="663" t="s">
        <v>421</v>
      </c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7" t="s">
        <v>209</v>
      </c>
      <c r="V6" s="658"/>
      <c r="W6" s="552" t="s">
        <v>321</v>
      </c>
    </row>
    <row r="7" spans="1:23" s="149" customFormat="1" ht="20.100000000000001" customHeight="1">
      <c r="A7" s="653"/>
      <c r="B7" s="653"/>
      <c r="C7" s="653"/>
      <c r="D7" s="653"/>
      <c r="E7" s="654"/>
      <c r="F7" s="547"/>
      <c r="G7" s="663" t="s">
        <v>309</v>
      </c>
      <c r="H7" s="663"/>
      <c r="I7" s="663"/>
      <c r="J7" s="663"/>
      <c r="K7" s="663"/>
      <c r="L7" s="663"/>
      <c r="M7" s="663"/>
      <c r="N7" s="550" t="s">
        <v>310</v>
      </c>
      <c r="O7" s="663"/>
      <c r="P7" s="663"/>
      <c r="Q7" s="663"/>
      <c r="R7" s="663"/>
      <c r="S7" s="663"/>
      <c r="T7" s="663"/>
      <c r="U7" s="659"/>
      <c r="V7" s="660"/>
      <c r="W7" s="554"/>
    </row>
    <row r="8" spans="1:23" s="149" customFormat="1" ht="20.100000000000001" customHeight="1">
      <c r="A8" s="543"/>
      <c r="B8" s="543"/>
      <c r="C8" s="543"/>
      <c r="D8" s="543"/>
      <c r="E8" s="543"/>
      <c r="F8" s="547"/>
      <c r="G8" s="153">
        <v>1</v>
      </c>
      <c r="H8" s="154">
        <v>2</v>
      </c>
      <c r="I8" s="154">
        <v>3</v>
      </c>
      <c r="J8" s="154">
        <v>4</v>
      </c>
      <c r="K8" s="154">
        <v>5</v>
      </c>
      <c r="L8" s="154">
        <v>6</v>
      </c>
      <c r="M8" s="155">
        <v>7</v>
      </c>
      <c r="N8" s="331">
        <v>8</v>
      </c>
      <c r="O8" s="154">
        <v>9</v>
      </c>
      <c r="P8" s="154">
        <v>10</v>
      </c>
      <c r="Q8" s="154">
        <v>11</v>
      </c>
      <c r="R8" s="154">
        <v>12</v>
      </c>
      <c r="S8" s="154">
        <v>13</v>
      </c>
      <c r="T8" s="155">
        <v>14</v>
      </c>
      <c r="U8" s="659"/>
      <c r="V8" s="660"/>
      <c r="W8" s="554"/>
    </row>
    <row r="9" spans="1:23" s="149" customFormat="1" ht="20.100000000000001" customHeight="1" thickBot="1">
      <c r="A9" s="544"/>
      <c r="B9" s="544"/>
      <c r="C9" s="544"/>
      <c r="D9" s="544"/>
      <c r="E9" s="544"/>
      <c r="F9" s="548"/>
      <c r="G9" s="156" t="s">
        <v>322</v>
      </c>
      <c r="H9" s="157" t="s">
        <v>211</v>
      </c>
      <c r="I9" s="157" t="s">
        <v>323</v>
      </c>
      <c r="J9" s="157" t="s">
        <v>213</v>
      </c>
      <c r="K9" s="157" t="s">
        <v>214</v>
      </c>
      <c r="L9" s="157" t="s">
        <v>215</v>
      </c>
      <c r="M9" s="158" t="s">
        <v>216</v>
      </c>
      <c r="N9" s="332" t="s">
        <v>217</v>
      </c>
      <c r="O9" s="157" t="s">
        <v>218</v>
      </c>
      <c r="P9" s="157" t="s">
        <v>219</v>
      </c>
      <c r="Q9" s="157" t="s">
        <v>213</v>
      </c>
      <c r="R9" s="157" t="s">
        <v>214</v>
      </c>
      <c r="S9" s="157" t="s">
        <v>215</v>
      </c>
      <c r="T9" s="158" t="s">
        <v>216</v>
      </c>
      <c r="U9" s="661"/>
      <c r="V9" s="662"/>
      <c r="W9" s="556"/>
    </row>
    <row r="10" spans="1:23" s="367" customFormat="1" ht="16.5" customHeight="1" thickTop="1">
      <c r="A10" s="711" t="s">
        <v>324</v>
      </c>
      <c r="B10" s="684" t="s">
        <v>244</v>
      </c>
      <c r="C10" s="685" t="s">
        <v>251</v>
      </c>
      <c r="D10" s="687"/>
      <c r="E10" s="687"/>
      <c r="F10" s="359" t="s">
        <v>246</v>
      </c>
      <c r="G10" s="360"/>
      <c r="H10" s="361"/>
      <c r="I10" s="362"/>
      <c r="J10" s="362" t="s">
        <v>325</v>
      </c>
      <c r="K10" s="362"/>
      <c r="L10" s="362"/>
      <c r="M10" s="363" t="s">
        <v>248</v>
      </c>
      <c r="N10" s="364"/>
      <c r="O10" s="362"/>
      <c r="P10" s="362"/>
      <c r="Q10" s="365"/>
      <c r="R10" s="362"/>
      <c r="S10" s="361"/>
      <c r="T10" s="366"/>
      <c r="U10" s="671"/>
      <c r="V10" s="672"/>
      <c r="W10" s="675"/>
    </row>
    <row r="11" spans="1:23" s="367" customFormat="1" ht="16.5" customHeight="1">
      <c r="A11" s="717"/>
      <c r="B11" s="677"/>
      <c r="C11" s="686"/>
      <c r="D11" s="688"/>
      <c r="E11" s="688"/>
      <c r="F11" s="368" t="s">
        <v>270</v>
      </c>
      <c r="G11" s="369"/>
      <c r="H11" s="370"/>
      <c r="I11" s="371"/>
      <c r="J11" s="371"/>
      <c r="K11" s="371"/>
      <c r="L11" s="371"/>
      <c r="M11" s="372"/>
      <c r="N11" s="373"/>
      <c r="O11" s="371"/>
      <c r="P11" s="371"/>
      <c r="Q11" s="370"/>
      <c r="R11" s="371"/>
      <c r="S11" s="370"/>
      <c r="T11" s="374"/>
      <c r="U11" s="673"/>
      <c r="V11" s="674"/>
      <c r="W11" s="676"/>
    </row>
    <row r="12" spans="1:23" s="367" customFormat="1" ht="16.5" customHeight="1">
      <c r="A12" s="717"/>
      <c r="B12" s="677" t="s">
        <v>250</v>
      </c>
      <c r="C12" s="678" t="s">
        <v>250</v>
      </c>
      <c r="D12" s="677"/>
      <c r="E12" s="677"/>
      <c r="F12" s="375" t="s">
        <v>246</v>
      </c>
      <c r="G12" s="376" t="s">
        <v>253</v>
      </c>
      <c r="H12" s="377"/>
      <c r="I12" s="377"/>
      <c r="J12" s="377"/>
      <c r="K12" s="371"/>
      <c r="L12" s="371"/>
      <c r="M12" s="378"/>
      <c r="N12" s="379"/>
      <c r="O12" s="370" t="s">
        <v>326</v>
      </c>
      <c r="P12" s="371"/>
      <c r="Q12" s="377"/>
      <c r="R12" s="377"/>
      <c r="S12" s="377"/>
      <c r="T12" s="374"/>
      <c r="U12" s="679"/>
      <c r="V12" s="680"/>
      <c r="W12" s="681"/>
    </row>
    <row r="13" spans="1:23" s="367" customFormat="1" ht="16.5" customHeight="1">
      <c r="A13" s="717"/>
      <c r="B13" s="677"/>
      <c r="C13" s="678"/>
      <c r="D13" s="677"/>
      <c r="E13" s="677"/>
      <c r="F13" s="380" t="s">
        <v>259</v>
      </c>
      <c r="G13" s="369"/>
      <c r="H13" s="370"/>
      <c r="I13" s="371"/>
      <c r="J13" s="371"/>
      <c r="K13" s="371"/>
      <c r="L13" s="371"/>
      <c r="M13" s="372"/>
      <c r="N13" s="373"/>
      <c r="O13" s="371"/>
      <c r="P13" s="371"/>
      <c r="Q13" s="370"/>
      <c r="R13" s="371"/>
      <c r="S13" s="370"/>
      <c r="T13" s="374"/>
      <c r="U13" s="673"/>
      <c r="V13" s="674"/>
      <c r="W13" s="682"/>
    </row>
    <row r="14" spans="1:23" s="367" customFormat="1" ht="16.5" customHeight="1">
      <c r="A14" s="717"/>
      <c r="B14" s="688" t="s">
        <v>255</v>
      </c>
      <c r="C14" s="667" t="s">
        <v>256</v>
      </c>
      <c r="D14" s="669"/>
      <c r="E14" s="669"/>
      <c r="F14" s="381" t="s">
        <v>246</v>
      </c>
      <c r="G14" s="369"/>
      <c r="H14" s="370"/>
      <c r="I14" s="371"/>
      <c r="J14" s="371"/>
      <c r="K14" s="371"/>
      <c r="L14" s="371"/>
      <c r="M14" s="372"/>
      <c r="N14" s="698" t="s">
        <v>327</v>
      </c>
      <c r="O14" s="699"/>
      <c r="P14" s="699"/>
      <c r="Q14" s="699"/>
      <c r="R14" s="699"/>
      <c r="S14" s="699"/>
      <c r="T14" s="700"/>
      <c r="U14" s="679"/>
      <c r="V14" s="680"/>
      <c r="W14" s="675"/>
    </row>
    <row r="15" spans="1:23" s="367" customFormat="1" ht="16.5" customHeight="1">
      <c r="A15" s="712"/>
      <c r="B15" s="689"/>
      <c r="C15" s="690"/>
      <c r="D15" s="689"/>
      <c r="E15" s="689"/>
      <c r="F15" s="382" t="s">
        <v>270</v>
      </c>
      <c r="G15" s="383"/>
      <c r="H15" s="384"/>
      <c r="I15" s="385"/>
      <c r="J15" s="385"/>
      <c r="K15" s="385"/>
      <c r="L15" s="385"/>
      <c r="M15" s="386"/>
      <c r="N15" s="387"/>
      <c r="O15" s="385"/>
      <c r="P15" s="385"/>
      <c r="Q15" s="384"/>
      <c r="R15" s="385"/>
      <c r="S15" s="384"/>
      <c r="T15" s="388"/>
      <c r="U15" s="694"/>
      <c r="V15" s="695"/>
      <c r="W15" s="676"/>
    </row>
    <row r="16" spans="1:23" s="367" customFormat="1" ht="16.5" customHeight="1">
      <c r="A16" s="703" t="s">
        <v>328</v>
      </c>
      <c r="B16" s="691" t="s">
        <v>244</v>
      </c>
      <c r="C16" s="692" t="s">
        <v>262</v>
      </c>
      <c r="D16" s="693"/>
      <c r="E16" s="693"/>
      <c r="F16" s="389" t="s">
        <v>257</v>
      </c>
      <c r="G16" s="360"/>
      <c r="H16" s="362" t="s">
        <v>263</v>
      </c>
      <c r="I16" s="362"/>
      <c r="J16" s="362"/>
      <c r="K16" s="362"/>
      <c r="L16" s="362"/>
      <c r="M16" s="363"/>
      <c r="N16" s="360" t="s">
        <v>329</v>
      </c>
      <c r="O16" s="362"/>
      <c r="P16" s="362"/>
      <c r="Q16" s="362"/>
      <c r="R16" s="362"/>
      <c r="S16" s="361"/>
      <c r="T16" s="366"/>
      <c r="U16" s="708"/>
      <c r="V16" s="709"/>
      <c r="W16" s="683"/>
    </row>
    <row r="17" spans="1:23" s="367" customFormat="1" ht="16.5" customHeight="1">
      <c r="A17" s="717"/>
      <c r="B17" s="677"/>
      <c r="C17" s="686"/>
      <c r="D17" s="688"/>
      <c r="E17" s="688"/>
      <c r="F17" s="380" t="s">
        <v>259</v>
      </c>
      <c r="G17" s="369"/>
      <c r="H17" s="370"/>
      <c r="I17" s="371"/>
      <c r="J17" s="371"/>
      <c r="K17" s="371"/>
      <c r="L17" s="371"/>
      <c r="M17" s="390"/>
      <c r="N17" s="369"/>
      <c r="O17" s="371"/>
      <c r="P17" s="371"/>
      <c r="Q17" s="370"/>
      <c r="R17" s="371"/>
      <c r="S17" s="370"/>
      <c r="T17" s="374"/>
      <c r="U17" s="673"/>
      <c r="V17" s="674"/>
      <c r="W17" s="682"/>
    </row>
    <row r="18" spans="1:23" s="367" customFormat="1" ht="16.5" customHeight="1">
      <c r="A18" s="717"/>
      <c r="B18" s="677" t="s">
        <v>250</v>
      </c>
      <c r="C18" s="667" t="s">
        <v>330</v>
      </c>
      <c r="D18" s="669"/>
      <c r="E18" s="669"/>
      <c r="F18" s="381" t="s">
        <v>246</v>
      </c>
      <c r="G18" s="369"/>
      <c r="H18" s="371" t="s">
        <v>263</v>
      </c>
      <c r="I18" s="371"/>
      <c r="J18" s="371"/>
      <c r="K18" s="371"/>
      <c r="L18" s="371"/>
      <c r="M18" s="378"/>
      <c r="N18" s="369" t="s">
        <v>331</v>
      </c>
      <c r="O18" s="371"/>
      <c r="P18" s="371"/>
      <c r="Q18" s="371"/>
      <c r="R18" s="371"/>
      <c r="S18" s="391"/>
      <c r="T18" s="374"/>
      <c r="U18" s="679"/>
      <c r="V18" s="680"/>
      <c r="W18" s="696"/>
    </row>
    <row r="19" spans="1:23" s="367" customFormat="1" ht="16.5" customHeight="1">
      <c r="A19" s="704"/>
      <c r="B19" s="705"/>
      <c r="C19" s="668"/>
      <c r="D19" s="670"/>
      <c r="E19" s="670"/>
      <c r="F19" s="392" t="s">
        <v>270</v>
      </c>
      <c r="G19" s="383"/>
      <c r="H19" s="384"/>
      <c r="I19" s="385"/>
      <c r="J19" s="385"/>
      <c r="K19" s="385"/>
      <c r="L19" s="385"/>
      <c r="M19" s="393"/>
      <c r="N19" s="383"/>
      <c r="O19" s="385"/>
      <c r="P19" s="385"/>
      <c r="Q19" s="384"/>
      <c r="R19" s="385"/>
      <c r="S19" s="384"/>
      <c r="T19" s="388"/>
      <c r="U19" s="694"/>
      <c r="V19" s="695"/>
      <c r="W19" s="697"/>
    </row>
    <row r="20" spans="1:23" s="367" customFormat="1" ht="16.5" customHeight="1">
      <c r="A20" s="711" t="s">
        <v>265</v>
      </c>
      <c r="B20" s="713" t="s">
        <v>289</v>
      </c>
      <c r="C20" s="715" t="s">
        <v>267</v>
      </c>
      <c r="D20" s="716"/>
      <c r="E20" s="716"/>
      <c r="F20" s="394" t="s">
        <v>246</v>
      </c>
      <c r="G20" s="395" t="s">
        <v>268</v>
      </c>
      <c r="H20" s="396"/>
      <c r="I20" s="396"/>
      <c r="J20" s="396" t="s">
        <v>332</v>
      </c>
      <c r="K20" s="396"/>
      <c r="L20" s="396"/>
      <c r="M20" s="397"/>
      <c r="N20" s="395"/>
      <c r="O20" s="396"/>
      <c r="P20" s="396"/>
      <c r="Q20" s="396"/>
      <c r="R20" s="396"/>
      <c r="S20" s="398"/>
      <c r="T20" s="399"/>
      <c r="U20" s="708"/>
      <c r="V20" s="709"/>
      <c r="W20" s="701"/>
    </row>
    <row r="21" spans="1:23" s="367" customFormat="1" ht="16.5" customHeight="1">
      <c r="A21" s="712"/>
      <c r="B21" s="714"/>
      <c r="C21" s="690"/>
      <c r="D21" s="689"/>
      <c r="E21" s="689"/>
      <c r="F21" s="381" t="s">
        <v>270</v>
      </c>
      <c r="G21" s="400"/>
      <c r="H21" s="401"/>
      <c r="I21" s="402"/>
      <c r="J21" s="402"/>
      <c r="K21" s="402"/>
      <c r="L21" s="402"/>
      <c r="M21" s="403"/>
      <c r="N21" s="400"/>
      <c r="O21" s="402"/>
      <c r="P21" s="402"/>
      <c r="Q21" s="401"/>
      <c r="R21" s="402"/>
      <c r="S21" s="401"/>
      <c r="T21" s="404"/>
      <c r="U21" s="694"/>
      <c r="V21" s="695"/>
      <c r="W21" s="702"/>
    </row>
    <row r="22" spans="1:23" s="367" customFormat="1" ht="16.5" customHeight="1">
      <c r="A22" s="703" t="s">
        <v>333</v>
      </c>
      <c r="B22" s="691" t="s">
        <v>289</v>
      </c>
      <c r="C22" s="706" t="s">
        <v>334</v>
      </c>
      <c r="D22" s="707"/>
      <c r="E22" s="707"/>
      <c r="F22" s="405" t="s">
        <v>252</v>
      </c>
      <c r="G22" s="360"/>
      <c r="H22" s="362" t="s">
        <v>273</v>
      </c>
      <c r="I22" s="362"/>
      <c r="J22" s="362"/>
      <c r="K22" s="362"/>
      <c r="L22" s="362"/>
      <c r="M22" s="406"/>
      <c r="N22" s="360"/>
      <c r="O22" s="362" t="s">
        <v>274</v>
      </c>
      <c r="P22" s="362"/>
      <c r="Q22" s="362"/>
      <c r="R22" s="362"/>
      <c r="S22" s="365"/>
      <c r="T22" s="366"/>
      <c r="U22" s="708"/>
      <c r="V22" s="709"/>
      <c r="W22" s="683"/>
    </row>
    <row r="23" spans="1:23" s="367" customFormat="1" ht="16.5" customHeight="1">
      <c r="A23" s="704"/>
      <c r="B23" s="705"/>
      <c r="C23" s="668"/>
      <c r="D23" s="670"/>
      <c r="E23" s="670"/>
      <c r="F23" s="392" t="s">
        <v>270</v>
      </c>
      <c r="G23" s="383"/>
      <c r="H23" s="384"/>
      <c r="I23" s="385"/>
      <c r="J23" s="385"/>
      <c r="K23" s="385"/>
      <c r="L23" s="385"/>
      <c r="M23" s="386"/>
      <c r="N23" s="383"/>
      <c r="O23" s="385"/>
      <c r="P23" s="385"/>
      <c r="Q23" s="384"/>
      <c r="R23" s="385"/>
      <c r="S23" s="384"/>
      <c r="T23" s="388"/>
      <c r="U23" s="694"/>
      <c r="V23" s="695"/>
      <c r="W23" s="710"/>
    </row>
    <row r="24" spans="1:23" s="367" customFormat="1" ht="16.5" customHeight="1">
      <c r="A24" s="711" t="s">
        <v>275</v>
      </c>
      <c r="B24" s="713" t="s">
        <v>289</v>
      </c>
      <c r="C24" s="715" t="s">
        <v>335</v>
      </c>
      <c r="D24" s="716"/>
      <c r="E24" s="716"/>
      <c r="F24" s="394" t="s">
        <v>246</v>
      </c>
      <c r="G24" s="395" t="s">
        <v>336</v>
      </c>
      <c r="H24" s="396"/>
      <c r="I24" s="396"/>
      <c r="J24" s="396"/>
      <c r="K24" s="396"/>
      <c r="L24" s="396"/>
      <c r="M24" s="407"/>
      <c r="N24" s="395" t="s">
        <v>329</v>
      </c>
      <c r="O24" s="396"/>
      <c r="P24" s="396"/>
      <c r="Q24" s="408"/>
      <c r="R24" s="398"/>
      <c r="S24" s="408"/>
      <c r="T24" s="399"/>
      <c r="U24" s="708"/>
      <c r="V24" s="709"/>
      <c r="W24" s="675"/>
    </row>
    <row r="25" spans="1:23" s="367" customFormat="1" ht="16.5" customHeight="1">
      <c r="A25" s="717"/>
      <c r="B25" s="677"/>
      <c r="C25" s="686"/>
      <c r="D25" s="688"/>
      <c r="E25" s="688"/>
      <c r="F25" s="380" t="s">
        <v>270</v>
      </c>
      <c r="G25" s="369"/>
      <c r="H25" s="371"/>
      <c r="I25" s="371"/>
      <c r="J25" s="371"/>
      <c r="K25" s="371"/>
      <c r="L25" s="371"/>
      <c r="M25" s="390"/>
      <c r="N25" s="369"/>
      <c r="O25" s="371"/>
      <c r="P25" s="371"/>
      <c r="Q25" s="370"/>
      <c r="R25" s="371"/>
      <c r="S25" s="370"/>
      <c r="T25" s="374"/>
      <c r="U25" s="673"/>
      <c r="V25" s="674"/>
      <c r="W25" s="682"/>
    </row>
    <row r="26" spans="1:23" s="367" customFormat="1" ht="16.5" customHeight="1">
      <c r="A26" s="717"/>
      <c r="B26" s="677" t="s">
        <v>255</v>
      </c>
      <c r="C26" s="686" t="s">
        <v>276</v>
      </c>
      <c r="D26" s="688"/>
      <c r="E26" s="688"/>
      <c r="F26" s="381" t="s">
        <v>246</v>
      </c>
      <c r="G26" s="395"/>
      <c r="H26" s="396"/>
      <c r="I26" s="396"/>
      <c r="J26" s="396"/>
      <c r="K26" s="396" t="s">
        <v>337</v>
      </c>
      <c r="L26" s="396"/>
      <c r="M26" s="407"/>
      <c r="N26" s="409"/>
      <c r="O26" s="370"/>
      <c r="P26" s="371"/>
      <c r="Q26" s="370" t="s">
        <v>338</v>
      </c>
      <c r="R26" s="370"/>
      <c r="S26" s="370"/>
      <c r="T26" s="374"/>
      <c r="U26" s="679"/>
      <c r="V26" s="680"/>
      <c r="W26" s="675"/>
    </row>
    <row r="27" spans="1:23" s="367" customFormat="1" ht="16.5" customHeight="1">
      <c r="A27" s="712"/>
      <c r="B27" s="714"/>
      <c r="C27" s="690"/>
      <c r="D27" s="689"/>
      <c r="E27" s="689"/>
      <c r="F27" s="382" t="s">
        <v>270</v>
      </c>
      <c r="G27" s="400"/>
      <c r="H27" s="402"/>
      <c r="I27" s="402"/>
      <c r="J27" s="402"/>
      <c r="K27" s="402"/>
      <c r="L27" s="402"/>
      <c r="M27" s="410"/>
      <c r="N27" s="400"/>
      <c r="O27" s="402"/>
      <c r="P27" s="402"/>
      <c r="Q27" s="401"/>
      <c r="R27" s="402"/>
      <c r="S27" s="401"/>
      <c r="T27" s="404"/>
      <c r="U27" s="694"/>
      <c r="V27" s="695"/>
      <c r="W27" s="676"/>
    </row>
    <row r="28" spans="1:23" s="367" customFormat="1" ht="16.5" customHeight="1">
      <c r="A28" s="703" t="s">
        <v>281</v>
      </c>
      <c r="B28" s="707" t="s">
        <v>289</v>
      </c>
      <c r="C28" s="706" t="s">
        <v>339</v>
      </c>
      <c r="D28" s="707"/>
      <c r="E28" s="707"/>
      <c r="F28" s="389" t="s">
        <v>246</v>
      </c>
      <c r="G28" s="360"/>
      <c r="H28" s="362"/>
      <c r="I28" s="362"/>
      <c r="J28" s="362"/>
      <c r="K28" s="362"/>
      <c r="L28" s="362" t="s">
        <v>340</v>
      </c>
      <c r="M28" s="363"/>
      <c r="N28" s="360"/>
      <c r="O28" s="362"/>
      <c r="P28" s="362"/>
      <c r="Q28" s="362"/>
      <c r="R28" s="362"/>
      <c r="S28" s="362"/>
      <c r="T28" s="366"/>
      <c r="U28" s="708"/>
      <c r="V28" s="709"/>
      <c r="W28" s="683"/>
    </row>
    <row r="29" spans="1:23" s="367" customFormat="1" ht="16.5" customHeight="1">
      <c r="A29" s="704"/>
      <c r="B29" s="670"/>
      <c r="C29" s="668"/>
      <c r="D29" s="670"/>
      <c r="E29" s="670"/>
      <c r="F29" s="411" t="s">
        <v>270</v>
      </c>
      <c r="G29" s="383"/>
      <c r="H29" s="412"/>
      <c r="I29" s="385"/>
      <c r="J29" s="385"/>
      <c r="K29" s="385"/>
      <c r="L29" s="385"/>
      <c r="M29" s="393"/>
      <c r="N29" s="383"/>
      <c r="O29" s="385"/>
      <c r="P29" s="385"/>
      <c r="Q29" s="384"/>
      <c r="R29" s="385"/>
      <c r="S29" s="384"/>
      <c r="T29" s="388"/>
      <c r="U29" s="694"/>
      <c r="V29" s="695"/>
      <c r="W29" s="710"/>
    </row>
    <row r="30" spans="1:23" s="367" customFormat="1" ht="16.5" customHeight="1">
      <c r="A30" s="711" t="s">
        <v>341</v>
      </c>
      <c r="B30" s="718" t="s">
        <v>285</v>
      </c>
      <c r="C30" s="715" t="s">
        <v>286</v>
      </c>
      <c r="D30" s="716"/>
      <c r="E30" s="716"/>
      <c r="F30" s="381" t="s">
        <v>246</v>
      </c>
      <c r="G30" s="395"/>
      <c r="H30" s="408"/>
      <c r="I30" s="396"/>
      <c r="J30" s="398"/>
      <c r="K30" s="398"/>
      <c r="L30" s="396"/>
      <c r="M30" s="407" t="s">
        <v>287</v>
      </c>
      <c r="N30" s="395"/>
      <c r="O30" s="396"/>
      <c r="P30" s="396"/>
      <c r="Q30" s="396"/>
      <c r="R30" s="396"/>
      <c r="S30" s="398"/>
      <c r="T30" s="399"/>
      <c r="U30" s="708"/>
      <c r="V30" s="709"/>
      <c r="W30" s="675"/>
    </row>
    <row r="31" spans="1:23" s="367" customFormat="1" ht="16.5" customHeight="1">
      <c r="A31" s="712"/>
      <c r="B31" s="689"/>
      <c r="C31" s="690"/>
      <c r="D31" s="689"/>
      <c r="E31" s="689"/>
      <c r="F31" s="382" t="s">
        <v>270</v>
      </c>
      <c r="G31" s="400"/>
      <c r="H31" s="413"/>
      <c r="I31" s="402"/>
      <c r="J31" s="402"/>
      <c r="K31" s="402"/>
      <c r="L31" s="402"/>
      <c r="M31" s="410"/>
      <c r="N31" s="400"/>
      <c r="O31" s="402"/>
      <c r="P31" s="402"/>
      <c r="Q31" s="401"/>
      <c r="R31" s="402"/>
      <c r="S31" s="401"/>
      <c r="T31" s="404"/>
      <c r="U31" s="694"/>
      <c r="V31" s="695"/>
      <c r="W31" s="676"/>
    </row>
    <row r="32" spans="1:23" s="367" customFormat="1" ht="16.5" customHeight="1">
      <c r="A32" s="703" t="s">
        <v>342</v>
      </c>
      <c r="B32" s="693" t="s">
        <v>289</v>
      </c>
      <c r="C32" s="706" t="s">
        <v>343</v>
      </c>
      <c r="D32" s="707"/>
      <c r="E32" s="707"/>
      <c r="F32" s="389" t="s">
        <v>246</v>
      </c>
      <c r="G32" s="360" t="s">
        <v>344</v>
      </c>
      <c r="H32" s="361"/>
      <c r="I32" s="362"/>
      <c r="J32" s="362"/>
      <c r="K32" s="362"/>
      <c r="L32" s="362"/>
      <c r="M32" s="406"/>
      <c r="N32" s="361" t="s">
        <v>292</v>
      </c>
      <c r="O32" s="362"/>
      <c r="P32" s="361"/>
      <c r="Q32" s="361"/>
      <c r="R32" s="362"/>
      <c r="S32" s="365"/>
      <c r="T32" s="366"/>
      <c r="U32" s="708"/>
      <c r="V32" s="709"/>
      <c r="W32" s="719"/>
    </row>
    <row r="33" spans="1:23" s="367" customFormat="1" ht="16.5" customHeight="1">
      <c r="A33" s="704"/>
      <c r="B33" s="670"/>
      <c r="C33" s="668"/>
      <c r="D33" s="670"/>
      <c r="E33" s="670"/>
      <c r="F33" s="411" t="s">
        <v>259</v>
      </c>
      <c r="G33" s="383"/>
      <c r="H33" s="412"/>
      <c r="I33" s="385"/>
      <c r="J33" s="385"/>
      <c r="K33" s="385"/>
      <c r="L33" s="385"/>
      <c r="M33" s="393"/>
      <c r="N33" s="383"/>
      <c r="O33" s="385"/>
      <c r="P33" s="385"/>
      <c r="Q33" s="384"/>
      <c r="R33" s="385"/>
      <c r="S33" s="384"/>
      <c r="T33" s="388"/>
      <c r="U33" s="694"/>
      <c r="V33" s="695"/>
      <c r="W33" s="710"/>
    </row>
    <row r="34" spans="1:23" s="367" customFormat="1" ht="16.5" customHeight="1">
      <c r="A34" s="711" t="s">
        <v>164</v>
      </c>
      <c r="B34" s="713" t="s">
        <v>293</v>
      </c>
      <c r="C34" s="715" t="s">
        <v>345</v>
      </c>
      <c r="D34" s="716"/>
      <c r="E34" s="716"/>
      <c r="F34" s="381" t="s">
        <v>252</v>
      </c>
      <c r="G34" s="395"/>
      <c r="H34" s="398"/>
      <c r="I34" s="398"/>
      <c r="J34" s="398"/>
      <c r="K34" s="398" t="s">
        <v>346</v>
      </c>
      <c r="L34" s="408"/>
      <c r="M34" s="397"/>
      <c r="N34" s="414"/>
      <c r="O34" s="398"/>
      <c r="P34" s="398"/>
      <c r="Q34" s="398"/>
      <c r="R34" s="408"/>
      <c r="S34" s="408"/>
      <c r="T34" s="399"/>
      <c r="U34" s="708"/>
      <c r="V34" s="709"/>
      <c r="W34" s="675"/>
    </row>
    <row r="35" spans="1:23" s="367" customFormat="1" ht="16.5" customHeight="1">
      <c r="A35" s="712"/>
      <c r="B35" s="714"/>
      <c r="C35" s="690"/>
      <c r="D35" s="689"/>
      <c r="E35" s="689"/>
      <c r="F35" s="382" t="s">
        <v>270</v>
      </c>
      <c r="G35" s="415"/>
      <c r="H35" s="401"/>
      <c r="I35" s="401"/>
      <c r="J35" s="402"/>
      <c r="K35" s="402"/>
      <c r="L35" s="402"/>
      <c r="M35" s="410"/>
      <c r="N35" s="416"/>
      <c r="O35" s="401"/>
      <c r="P35" s="401"/>
      <c r="Q35" s="401"/>
      <c r="R35" s="401"/>
      <c r="S35" s="417"/>
      <c r="T35" s="404"/>
      <c r="U35" s="694"/>
      <c r="V35" s="695"/>
      <c r="W35" s="676"/>
    </row>
    <row r="36" spans="1:23" s="367" customFormat="1" ht="16.5" customHeight="1">
      <c r="A36" s="703" t="s">
        <v>143</v>
      </c>
      <c r="B36" s="691" t="s">
        <v>296</v>
      </c>
      <c r="C36" s="706" t="s">
        <v>347</v>
      </c>
      <c r="D36" s="707"/>
      <c r="E36" s="707"/>
      <c r="F36" s="389" t="s">
        <v>252</v>
      </c>
      <c r="G36" s="418"/>
      <c r="H36" s="365"/>
      <c r="I36" s="365"/>
      <c r="J36" s="365"/>
      <c r="K36" s="361" t="s">
        <v>348</v>
      </c>
      <c r="L36" s="361"/>
      <c r="M36" s="406"/>
      <c r="N36" s="419"/>
      <c r="O36" s="365"/>
      <c r="P36" s="365"/>
      <c r="Q36" s="365"/>
      <c r="R36" s="361"/>
      <c r="S36" s="361"/>
      <c r="T36" s="366"/>
      <c r="U36" s="708"/>
      <c r="V36" s="709"/>
      <c r="W36" s="719"/>
    </row>
    <row r="37" spans="1:23" s="367" customFormat="1" ht="16.5" customHeight="1">
      <c r="A37" s="704"/>
      <c r="B37" s="705"/>
      <c r="C37" s="668"/>
      <c r="D37" s="670"/>
      <c r="E37" s="670"/>
      <c r="F37" s="411" t="s">
        <v>270</v>
      </c>
      <c r="G37" s="420"/>
      <c r="H37" s="384"/>
      <c r="I37" s="384"/>
      <c r="J37" s="385"/>
      <c r="K37" s="385"/>
      <c r="L37" s="385"/>
      <c r="M37" s="393"/>
      <c r="N37" s="421"/>
      <c r="O37" s="384"/>
      <c r="P37" s="384"/>
      <c r="Q37" s="384"/>
      <c r="R37" s="384"/>
      <c r="S37" s="422"/>
      <c r="T37" s="388"/>
      <c r="U37" s="694"/>
      <c r="V37" s="695"/>
      <c r="W37" s="710"/>
    </row>
    <row r="38" spans="1:23" s="367" customFormat="1" ht="30" customHeight="1">
      <c r="A38" s="720" t="s">
        <v>230</v>
      </c>
      <c r="B38" s="721"/>
      <c r="C38" s="722"/>
      <c r="D38" s="723"/>
      <c r="E38" s="723"/>
      <c r="F38" s="723"/>
      <c r="G38" s="723"/>
      <c r="H38" s="723"/>
      <c r="I38" s="723"/>
      <c r="J38" s="723"/>
      <c r="K38" s="723"/>
      <c r="L38" s="723"/>
      <c r="M38" s="723"/>
      <c r="N38" s="723"/>
      <c r="O38" s="723"/>
      <c r="P38" s="723"/>
      <c r="Q38" s="723"/>
      <c r="R38" s="723"/>
      <c r="S38" s="723"/>
      <c r="T38" s="723"/>
      <c r="U38" s="723"/>
      <c r="V38" s="723"/>
      <c r="W38" s="724"/>
    </row>
  </sheetData>
  <mergeCells count="119">
    <mergeCell ref="W36:W37"/>
    <mergeCell ref="A38:B38"/>
    <mergeCell ref="C38:W38"/>
    <mergeCell ref="A36:A37"/>
    <mergeCell ref="B36:B37"/>
    <mergeCell ref="C36:C37"/>
    <mergeCell ref="D36:D37"/>
    <mergeCell ref="E36:E37"/>
    <mergeCell ref="U36:V37"/>
    <mergeCell ref="W32:W33"/>
    <mergeCell ref="A34:A35"/>
    <mergeCell ref="B34:B35"/>
    <mergeCell ref="C34:C35"/>
    <mergeCell ref="D34:D35"/>
    <mergeCell ref="E34:E35"/>
    <mergeCell ref="U34:V35"/>
    <mergeCell ref="W34:W35"/>
    <mergeCell ref="A32:A33"/>
    <mergeCell ref="B32:B33"/>
    <mergeCell ref="C32:C33"/>
    <mergeCell ref="D32:D33"/>
    <mergeCell ref="E32:E33"/>
    <mergeCell ref="U32:V33"/>
    <mergeCell ref="W28:W29"/>
    <mergeCell ref="A30:A31"/>
    <mergeCell ref="B30:B31"/>
    <mergeCell ref="C30:C31"/>
    <mergeCell ref="D30:D31"/>
    <mergeCell ref="E30:E31"/>
    <mergeCell ref="U30:V31"/>
    <mergeCell ref="W30:W31"/>
    <mergeCell ref="A28:A29"/>
    <mergeCell ref="B28:B29"/>
    <mergeCell ref="C28:C29"/>
    <mergeCell ref="D28:D29"/>
    <mergeCell ref="E28:E29"/>
    <mergeCell ref="U28:V29"/>
    <mergeCell ref="W24:W25"/>
    <mergeCell ref="B26:B27"/>
    <mergeCell ref="C26:C27"/>
    <mergeCell ref="D26:D27"/>
    <mergeCell ref="E26:E27"/>
    <mergeCell ref="U26:V27"/>
    <mergeCell ref="W26:W27"/>
    <mergeCell ref="A24:A27"/>
    <mergeCell ref="B24:B25"/>
    <mergeCell ref="C24:C25"/>
    <mergeCell ref="D24:D25"/>
    <mergeCell ref="E24:E25"/>
    <mergeCell ref="U24:V25"/>
    <mergeCell ref="U18:V19"/>
    <mergeCell ref="W18:W19"/>
    <mergeCell ref="E14:E15"/>
    <mergeCell ref="N14:T14"/>
    <mergeCell ref="U14:V15"/>
    <mergeCell ref="W14:W15"/>
    <mergeCell ref="W20:W21"/>
    <mergeCell ref="A22:A23"/>
    <mergeCell ref="B22:B23"/>
    <mergeCell ref="C22:C23"/>
    <mergeCell ref="D22:D23"/>
    <mergeCell ref="E22:E23"/>
    <mergeCell ref="U22:V23"/>
    <mergeCell ref="W22:W23"/>
    <mergeCell ref="A20:A21"/>
    <mergeCell ref="B20:B21"/>
    <mergeCell ref="C20:C21"/>
    <mergeCell ref="D20:D21"/>
    <mergeCell ref="E20:E21"/>
    <mergeCell ref="U20:V21"/>
    <mergeCell ref="U16:V17"/>
    <mergeCell ref="A10:A15"/>
    <mergeCell ref="A16:A19"/>
    <mergeCell ref="B18:B19"/>
    <mergeCell ref="U10:V11"/>
    <mergeCell ref="W10:W11"/>
    <mergeCell ref="B12:B13"/>
    <mergeCell ref="C12:C13"/>
    <mergeCell ref="D12:D13"/>
    <mergeCell ref="E12:E13"/>
    <mergeCell ref="U12:V13"/>
    <mergeCell ref="W12:W13"/>
    <mergeCell ref="W16:W17"/>
    <mergeCell ref="B10:B11"/>
    <mergeCell ref="C10:C11"/>
    <mergeCell ref="D10:D11"/>
    <mergeCell ref="E10:E11"/>
    <mergeCell ref="B14:B15"/>
    <mergeCell ref="C14:C15"/>
    <mergeCell ref="D14:D15"/>
    <mergeCell ref="B16:B17"/>
    <mergeCell ref="C16:C17"/>
    <mergeCell ref="D16:D17"/>
    <mergeCell ref="E16:E17"/>
    <mergeCell ref="C18:C19"/>
    <mergeCell ref="D18:D19"/>
    <mergeCell ref="E18:E19"/>
    <mergeCell ref="A6:A9"/>
    <mergeCell ref="B6:B9"/>
    <mergeCell ref="C6:C9"/>
    <mergeCell ref="D6:D9"/>
    <mergeCell ref="E6:E9"/>
    <mergeCell ref="F6:F9"/>
    <mergeCell ref="G6:T6"/>
    <mergeCell ref="U6:V9"/>
    <mergeCell ref="W6:W9"/>
    <mergeCell ref="G7:M7"/>
    <mergeCell ref="N7:T7"/>
    <mergeCell ref="A1:B2"/>
    <mergeCell ref="C1:K4"/>
    <mergeCell ref="L1:O1"/>
    <mergeCell ref="P1:S1"/>
    <mergeCell ref="T1:W1"/>
    <mergeCell ref="L2:O3"/>
    <mergeCell ref="P2:S3"/>
    <mergeCell ref="T2:W3"/>
    <mergeCell ref="A3:B4"/>
    <mergeCell ref="L4:Q4"/>
    <mergeCell ref="R4:W4"/>
  </mergeCells>
  <phoneticPr fontId="4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73" fitToHeight="0" orientation="landscape" r:id="rId1"/>
  <headerFooter>
    <oddFooter>&amp;L※ 본 양식은 단지 참조용으로 제시된 것이며 별도의 서식을 사용할 수 있음.&amp;RQA-8.6-3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21"/>
  <sheetViews>
    <sheetView showGridLines="0" view="pageBreakPreview" zoomScale="115" zoomScaleNormal="100" zoomScaleSheetLayoutView="115" workbookViewId="0">
      <selection activeCell="I21" sqref="I21:K21"/>
    </sheetView>
  </sheetViews>
  <sheetFormatPr defaultRowHeight="16.5"/>
  <cols>
    <col min="1" max="1" width="5.25" customWidth="1"/>
    <col min="2" max="2" width="13.75" customWidth="1"/>
    <col min="3" max="12" width="7.125" customWidth="1"/>
    <col min="13" max="13" width="7.625" customWidth="1"/>
    <col min="14" max="17" width="7.125" customWidth="1"/>
  </cols>
  <sheetData>
    <row r="1" spans="1:17" s="423" customFormat="1" ht="17.100000000000001" customHeight="1">
      <c r="A1" s="725"/>
      <c r="B1" s="725"/>
      <c r="C1" s="726" t="s">
        <v>349</v>
      </c>
      <c r="D1" s="726"/>
      <c r="E1" s="726"/>
      <c r="F1" s="726"/>
      <c r="G1" s="726"/>
      <c r="H1" s="726"/>
      <c r="I1" s="726"/>
      <c r="J1" s="726"/>
      <c r="K1" s="726"/>
      <c r="L1" s="729" t="s">
        <v>234</v>
      </c>
      <c r="M1" s="730"/>
      <c r="N1" s="731" t="s">
        <v>350</v>
      </c>
      <c r="O1" s="731"/>
      <c r="P1" s="732" t="s">
        <v>351</v>
      </c>
      <c r="Q1" s="730"/>
    </row>
    <row r="2" spans="1:17" s="423" customFormat="1" ht="20.100000000000001" customHeight="1">
      <c r="A2" s="725"/>
      <c r="B2" s="725"/>
      <c r="C2" s="727"/>
      <c r="D2" s="727"/>
      <c r="E2" s="727"/>
      <c r="F2" s="727"/>
      <c r="G2" s="727"/>
      <c r="H2" s="727"/>
      <c r="I2" s="727"/>
      <c r="J2" s="727"/>
      <c r="K2" s="727"/>
      <c r="L2" s="733"/>
      <c r="M2" s="734"/>
      <c r="N2" s="737"/>
      <c r="O2" s="737"/>
      <c r="P2" s="738"/>
      <c r="Q2" s="734"/>
    </row>
    <row r="3" spans="1:17" s="423" customFormat="1" ht="20.100000000000001" customHeight="1">
      <c r="A3" s="740" t="s">
        <v>352</v>
      </c>
      <c r="B3" s="740"/>
      <c r="C3" s="727"/>
      <c r="D3" s="727"/>
      <c r="E3" s="727"/>
      <c r="F3" s="727"/>
      <c r="G3" s="727"/>
      <c r="H3" s="727"/>
      <c r="I3" s="727"/>
      <c r="J3" s="727"/>
      <c r="K3" s="727"/>
      <c r="L3" s="735"/>
      <c r="M3" s="736"/>
      <c r="N3" s="737"/>
      <c r="O3" s="737"/>
      <c r="P3" s="739"/>
      <c r="Q3" s="736"/>
    </row>
    <row r="4" spans="1:17" s="423" customFormat="1" ht="17.100000000000001" customHeight="1">
      <c r="A4" s="740"/>
      <c r="B4" s="740"/>
      <c r="C4" s="728"/>
      <c r="D4" s="728"/>
      <c r="E4" s="728"/>
      <c r="F4" s="728"/>
      <c r="G4" s="728"/>
      <c r="H4" s="728"/>
      <c r="I4" s="728"/>
      <c r="J4" s="728"/>
      <c r="K4" s="728"/>
      <c r="L4" s="741" t="s">
        <v>353</v>
      </c>
      <c r="M4" s="742"/>
      <c r="N4" s="743" t="s">
        <v>354</v>
      </c>
      <c r="O4" s="737"/>
      <c r="P4" s="744" t="s">
        <v>355</v>
      </c>
      <c r="Q4" s="745"/>
    </row>
    <row r="5" spans="1:17" s="423" customFormat="1" ht="5.0999999999999996" customHeight="1">
      <c r="A5" s="746"/>
      <c r="B5" s="746"/>
      <c r="C5" s="746"/>
      <c r="D5" s="746"/>
      <c r="E5" s="746"/>
      <c r="F5" s="746"/>
      <c r="G5" s="746"/>
      <c r="H5" s="746"/>
      <c r="I5" s="746"/>
      <c r="J5" s="746"/>
      <c r="K5" s="746"/>
      <c r="L5" s="746"/>
      <c r="M5" s="746"/>
      <c r="N5" s="746"/>
      <c r="O5" s="746"/>
      <c r="P5" s="746"/>
      <c r="Q5" s="746"/>
    </row>
    <row r="6" spans="1:17" s="423" customFormat="1" ht="24.95" customHeight="1">
      <c r="A6" s="424" t="s">
        <v>356</v>
      </c>
      <c r="B6" s="424" t="s">
        <v>357</v>
      </c>
      <c r="C6" s="747" t="s">
        <v>358</v>
      </c>
      <c r="D6" s="747"/>
      <c r="E6" s="747"/>
      <c r="F6" s="747"/>
      <c r="G6" s="747"/>
      <c r="H6" s="747"/>
      <c r="I6" s="747" t="s">
        <v>359</v>
      </c>
      <c r="J6" s="747"/>
      <c r="K6" s="747"/>
      <c r="L6" s="747" t="s">
        <v>360</v>
      </c>
      <c r="M6" s="747"/>
      <c r="N6" s="747" t="s">
        <v>361</v>
      </c>
      <c r="O6" s="747"/>
      <c r="P6" s="747" t="s">
        <v>321</v>
      </c>
      <c r="Q6" s="747"/>
    </row>
    <row r="7" spans="1:17" s="426" customFormat="1" ht="26.1" customHeight="1">
      <c r="A7" s="434"/>
      <c r="B7" s="434"/>
      <c r="C7" s="748"/>
      <c r="D7" s="748"/>
      <c r="E7" s="748"/>
      <c r="F7" s="748"/>
      <c r="G7" s="748"/>
      <c r="H7" s="748"/>
      <c r="I7" s="749"/>
      <c r="J7" s="749"/>
      <c r="K7" s="749"/>
      <c r="L7" s="749"/>
      <c r="M7" s="749"/>
      <c r="N7" s="749"/>
      <c r="O7" s="749"/>
      <c r="P7" s="749"/>
      <c r="Q7" s="749"/>
    </row>
    <row r="8" spans="1:17" s="426" customFormat="1" ht="26.1" customHeight="1">
      <c r="A8" s="425"/>
      <c r="B8" s="425"/>
      <c r="C8" s="748"/>
      <c r="D8" s="748"/>
      <c r="E8" s="748"/>
      <c r="F8" s="748"/>
      <c r="G8" s="748"/>
      <c r="H8" s="748"/>
      <c r="I8" s="749"/>
      <c r="J8" s="749"/>
      <c r="K8" s="749"/>
      <c r="L8" s="749"/>
      <c r="M8" s="749"/>
      <c r="N8" s="749"/>
      <c r="O8" s="749"/>
      <c r="P8" s="749"/>
      <c r="Q8" s="749"/>
    </row>
    <row r="9" spans="1:17" s="426" customFormat="1" ht="26.1" customHeight="1">
      <c r="A9" s="425"/>
      <c r="B9" s="425"/>
      <c r="C9" s="748"/>
      <c r="D9" s="748"/>
      <c r="E9" s="748"/>
      <c r="F9" s="748"/>
      <c r="G9" s="748"/>
      <c r="H9" s="748"/>
      <c r="I9" s="749"/>
      <c r="J9" s="749"/>
      <c r="K9" s="749"/>
      <c r="L9" s="749"/>
      <c r="M9" s="749"/>
      <c r="N9" s="749"/>
      <c r="O9" s="749"/>
      <c r="P9" s="749"/>
      <c r="Q9" s="749"/>
    </row>
    <row r="10" spans="1:17" s="426" customFormat="1" ht="26.1" customHeight="1">
      <c r="A10" s="425"/>
      <c r="B10" s="425"/>
      <c r="C10" s="748"/>
      <c r="D10" s="748"/>
      <c r="E10" s="748"/>
      <c r="F10" s="748"/>
      <c r="G10" s="748"/>
      <c r="H10" s="748"/>
      <c r="I10" s="749"/>
      <c r="J10" s="749"/>
      <c r="K10" s="749"/>
      <c r="L10" s="749"/>
      <c r="M10" s="749"/>
      <c r="N10" s="749"/>
      <c r="O10" s="749"/>
      <c r="P10" s="749"/>
      <c r="Q10" s="749"/>
    </row>
    <row r="11" spans="1:17" s="426" customFormat="1" ht="26.1" customHeight="1">
      <c r="A11" s="425"/>
      <c r="B11" s="425"/>
      <c r="C11" s="748"/>
      <c r="D11" s="748"/>
      <c r="E11" s="748"/>
      <c r="F11" s="748"/>
      <c r="G11" s="748"/>
      <c r="H11" s="748"/>
      <c r="I11" s="749"/>
      <c r="J11" s="749"/>
      <c r="K11" s="749"/>
      <c r="L11" s="749"/>
      <c r="M11" s="749"/>
      <c r="N11" s="749"/>
      <c r="O11" s="749"/>
      <c r="P11" s="749"/>
      <c r="Q11" s="749"/>
    </row>
    <row r="12" spans="1:17" s="426" customFormat="1" ht="26.1" customHeight="1">
      <c r="A12" s="425"/>
      <c r="B12" s="425"/>
      <c r="C12" s="748"/>
      <c r="D12" s="748"/>
      <c r="E12" s="748"/>
      <c r="F12" s="748"/>
      <c r="G12" s="748"/>
      <c r="H12" s="748"/>
      <c r="I12" s="749"/>
      <c r="J12" s="749"/>
      <c r="K12" s="749"/>
      <c r="L12" s="749"/>
      <c r="M12" s="749"/>
      <c r="N12" s="749"/>
      <c r="O12" s="749"/>
      <c r="P12" s="749"/>
      <c r="Q12" s="749"/>
    </row>
    <row r="13" spans="1:17" s="426" customFormat="1" ht="26.1" customHeight="1">
      <c r="A13" s="425"/>
      <c r="B13" s="425"/>
      <c r="C13" s="748"/>
      <c r="D13" s="748"/>
      <c r="E13" s="748"/>
      <c r="F13" s="748"/>
      <c r="G13" s="748"/>
      <c r="H13" s="748"/>
      <c r="I13" s="749"/>
      <c r="J13" s="749"/>
      <c r="K13" s="749"/>
      <c r="L13" s="749"/>
      <c r="M13" s="749"/>
      <c r="N13" s="749"/>
      <c r="O13" s="749"/>
      <c r="P13" s="749"/>
      <c r="Q13" s="749"/>
    </row>
    <row r="14" spans="1:17" s="426" customFormat="1" ht="26.1" customHeight="1">
      <c r="A14" s="425"/>
      <c r="B14" s="425"/>
      <c r="C14" s="748"/>
      <c r="D14" s="748"/>
      <c r="E14" s="748"/>
      <c r="F14" s="748"/>
      <c r="G14" s="748"/>
      <c r="H14" s="748"/>
      <c r="I14" s="749"/>
      <c r="J14" s="749"/>
      <c r="K14" s="749"/>
      <c r="L14" s="749"/>
      <c r="M14" s="749"/>
      <c r="N14" s="749"/>
      <c r="O14" s="749"/>
      <c r="P14" s="749"/>
      <c r="Q14" s="749"/>
    </row>
    <row r="15" spans="1:17" s="426" customFormat="1" ht="26.1" customHeight="1">
      <c r="A15" s="425"/>
      <c r="B15" s="425"/>
      <c r="C15" s="748"/>
      <c r="D15" s="748"/>
      <c r="E15" s="748"/>
      <c r="F15" s="748"/>
      <c r="G15" s="748"/>
      <c r="H15" s="748"/>
      <c r="I15" s="749"/>
      <c r="J15" s="749"/>
      <c r="K15" s="749"/>
      <c r="L15" s="749"/>
      <c r="M15" s="749"/>
      <c r="N15" s="749"/>
      <c r="O15" s="749"/>
      <c r="P15" s="749"/>
      <c r="Q15" s="749"/>
    </row>
    <row r="16" spans="1:17" s="426" customFormat="1" ht="26.1" customHeight="1">
      <c r="A16" s="425"/>
      <c r="B16" s="425"/>
      <c r="C16" s="748"/>
      <c r="D16" s="748"/>
      <c r="E16" s="748"/>
      <c r="F16" s="748"/>
      <c r="G16" s="748"/>
      <c r="H16" s="748"/>
      <c r="I16" s="749"/>
      <c r="J16" s="749"/>
      <c r="K16" s="749"/>
      <c r="L16" s="749"/>
      <c r="M16" s="749"/>
      <c r="N16" s="749"/>
      <c r="O16" s="749"/>
      <c r="P16" s="749"/>
      <c r="Q16" s="749"/>
    </row>
    <row r="17" spans="1:17" s="426" customFormat="1" ht="26.1" customHeight="1">
      <c r="A17" s="425"/>
      <c r="B17" s="425"/>
      <c r="C17" s="748"/>
      <c r="D17" s="748"/>
      <c r="E17" s="748"/>
      <c r="F17" s="748"/>
      <c r="G17" s="748"/>
      <c r="H17" s="748"/>
      <c r="I17" s="749"/>
      <c r="J17" s="749"/>
      <c r="K17" s="749"/>
      <c r="L17" s="749"/>
      <c r="M17" s="749"/>
      <c r="N17" s="749"/>
      <c r="O17" s="749"/>
      <c r="P17" s="749"/>
      <c r="Q17" s="749"/>
    </row>
    <row r="18" spans="1:17" s="426" customFormat="1" ht="26.1" customHeight="1">
      <c r="A18" s="425"/>
      <c r="B18" s="425"/>
      <c r="C18" s="748"/>
      <c r="D18" s="748"/>
      <c r="E18" s="748"/>
      <c r="F18" s="748"/>
      <c r="G18" s="748"/>
      <c r="H18" s="748"/>
      <c r="I18" s="749"/>
      <c r="J18" s="749"/>
      <c r="K18" s="749"/>
      <c r="L18" s="749"/>
      <c r="M18" s="749"/>
      <c r="N18" s="749"/>
      <c r="O18" s="749"/>
      <c r="P18" s="749"/>
      <c r="Q18" s="749"/>
    </row>
    <row r="19" spans="1:17" s="426" customFormat="1" ht="26.1" customHeight="1">
      <c r="A19" s="425"/>
      <c r="B19" s="425"/>
      <c r="C19" s="748"/>
      <c r="D19" s="748"/>
      <c r="E19" s="748"/>
      <c r="F19" s="748"/>
      <c r="G19" s="748"/>
      <c r="H19" s="748"/>
      <c r="I19" s="749"/>
      <c r="J19" s="749"/>
      <c r="K19" s="749"/>
      <c r="L19" s="749"/>
      <c r="M19" s="749"/>
      <c r="N19" s="749"/>
      <c r="O19" s="749"/>
      <c r="P19" s="749"/>
      <c r="Q19" s="749"/>
    </row>
    <row r="20" spans="1:17" s="426" customFormat="1" ht="26.1" customHeight="1">
      <c r="A20" s="425"/>
      <c r="B20" s="425"/>
      <c r="C20" s="748"/>
      <c r="D20" s="748"/>
      <c r="E20" s="748"/>
      <c r="F20" s="748"/>
      <c r="G20" s="748"/>
      <c r="H20" s="748"/>
      <c r="I20" s="749"/>
      <c r="J20" s="749"/>
      <c r="K20" s="749"/>
      <c r="L20" s="749"/>
      <c r="M20" s="749"/>
      <c r="N20" s="749"/>
      <c r="O20" s="749"/>
      <c r="P20" s="749"/>
      <c r="Q20" s="749"/>
    </row>
    <row r="21" spans="1:17" s="426" customFormat="1" ht="26.1" customHeight="1">
      <c r="A21" s="425"/>
      <c r="B21" s="425"/>
      <c r="C21" s="748"/>
      <c r="D21" s="748"/>
      <c r="E21" s="748"/>
      <c r="F21" s="748"/>
      <c r="G21" s="748"/>
      <c r="H21" s="748"/>
      <c r="I21" s="749"/>
      <c r="J21" s="749"/>
      <c r="K21" s="749"/>
      <c r="L21" s="749"/>
      <c r="M21" s="749"/>
      <c r="N21" s="749"/>
      <c r="O21" s="749"/>
      <c r="P21" s="749"/>
      <c r="Q21" s="749"/>
    </row>
  </sheetData>
  <mergeCells count="93">
    <mergeCell ref="C20:H20"/>
    <mergeCell ref="I20:K20"/>
    <mergeCell ref="L20:M20"/>
    <mergeCell ref="N20:O20"/>
    <mergeCell ref="P20:Q20"/>
    <mergeCell ref="C21:H21"/>
    <mergeCell ref="I21:K21"/>
    <mergeCell ref="L21:M21"/>
    <mergeCell ref="N21:O21"/>
    <mergeCell ref="P21:Q21"/>
    <mergeCell ref="C18:H18"/>
    <mergeCell ref="I18:K18"/>
    <mergeCell ref="L18:M18"/>
    <mergeCell ref="N18:O18"/>
    <mergeCell ref="P18:Q18"/>
    <mergeCell ref="C19:H19"/>
    <mergeCell ref="I19:K19"/>
    <mergeCell ref="L19:M19"/>
    <mergeCell ref="N19:O19"/>
    <mergeCell ref="P19:Q19"/>
    <mergeCell ref="C16:H16"/>
    <mergeCell ref="I16:K16"/>
    <mergeCell ref="L16:M16"/>
    <mergeCell ref="N16:O16"/>
    <mergeCell ref="P16:Q16"/>
    <mergeCell ref="C17:H17"/>
    <mergeCell ref="I17:K17"/>
    <mergeCell ref="L17:M17"/>
    <mergeCell ref="N17:O17"/>
    <mergeCell ref="P17:Q17"/>
    <mergeCell ref="C14:H14"/>
    <mergeCell ref="I14:K14"/>
    <mergeCell ref="L14:M14"/>
    <mergeCell ref="N14:O14"/>
    <mergeCell ref="P14:Q14"/>
    <mergeCell ref="C15:H15"/>
    <mergeCell ref="I15:K15"/>
    <mergeCell ref="L15:M15"/>
    <mergeCell ref="N15:O15"/>
    <mergeCell ref="P15:Q15"/>
    <mergeCell ref="C12:H12"/>
    <mergeCell ref="I12:K12"/>
    <mergeCell ref="L12:M12"/>
    <mergeCell ref="N12:O12"/>
    <mergeCell ref="P12:Q12"/>
    <mergeCell ref="C13:H13"/>
    <mergeCell ref="I13:K13"/>
    <mergeCell ref="L13:M13"/>
    <mergeCell ref="N13:O13"/>
    <mergeCell ref="P13:Q13"/>
    <mergeCell ref="C10:H10"/>
    <mergeCell ref="I10:K10"/>
    <mergeCell ref="L10:M10"/>
    <mergeCell ref="N10:O10"/>
    <mergeCell ref="P10:Q10"/>
    <mergeCell ref="C11:H11"/>
    <mergeCell ref="I11:K11"/>
    <mergeCell ref="L11:M11"/>
    <mergeCell ref="N11:O11"/>
    <mergeCell ref="P11:Q11"/>
    <mergeCell ref="C8:H8"/>
    <mergeCell ref="I8:K8"/>
    <mergeCell ref="L8:M8"/>
    <mergeCell ref="N8:O8"/>
    <mergeCell ref="P8:Q8"/>
    <mergeCell ref="C9:H9"/>
    <mergeCell ref="I9:K9"/>
    <mergeCell ref="L9:M9"/>
    <mergeCell ref="N9:O9"/>
    <mergeCell ref="P9:Q9"/>
    <mergeCell ref="C7:H7"/>
    <mergeCell ref="I7:K7"/>
    <mergeCell ref="L7:M7"/>
    <mergeCell ref="N7:O7"/>
    <mergeCell ref="P7:Q7"/>
    <mergeCell ref="A5:Q5"/>
    <mergeCell ref="C6:H6"/>
    <mergeCell ref="I6:K6"/>
    <mergeCell ref="L6:M6"/>
    <mergeCell ref="N6:O6"/>
    <mergeCell ref="P6:Q6"/>
    <mergeCell ref="A1:B2"/>
    <mergeCell ref="C1:K4"/>
    <mergeCell ref="L1:M1"/>
    <mergeCell ref="N1:O1"/>
    <mergeCell ref="P1:Q1"/>
    <mergeCell ref="L2:M3"/>
    <mergeCell ref="N2:O3"/>
    <mergeCell ref="P2:Q3"/>
    <mergeCell ref="A3:B4"/>
    <mergeCell ref="L4:M4"/>
    <mergeCell ref="N4:O4"/>
    <mergeCell ref="P4:Q4"/>
  </mergeCells>
  <phoneticPr fontId="4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9" fitToHeight="0" orientation="landscape" r:id="rId1"/>
  <headerFooter>
    <oddFooter>&amp;L&amp;10※ 본 양식은 단지 참조용으로 제시된 것이며 별도의 서식을 사용할 수 있음.&amp;R&amp;"맑은 고딕,보통"&amp;10QA-8.6-4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7"/>
  <sheetViews>
    <sheetView showGridLines="0" view="pageBreakPreview" topLeftCell="A10" zoomScaleNormal="100" zoomScaleSheetLayoutView="100" workbookViewId="0">
      <selection activeCell="I23" sqref="I23:N23"/>
    </sheetView>
  </sheetViews>
  <sheetFormatPr defaultColWidth="9" defaultRowHeight="17.25"/>
  <cols>
    <col min="1" max="7" width="5.875" style="428" customWidth="1"/>
    <col min="8" max="9" width="6.125" style="428" customWidth="1"/>
    <col min="10" max="14" width="5.875" style="428" customWidth="1"/>
    <col min="15" max="16384" width="9" style="428"/>
  </cols>
  <sheetData>
    <row r="1" spans="1:14" ht="38.1" customHeight="1">
      <c r="A1" s="750" t="s">
        <v>362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</row>
    <row r="2" spans="1:14" ht="9.9499999999999993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</row>
    <row r="3" spans="1:14" s="429" customFormat="1" ht="30" customHeight="1">
      <c r="A3" s="751" t="s">
        <v>363</v>
      </c>
      <c r="B3" s="751"/>
      <c r="C3" s="752" t="s">
        <v>364</v>
      </c>
      <c r="D3" s="753"/>
      <c r="E3" s="753"/>
      <c r="F3" s="753"/>
      <c r="G3" s="753"/>
      <c r="H3" s="753"/>
      <c r="I3" s="753"/>
      <c r="J3" s="753"/>
      <c r="K3" s="753"/>
      <c r="L3" s="753"/>
      <c r="M3" s="753"/>
      <c r="N3" s="754"/>
    </row>
    <row r="4" spans="1:14" s="429" customFormat="1" ht="30" customHeight="1">
      <c r="A4" s="751" t="s">
        <v>365</v>
      </c>
      <c r="B4" s="751"/>
      <c r="C4" s="751"/>
      <c r="D4" s="751"/>
      <c r="E4" s="751"/>
      <c r="F4" s="751"/>
      <c r="G4" s="751"/>
      <c r="H4" s="751" t="s">
        <v>366</v>
      </c>
      <c r="I4" s="751"/>
      <c r="J4" s="751" t="s">
        <v>367</v>
      </c>
      <c r="K4" s="751"/>
      <c r="L4" s="751"/>
      <c r="M4" s="751"/>
      <c r="N4" s="751"/>
    </row>
    <row r="5" spans="1:14" s="429" customFormat="1" ht="30" customHeight="1">
      <c r="A5" s="751" t="s">
        <v>368</v>
      </c>
      <c r="B5" s="751"/>
      <c r="C5" s="751" t="s">
        <v>412</v>
      </c>
      <c r="D5" s="751"/>
      <c r="E5" s="751"/>
      <c r="F5" s="751"/>
      <c r="G5" s="751"/>
      <c r="H5" s="751" t="s">
        <v>369</v>
      </c>
      <c r="I5" s="751"/>
      <c r="J5" s="751" t="s">
        <v>370</v>
      </c>
      <c r="K5" s="751"/>
      <c r="L5" s="751"/>
      <c r="M5" s="751"/>
      <c r="N5" s="751"/>
    </row>
    <row r="6" spans="1:14" s="429" customFormat="1" ht="30" customHeight="1">
      <c r="A6" s="751" t="s">
        <v>371</v>
      </c>
      <c r="B6" s="751"/>
      <c r="C6" s="751"/>
      <c r="D6" s="751"/>
      <c r="E6" s="751"/>
      <c r="F6" s="751"/>
      <c r="G6" s="751"/>
      <c r="H6" s="755" t="s">
        <v>372</v>
      </c>
      <c r="I6" s="756"/>
      <c r="J6" s="751"/>
      <c r="K6" s="751"/>
      <c r="L6" s="751"/>
      <c r="M6" s="751"/>
      <c r="N6" s="751"/>
    </row>
    <row r="7" spans="1:14" s="429" customFormat="1" ht="30" customHeight="1">
      <c r="A7" s="751" t="s">
        <v>373</v>
      </c>
      <c r="B7" s="751"/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</row>
    <row r="8" spans="1:14" s="429" customFormat="1" ht="24.95" customHeight="1">
      <c r="A8" s="751" t="s">
        <v>374</v>
      </c>
      <c r="B8" s="751"/>
      <c r="C8" s="751" t="s">
        <v>375</v>
      </c>
      <c r="D8" s="751"/>
      <c r="E8" s="751"/>
      <c r="F8" s="751" t="s">
        <v>376</v>
      </c>
      <c r="G8" s="751"/>
      <c r="H8" s="751"/>
      <c r="I8" s="751" t="s">
        <v>377</v>
      </c>
      <c r="J8" s="751"/>
      <c r="K8" s="751"/>
      <c r="L8" s="751" t="s">
        <v>378</v>
      </c>
      <c r="M8" s="751"/>
      <c r="N8" s="751"/>
    </row>
    <row r="9" spans="1:14" s="429" customFormat="1" ht="24.95" customHeight="1">
      <c r="A9" s="751"/>
      <c r="B9" s="751"/>
      <c r="C9" s="751" t="s">
        <v>379</v>
      </c>
      <c r="D9" s="751"/>
      <c r="E9" s="751"/>
      <c r="F9" s="751" t="s">
        <v>380</v>
      </c>
      <c r="G9" s="751"/>
      <c r="H9" s="751"/>
      <c r="I9" s="751" t="s">
        <v>381</v>
      </c>
      <c r="J9" s="751"/>
      <c r="K9" s="751"/>
      <c r="L9" s="751" t="s">
        <v>382</v>
      </c>
      <c r="M9" s="751"/>
      <c r="N9" s="751"/>
    </row>
    <row r="10" spans="1:14" s="429" customFormat="1" ht="24.95" customHeight="1">
      <c r="A10" s="751" t="s">
        <v>383</v>
      </c>
      <c r="B10" s="751"/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</row>
    <row r="11" spans="1:14" s="429" customFormat="1" ht="20.100000000000001" customHeight="1">
      <c r="A11" s="757"/>
      <c r="B11" s="757"/>
      <c r="C11" s="757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</row>
    <row r="12" spans="1:14" s="429" customFormat="1" ht="20.100000000000001" customHeight="1">
      <c r="A12" s="758"/>
      <c r="B12" s="758"/>
      <c r="C12" s="758"/>
      <c r="D12" s="758"/>
      <c r="E12" s="758"/>
      <c r="F12" s="758"/>
      <c r="G12" s="758"/>
      <c r="H12" s="758"/>
      <c r="I12" s="758"/>
      <c r="J12" s="758"/>
      <c r="K12" s="758"/>
      <c r="L12" s="758"/>
      <c r="M12" s="758"/>
      <c r="N12" s="758"/>
    </row>
    <row r="13" spans="1:14" s="429" customFormat="1" ht="20.100000000000001" customHeight="1">
      <c r="A13" s="758"/>
      <c r="B13" s="758"/>
      <c r="C13" s="758"/>
      <c r="D13" s="758"/>
      <c r="E13" s="758"/>
      <c r="F13" s="758"/>
      <c r="G13" s="758"/>
      <c r="H13" s="758"/>
      <c r="I13" s="758"/>
      <c r="J13" s="758"/>
      <c r="K13" s="758"/>
      <c r="L13" s="758"/>
      <c r="M13" s="758"/>
      <c r="N13" s="758"/>
    </row>
    <row r="14" spans="1:14" s="429" customFormat="1" ht="20.100000000000001" customHeight="1">
      <c r="A14" s="758"/>
      <c r="B14" s="758"/>
      <c r="C14" s="758"/>
      <c r="D14" s="758"/>
      <c r="E14" s="758"/>
      <c r="F14" s="758"/>
      <c r="G14" s="758"/>
      <c r="H14" s="758"/>
      <c r="I14" s="758"/>
      <c r="J14" s="758"/>
      <c r="K14" s="758"/>
      <c r="L14" s="758"/>
      <c r="M14" s="758"/>
      <c r="N14" s="758"/>
    </row>
    <row r="15" spans="1:14" s="429" customFormat="1" ht="20.100000000000001" customHeight="1">
      <c r="A15" s="759"/>
      <c r="B15" s="759"/>
      <c r="C15" s="759"/>
      <c r="D15" s="759"/>
      <c r="E15" s="759"/>
      <c r="F15" s="759"/>
      <c r="G15" s="759"/>
      <c r="H15" s="759"/>
      <c r="I15" s="759"/>
      <c r="J15" s="759"/>
      <c r="K15" s="759"/>
      <c r="L15" s="759"/>
      <c r="M15" s="759"/>
      <c r="N15" s="759"/>
    </row>
    <row r="16" spans="1:14" s="429" customFormat="1" ht="30" customHeight="1">
      <c r="A16" s="760" t="s">
        <v>384</v>
      </c>
      <c r="B16" s="761"/>
      <c r="C16" s="761"/>
      <c r="D16" s="761"/>
      <c r="E16" s="761"/>
      <c r="F16" s="761"/>
      <c r="G16" s="761"/>
      <c r="H16" s="761"/>
      <c r="I16" s="761"/>
      <c r="J16" s="761"/>
      <c r="K16" s="761"/>
      <c r="L16" s="761"/>
      <c r="M16" s="761"/>
      <c r="N16" s="762"/>
    </row>
    <row r="17" spans="1:14" s="429" customFormat="1" ht="30" customHeight="1">
      <c r="A17" s="763" t="s">
        <v>413</v>
      </c>
      <c r="B17" s="764"/>
      <c r="C17" s="764"/>
      <c r="D17" s="764"/>
      <c r="E17" s="764"/>
      <c r="F17" s="764"/>
      <c r="G17" s="764"/>
      <c r="H17" s="764"/>
      <c r="I17" s="764"/>
      <c r="J17" s="764"/>
      <c r="K17" s="764"/>
      <c r="L17" s="764"/>
      <c r="M17" s="764"/>
      <c r="N17" s="765"/>
    </row>
    <row r="18" spans="1:14" s="429" customFormat="1" ht="24.95" customHeight="1">
      <c r="A18" s="766"/>
      <c r="B18" s="767"/>
      <c r="C18" s="767"/>
      <c r="D18" s="767"/>
      <c r="E18" s="767"/>
      <c r="F18" s="767"/>
      <c r="G18" s="767"/>
      <c r="H18" s="767"/>
      <c r="I18" s="767"/>
      <c r="J18" s="767"/>
      <c r="K18" s="767"/>
      <c r="L18" s="767"/>
      <c r="M18" s="767"/>
      <c r="N18" s="768"/>
    </row>
    <row r="19" spans="1:14" ht="38.1" customHeight="1">
      <c r="A19" s="750" t="s">
        <v>385</v>
      </c>
      <c r="B19" s="750"/>
      <c r="C19" s="750"/>
      <c r="D19" s="750"/>
      <c r="E19" s="750"/>
      <c r="F19" s="750"/>
      <c r="G19" s="750"/>
      <c r="H19" s="750"/>
      <c r="I19" s="750"/>
      <c r="J19" s="750"/>
      <c r="K19" s="750"/>
      <c r="L19" s="750"/>
      <c r="M19" s="750"/>
      <c r="N19" s="750"/>
    </row>
    <row r="20" spans="1:14" ht="9.9499999999999993" customHeight="1"/>
    <row r="21" spans="1:14" s="429" customFormat="1" ht="30" customHeight="1">
      <c r="A21" s="751" t="s">
        <v>386</v>
      </c>
      <c r="B21" s="751"/>
      <c r="C21" s="751" t="s">
        <v>387</v>
      </c>
      <c r="D21" s="751"/>
      <c r="E21" s="751"/>
      <c r="F21" s="751"/>
      <c r="G21" s="751"/>
      <c r="H21" s="751" t="s">
        <v>388</v>
      </c>
      <c r="I21" s="751"/>
      <c r="J21" s="751" t="s">
        <v>389</v>
      </c>
      <c r="K21" s="751"/>
      <c r="L21" s="751"/>
      <c r="M21" s="751"/>
      <c r="N21" s="751"/>
    </row>
    <row r="22" spans="1:14" s="429" customFormat="1" ht="24.95" customHeight="1">
      <c r="A22" s="751" t="s">
        <v>390</v>
      </c>
      <c r="B22" s="751"/>
      <c r="C22" s="751" t="s">
        <v>422</v>
      </c>
      <c r="D22" s="751"/>
      <c r="E22" s="751"/>
      <c r="F22" s="751"/>
      <c r="G22" s="751"/>
      <c r="H22" s="751"/>
      <c r="I22" s="751" t="s">
        <v>391</v>
      </c>
      <c r="J22" s="751"/>
      <c r="K22" s="751"/>
      <c r="L22" s="751"/>
      <c r="M22" s="751"/>
      <c r="N22" s="751"/>
    </row>
    <row r="23" spans="1:14" s="429" customFormat="1" ht="54.95" customHeight="1">
      <c r="A23" s="751"/>
      <c r="B23" s="751"/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</row>
    <row r="24" spans="1:14" s="429" customFormat="1" ht="27.95" customHeight="1">
      <c r="A24" s="751" t="s">
        <v>392</v>
      </c>
      <c r="B24" s="751"/>
      <c r="C24" s="769" t="s">
        <v>393</v>
      </c>
      <c r="D24" s="769"/>
      <c r="E24" s="769"/>
      <c r="F24" s="769"/>
      <c r="G24" s="769"/>
      <c r="H24" s="769"/>
      <c r="I24" s="769" t="s">
        <v>394</v>
      </c>
      <c r="J24" s="769"/>
      <c r="K24" s="769"/>
      <c r="L24" s="769"/>
      <c r="M24" s="769"/>
      <c r="N24" s="769"/>
    </row>
    <row r="25" spans="1:14" s="429" customFormat="1" ht="27.95" customHeight="1">
      <c r="A25" s="751"/>
      <c r="B25" s="751"/>
      <c r="C25" s="769" t="s">
        <v>395</v>
      </c>
      <c r="D25" s="769"/>
      <c r="E25" s="769"/>
      <c r="F25" s="769"/>
      <c r="G25" s="769"/>
      <c r="H25" s="769"/>
      <c r="I25" s="769" t="s">
        <v>396</v>
      </c>
      <c r="J25" s="769"/>
      <c r="K25" s="769"/>
      <c r="L25" s="769"/>
      <c r="M25" s="769"/>
      <c r="N25" s="769"/>
    </row>
    <row r="26" spans="1:14" s="429" customFormat="1" ht="35.1" customHeight="1">
      <c r="A26" s="770" t="s">
        <v>397</v>
      </c>
      <c r="B26" s="751"/>
      <c r="C26" s="751"/>
      <c r="D26" s="751"/>
      <c r="E26" s="751"/>
      <c r="F26" s="751"/>
      <c r="G26" s="751"/>
      <c r="H26" s="755" t="s">
        <v>398</v>
      </c>
      <c r="I26" s="771"/>
      <c r="J26" s="756"/>
      <c r="K26" s="772" t="s">
        <v>399</v>
      </c>
      <c r="L26" s="773"/>
      <c r="M26" s="773"/>
      <c r="N26" s="774"/>
    </row>
    <row r="27" spans="1:14" s="429" customFormat="1" ht="35.1" customHeight="1">
      <c r="A27" s="751"/>
      <c r="B27" s="751"/>
      <c r="C27" s="751"/>
      <c r="D27" s="751"/>
      <c r="E27" s="751"/>
      <c r="F27" s="751"/>
      <c r="G27" s="751"/>
      <c r="H27" s="755" t="s">
        <v>400</v>
      </c>
      <c r="I27" s="771"/>
      <c r="J27" s="756"/>
      <c r="K27" s="772" t="s">
        <v>401</v>
      </c>
      <c r="L27" s="773"/>
      <c r="M27" s="773"/>
      <c r="N27" s="774"/>
    </row>
  </sheetData>
  <mergeCells count="55">
    <mergeCell ref="A26:G27"/>
    <mergeCell ref="H26:J26"/>
    <mergeCell ref="K26:N26"/>
    <mergeCell ref="H27:J27"/>
    <mergeCell ref="K27:N27"/>
    <mergeCell ref="A22:B23"/>
    <mergeCell ref="C22:H22"/>
    <mergeCell ref="I22:N22"/>
    <mergeCell ref="C23:H23"/>
    <mergeCell ref="I23:N23"/>
    <mergeCell ref="A24:B25"/>
    <mergeCell ref="C24:H24"/>
    <mergeCell ref="I24:N24"/>
    <mergeCell ref="C25:H25"/>
    <mergeCell ref="I25:N25"/>
    <mergeCell ref="A21:B21"/>
    <mergeCell ref="C21:G21"/>
    <mergeCell ref="H21:I21"/>
    <mergeCell ref="J21:N21"/>
    <mergeCell ref="L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7:B7"/>
    <mergeCell ref="C7:N7"/>
    <mergeCell ref="A8:B9"/>
    <mergeCell ref="C8:E8"/>
    <mergeCell ref="F8:H8"/>
    <mergeCell ref="I8:K8"/>
    <mergeCell ref="L8:N8"/>
    <mergeCell ref="C9:E9"/>
    <mergeCell ref="F9:H9"/>
    <mergeCell ref="I9:K9"/>
    <mergeCell ref="A5:B5"/>
    <mergeCell ref="C5:G5"/>
    <mergeCell ref="H5:I5"/>
    <mergeCell ref="J5:N5"/>
    <mergeCell ref="A6:B6"/>
    <mergeCell ref="C6:G6"/>
    <mergeCell ref="H6:I6"/>
    <mergeCell ref="J6:N6"/>
    <mergeCell ref="A1:N1"/>
    <mergeCell ref="A3:B3"/>
    <mergeCell ref="C3:N3"/>
    <mergeCell ref="A4:B4"/>
    <mergeCell ref="C4:G4"/>
    <mergeCell ref="H4:I4"/>
    <mergeCell ref="J4:N4"/>
  </mergeCells>
  <phoneticPr fontId="4" type="noConversion"/>
  <printOptions horizontalCentered="1" verticalCentered="1"/>
  <pageMargins left="0.51181102362204722" right="0.51181102362204722" top="0.55118110236220474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고딕,보통"&amp;10QA-8.6-5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X20"/>
  <sheetViews>
    <sheetView view="pageBreakPreview" zoomScale="115" zoomScaleNormal="100" zoomScaleSheetLayoutView="115" workbookViewId="0">
      <selection activeCell="H5" sqref="H5:K6"/>
    </sheetView>
  </sheetViews>
  <sheetFormatPr defaultColWidth="9" defaultRowHeight="16.5"/>
  <cols>
    <col min="1" max="1" width="5.625" style="430" customWidth="1"/>
    <col min="2" max="4" width="3.625" style="430" customWidth="1"/>
    <col min="5" max="11" width="5.625" style="430" customWidth="1"/>
    <col min="12" max="13" width="3.625" style="430" customWidth="1"/>
    <col min="14" max="20" width="8.625" style="430" customWidth="1"/>
    <col min="21" max="24" width="5.625" style="430" customWidth="1"/>
    <col min="25" max="16384" width="9" style="430"/>
  </cols>
  <sheetData>
    <row r="1" spans="1:24" ht="38.1" customHeight="1">
      <c r="A1" s="775"/>
      <c r="B1" s="775"/>
      <c r="C1" s="775"/>
      <c r="D1" s="775"/>
      <c r="E1" s="775"/>
      <c r="F1" s="776" t="s">
        <v>402</v>
      </c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  <c r="V1" s="776"/>
      <c r="W1" s="776"/>
      <c r="X1" s="776"/>
    </row>
    <row r="2" spans="1:24" ht="38.1" customHeight="1">
      <c r="A2" s="777" t="s">
        <v>403</v>
      </c>
      <c r="B2" s="777"/>
      <c r="C2" s="777"/>
      <c r="D2" s="777"/>
      <c r="E2" s="777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</row>
    <row r="3" spans="1:24" s="431" customFormat="1" ht="20.100000000000001" customHeight="1">
      <c r="A3" s="778" t="s">
        <v>404</v>
      </c>
      <c r="B3" s="778" t="s">
        <v>405</v>
      </c>
      <c r="C3" s="778"/>
      <c r="D3" s="778"/>
      <c r="E3" s="778" t="s">
        <v>406</v>
      </c>
      <c r="F3" s="778"/>
      <c r="G3" s="778"/>
      <c r="H3" s="778" t="s">
        <v>407</v>
      </c>
      <c r="I3" s="778"/>
      <c r="J3" s="778"/>
      <c r="K3" s="778"/>
      <c r="L3" s="779" t="s">
        <v>408</v>
      </c>
      <c r="M3" s="778"/>
      <c r="N3" s="778" t="s">
        <v>409</v>
      </c>
      <c r="O3" s="778"/>
      <c r="P3" s="778"/>
      <c r="Q3" s="778"/>
      <c r="R3" s="778"/>
      <c r="S3" s="778"/>
      <c r="T3" s="778"/>
      <c r="U3" s="778" t="s">
        <v>410</v>
      </c>
      <c r="V3" s="778"/>
      <c r="W3" s="778" t="s">
        <v>411</v>
      </c>
      <c r="X3" s="778"/>
    </row>
    <row r="4" spans="1:24" s="431" customFormat="1" ht="20.100000000000001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  <c r="N4" s="851"/>
      <c r="O4" s="851"/>
      <c r="P4" s="851"/>
      <c r="Q4" s="851"/>
      <c r="R4" s="851"/>
      <c r="S4" s="851"/>
      <c r="T4" s="851"/>
      <c r="U4" s="778"/>
      <c r="V4" s="778"/>
      <c r="W4" s="778"/>
      <c r="X4" s="778"/>
    </row>
    <row r="5" spans="1:24" ht="30" customHeight="1">
      <c r="A5" s="780"/>
      <c r="B5" s="782"/>
      <c r="C5" s="783"/>
      <c r="D5" s="784"/>
      <c r="E5" s="782"/>
      <c r="F5" s="783"/>
      <c r="G5" s="784"/>
      <c r="H5" s="788"/>
      <c r="I5" s="789"/>
      <c r="J5" s="789"/>
      <c r="K5" s="790"/>
      <c r="L5" s="794"/>
      <c r="M5" s="795"/>
      <c r="N5" s="432"/>
      <c r="O5" s="432"/>
      <c r="P5" s="432"/>
      <c r="Q5" s="432"/>
      <c r="R5" s="432"/>
      <c r="S5" s="432"/>
      <c r="T5" s="432"/>
      <c r="U5" s="798"/>
      <c r="V5" s="799"/>
      <c r="W5" s="802"/>
      <c r="X5" s="802"/>
    </row>
    <row r="6" spans="1:24" ht="30" customHeight="1">
      <c r="A6" s="781"/>
      <c r="B6" s="785"/>
      <c r="C6" s="786"/>
      <c r="D6" s="787"/>
      <c r="E6" s="785"/>
      <c r="F6" s="786"/>
      <c r="G6" s="787"/>
      <c r="H6" s="791"/>
      <c r="I6" s="792"/>
      <c r="J6" s="792"/>
      <c r="K6" s="793"/>
      <c r="L6" s="796"/>
      <c r="M6" s="797"/>
      <c r="N6" s="433"/>
      <c r="O6" s="433"/>
      <c r="P6" s="433"/>
      <c r="Q6" s="433"/>
      <c r="R6" s="433"/>
      <c r="S6" s="433"/>
      <c r="T6" s="433"/>
      <c r="U6" s="800"/>
      <c r="V6" s="801"/>
      <c r="W6" s="803"/>
      <c r="X6" s="803"/>
    </row>
    <row r="7" spans="1:24" ht="30" customHeight="1">
      <c r="A7" s="780"/>
      <c r="B7" s="782"/>
      <c r="C7" s="783"/>
      <c r="D7" s="784"/>
      <c r="E7" s="782"/>
      <c r="F7" s="783"/>
      <c r="G7" s="784"/>
      <c r="H7" s="788"/>
      <c r="I7" s="789"/>
      <c r="J7" s="789"/>
      <c r="K7" s="790"/>
      <c r="L7" s="794"/>
      <c r="M7" s="795"/>
      <c r="N7" s="432"/>
      <c r="O7" s="432"/>
      <c r="P7" s="432"/>
      <c r="Q7" s="432"/>
      <c r="R7" s="432"/>
      <c r="S7" s="432"/>
      <c r="T7" s="432"/>
      <c r="U7" s="798"/>
      <c r="V7" s="799"/>
      <c r="W7" s="802"/>
      <c r="X7" s="802"/>
    </row>
    <row r="8" spans="1:24" ht="30" customHeight="1">
      <c r="A8" s="781"/>
      <c r="B8" s="785"/>
      <c r="C8" s="786"/>
      <c r="D8" s="787"/>
      <c r="E8" s="785"/>
      <c r="F8" s="786"/>
      <c r="G8" s="787"/>
      <c r="H8" s="791"/>
      <c r="I8" s="792"/>
      <c r="J8" s="792"/>
      <c r="K8" s="793"/>
      <c r="L8" s="796"/>
      <c r="M8" s="797"/>
      <c r="N8" s="433"/>
      <c r="O8" s="433"/>
      <c r="P8" s="433"/>
      <c r="Q8" s="433"/>
      <c r="R8" s="433"/>
      <c r="S8" s="433"/>
      <c r="T8" s="433"/>
      <c r="U8" s="800"/>
      <c r="V8" s="801"/>
      <c r="W8" s="803"/>
      <c r="X8" s="803"/>
    </row>
    <row r="9" spans="1:24" ht="30" customHeight="1">
      <c r="A9" s="780"/>
      <c r="B9" s="782"/>
      <c r="C9" s="783"/>
      <c r="D9" s="784"/>
      <c r="E9" s="782"/>
      <c r="F9" s="783"/>
      <c r="G9" s="784"/>
      <c r="H9" s="788"/>
      <c r="I9" s="789"/>
      <c r="J9" s="789"/>
      <c r="K9" s="790"/>
      <c r="L9" s="794"/>
      <c r="M9" s="795"/>
      <c r="N9" s="432"/>
      <c r="O9" s="432"/>
      <c r="P9" s="432"/>
      <c r="Q9" s="432"/>
      <c r="R9" s="432"/>
      <c r="S9" s="432"/>
      <c r="T9" s="432"/>
      <c r="U9" s="798"/>
      <c r="V9" s="799"/>
      <c r="W9" s="802"/>
      <c r="X9" s="802"/>
    </row>
    <row r="10" spans="1:24" ht="30" customHeight="1">
      <c r="A10" s="781"/>
      <c r="B10" s="785"/>
      <c r="C10" s="786"/>
      <c r="D10" s="787"/>
      <c r="E10" s="785"/>
      <c r="F10" s="786"/>
      <c r="G10" s="787"/>
      <c r="H10" s="791"/>
      <c r="I10" s="792"/>
      <c r="J10" s="792"/>
      <c r="K10" s="793"/>
      <c r="L10" s="796"/>
      <c r="M10" s="797"/>
      <c r="N10" s="433"/>
      <c r="O10" s="433"/>
      <c r="P10" s="433"/>
      <c r="Q10" s="433"/>
      <c r="R10" s="433"/>
      <c r="S10" s="433"/>
      <c r="T10" s="433"/>
      <c r="U10" s="800"/>
      <c r="V10" s="801"/>
      <c r="W10" s="803"/>
      <c r="X10" s="803"/>
    </row>
    <row r="11" spans="1:24" ht="30" customHeight="1">
      <c r="A11" s="780"/>
      <c r="B11" s="782"/>
      <c r="C11" s="783"/>
      <c r="D11" s="784"/>
      <c r="E11" s="782"/>
      <c r="F11" s="783"/>
      <c r="G11" s="784"/>
      <c r="H11" s="788"/>
      <c r="I11" s="789"/>
      <c r="J11" s="789"/>
      <c r="K11" s="790"/>
      <c r="L11" s="794"/>
      <c r="M11" s="795"/>
      <c r="N11" s="432"/>
      <c r="O11" s="432"/>
      <c r="P11" s="432"/>
      <c r="Q11" s="432"/>
      <c r="R11" s="432"/>
      <c r="S11" s="432"/>
      <c r="T11" s="432"/>
      <c r="U11" s="798"/>
      <c r="V11" s="799"/>
      <c r="W11" s="802"/>
      <c r="X11" s="802"/>
    </row>
    <row r="12" spans="1:24" ht="30" customHeight="1">
      <c r="A12" s="781"/>
      <c r="B12" s="785"/>
      <c r="C12" s="786"/>
      <c r="D12" s="787"/>
      <c r="E12" s="785"/>
      <c r="F12" s="786"/>
      <c r="G12" s="787"/>
      <c r="H12" s="791"/>
      <c r="I12" s="792"/>
      <c r="J12" s="792"/>
      <c r="K12" s="793"/>
      <c r="L12" s="796"/>
      <c r="M12" s="797"/>
      <c r="N12" s="433"/>
      <c r="O12" s="433"/>
      <c r="P12" s="433"/>
      <c r="Q12" s="433"/>
      <c r="R12" s="433"/>
      <c r="S12" s="433"/>
      <c r="T12" s="433"/>
      <c r="U12" s="800"/>
      <c r="V12" s="801"/>
      <c r="W12" s="803"/>
      <c r="X12" s="803"/>
    </row>
    <row r="13" spans="1:24" ht="30" customHeight="1">
      <c r="A13" s="780"/>
      <c r="B13" s="782"/>
      <c r="C13" s="783"/>
      <c r="D13" s="784"/>
      <c r="E13" s="782"/>
      <c r="F13" s="783"/>
      <c r="G13" s="784"/>
      <c r="H13" s="788"/>
      <c r="I13" s="789"/>
      <c r="J13" s="789"/>
      <c r="K13" s="790"/>
      <c r="L13" s="794"/>
      <c r="M13" s="795"/>
      <c r="N13" s="432"/>
      <c r="O13" s="432"/>
      <c r="P13" s="432"/>
      <c r="Q13" s="432"/>
      <c r="R13" s="432"/>
      <c r="S13" s="432"/>
      <c r="T13" s="432"/>
      <c r="U13" s="798"/>
      <c r="V13" s="799"/>
      <c r="W13" s="802"/>
      <c r="X13" s="802"/>
    </row>
    <row r="14" spans="1:24" ht="30" customHeight="1">
      <c r="A14" s="781"/>
      <c r="B14" s="785"/>
      <c r="C14" s="786"/>
      <c r="D14" s="787"/>
      <c r="E14" s="785"/>
      <c r="F14" s="786"/>
      <c r="G14" s="787"/>
      <c r="H14" s="791"/>
      <c r="I14" s="792"/>
      <c r="J14" s="792"/>
      <c r="K14" s="793"/>
      <c r="L14" s="796"/>
      <c r="M14" s="797"/>
      <c r="N14" s="433"/>
      <c r="O14" s="433"/>
      <c r="P14" s="433"/>
      <c r="Q14" s="433"/>
      <c r="R14" s="433"/>
      <c r="S14" s="433"/>
      <c r="T14" s="433"/>
      <c r="U14" s="800"/>
      <c r="V14" s="801"/>
      <c r="W14" s="803"/>
      <c r="X14" s="803"/>
    </row>
    <row r="15" spans="1:24" ht="30" customHeight="1">
      <c r="A15" s="780"/>
      <c r="B15" s="782"/>
      <c r="C15" s="783"/>
      <c r="D15" s="784"/>
      <c r="E15" s="782"/>
      <c r="F15" s="783"/>
      <c r="G15" s="784"/>
      <c r="H15" s="788"/>
      <c r="I15" s="789"/>
      <c r="J15" s="789"/>
      <c r="K15" s="790"/>
      <c r="L15" s="794"/>
      <c r="M15" s="795"/>
      <c r="N15" s="432"/>
      <c r="O15" s="432"/>
      <c r="P15" s="432"/>
      <c r="Q15" s="432"/>
      <c r="R15" s="432"/>
      <c r="S15" s="432"/>
      <c r="T15" s="432"/>
      <c r="U15" s="798"/>
      <c r="V15" s="799"/>
      <c r="W15" s="802"/>
      <c r="X15" s="802"/>
    </row>
    <row r="16" spans="1:24" ht="30" customHeight="1">
      <c r="A16" s="781"/>
      <c r="B16" s="785"/>
      <c r="C16" s="786"/>
      <c r="D16" s="787"/>
      <c r="E16" s="785"/>
      <c r="F16" s="786"/>
      <c r="G16" s="787"/>
      <c r="H16" s="791"/>
      <c r="I16" s="792"/>
      <c r="J16" s="792"/>
      <c r="K16" s="793"/>
      <c r="L16" s="796"/>
      <c r="M16" s="797"/>
      <c r="N16" s="433"/>
      <c r="O16" s="433"/>
      <c r="P16" s="433"/>
      <c r="Q16" s="433"/>
      <c r="R16" s="433"/>
      <c r="S16" s="433"/>
      <c r="T16" s="433"/>
      <c r="U16" s="800"/>
      <c r="V16" s="801"/>
      <c r="W16" s="803"/>
      <c r="X16" s="803"/>
    </row>
    <row r="17" spans="1:24" ht="30" customHeight="1">
      <c r="A17" s="780"/>
      <c r="B17" s="782"/>
      <c r="C17" s="783"/>
      <c r="D17" s="784"/>
      <c r="E17" s="782"/>
      <c r="F17" s="783"/>
      <c r="G17" s="784"/>
      <c r="H17" s="788"/>
      <c r="I17" s="789"/>
      <c r="J17" s="789"/>
      <c r="K17" s="790"/>
      <c r="L17" s="794"/>
      <c r="M17" s="795"/>
      <c r="N17" s="432"/>
      <c r="O17" s="432"/>
      <c r="P17" s="432"/>
      <c r="Q17" s="432"/>
      <c r="R17" s="432"/>
      <c r="S17" s="432"/>
      <c r="T17" s="432"/>
      <c r="U17" s="798"/>
      <c r="V17" s="799"/>
      <c r="W17" s="802"/>
      <c r="X17" s="802"/>
    </row>
    <row r="18" spans="1:24" ht="30" customHeight="1">
      <c r="A18" s="781"/>
      <c r="B18" s="785"/>
      <c r="C18" s="786"/>
      <c r="D18" s="787"/>
      <c r="E18" s="785"/>
      <c r="F18" s="786"/>
      <c r="G18" s="787"/>
      <c r="H18" s="791"/>
      <c r="I18" s="792"/>
      <c r="J18" s="792"/>
      <c r="K18" s="793"/>
      <c r="L18" s="796"/>
      <c r="M18" s="797"/>
      <c r="N18" s="433"/>
      <c r="O18" s="433"/>
      <c r="P18" s="433"/>
      <c r="Q18" s="433"/>
      <c r="R18" s="433"/>
      <c r="S18" s="433"/>
      <c r="T18" s="433"/>
      <c r="U18" s="800"/>
      <c r="V18" s="801"/>
      <c r="W18" s="803"/>
      <c r="X18" s="803"/>
    </row>
    <row r="19" spans="1:24" ht="30" customHeight="1">
      <c r="A19" s="780"/>
      <c r="B19" s="782"/>
      <c r="C19" s="783"/>
      <c r="D19" s="784"/>
      <c r="E19" s="782"/>
      <c r="F19" s="783"/>
      <c r="G19" s="784"/>
      <c r="H19" s="788"/>
      <c r="I19" s="789"/>
      <c r="J19" s="789"/>
      <c r="K19" s="790"/>
      <c r="L19" s="794"/>
      <c r="M19" s="795"/>
      <c r="N19" s="432"/>
      <c r="O19" s="432"/>
      <c r="P19" s="432"/>
      <c r="Q19" s="432"/>
      <c r="R19" s="432"/>
      <c r="S19" s="432"/>
      <c r="T19" s="432"/>
      <c r="U19" s="798"/>
      <c r="V19" s="799"/>
      <c r="W19" s="802"/>
      <c r="X19" s="802"/>
    </row>
    <row r="20" spans="1:24" ht="30" customHeight="1">
      <c r="A20" s="781"/>
      <c r="B20" s="785"/>
      <c r="C20" s="786"/>
      <c r="D20" s="787"/>
      <c r="E20" s="785"/>
      <c r="F20" s="786"/>
      <c r="G20" s="787"/>
      <c r="H20" s="791"/>
      <c r="I20" s="792"/>
      <c r="J20" s="792"/>
      <c r="K20" s="793"/>
      <c r="L20" s="796"/>
      <c r="M20" s="797"/>
      <c r="N20" s="433"/>
      <c r="O20" s="433"/>
      <c r="P20" s="433"/>
      <c r="Q20" s="433"/>
      <c r="R20" s="433"/>
      <c r="S20" s="433"/>
      <c r="T20" s="433"/>
      <c r="U20" s="800"/>
      <c r="V20" s="801"/>
      <c r="W20" s="803"/>
      <c r="X20" s="803"/>
    </row>
  </sheetData>
  <mergeCells count="75">
    <mergeCell ref="W19:X19"/>
    <mergeCell ref="W20:X20"/>
    <mergeCell ref="A19:A20"/>
    <mergeCell ref="B19:D20"/>
    <mergeCell ref="E19:G20"/>
    <mergeCell ref="H19:K20"/>
    <mergeCell ref="L19:M20"/>
    <mergeCell ref="U19:V20"/>
    <mergeCell ref="W15:X15"/>
    <mergeCell ref="W16:X16"/>
    <mergeCell ref="A17:A18"/>
    <mergeCell ref="B17:D18"/>
    <mergeCell ref="E17:G18"/>
    <mergeCell ref="H17:K18"/>
    <mergeCell ref="L17:M18"/>
    <mergeCell ref="U17:V18"/>
    <mergeCell ref="W17:X17"/>
    <mergeCell ref="W18:X18"/>
    <mergeCell ref="A15:A16"/>
    <mergeCell ref="B15:D16"/>
    <mergeCell ref="E15:G16"/>
    <mergeCell ref="H15:K16"/>
    <mergeCell ref="L15:M16"/>
    <mergeCell ref="U15:V16"/>
    <mergeCell ref="W11:X11"/>
    <mergeCell ref="W12:X12"/>
    <mergeCell ref="A13:A14"/>
    <mergeCell ref="B13:D14"/>
    <mergeCell ref="E13:G14"/>
    <mergeCell ref="H13:K14"/>
    <mergeCell ref="L13:M14"/>
    <mergeCell ref="U13:V14"/>
    <mergeCell ref="W13:X13"/>
    <mergeCell ref="W14:X14"/>
    <mergeCell ref="A11:A12"/>
    <mergeCell ref="B11:D12"/>
    <mergeCell ref="E11:G12"/>
    <mergeCell ref="H11:K12"/>
    <mergeCell ref="L11:M12"/>
    <mergeCell ref="U11:V12"/>
    <mergeCell ref="U9:V10"/>
    <mergeCell ref="W9:X9"/>
    <mergeCell ref="W10:X10"/>
    <mergeCell ref="A7:A8"/>
    <mergeCell ref="B7:D8"/>
    <mergeCell ref="E7:G8"/>
    <mergeCell ref="H7:K8"/>
    <mergeCell ref="L7:M8"/>
    <mergeCell ref="U7:V8"/>
    <mergeCell ref="A9:A10"/>
    <mergeCell ref="B9:D10"/>
    <mergeCell ref="E9:G10"/>
    <mergeCell ref="H9:K10"/>
    <mergeCell ref="L9:M10"/>
    <mergeCell ref="U5:V6"/>
    <mergeCell ref="W5:X5"/>
    <mergeCell ref="W6:X6"/>
    <mergeCell ref="W7:X7"/>
    <mergeCell ref="W8:X8"/>
    <mergeCell ref="A5:A6"/>
    <mergeCell ref="B5:D6"/>
    <mergeCell ref="E5:G6"/>
    <mergeCell ref="H5:K6"/>
    <mergeCell ref="L5:M6"/>
    <mergeCell ref="A1:E1"/>
    <mergeCell ref="F1:X2"/>
    <mergeCell ref="A2:E2"/>
    <mergeCell ref="A3:A4"/>
    <mergeCell ref="B3:D4"/>
    <mergeCell ref="E3:G4"/>
    <mergeCell ref="H3:K4"/>
    <mergeCell ref="L3:M4"/>
    <mergeCell ref="N3:T3"/>
    <mergeCell ref="U3:V4"/>
    <mergeCell ref="W3:X4"/>
  </mergeCells>
  <phoneticPr fontId="4" type="noConversion"/>
  <printOptions horizontalCentered="1"/>
  <pageMargins left="0.51181102362204722" right="0.51181102362204722" top="0.55118110236220474" bottom="0.47244094488188981" header="0.31496062992125984" footer="0.23622047244094491"/>
  <pageSetup paperSize="9" scale="85" fitToHeight="0" orientation="landscape" r:id="rId1"/>
  <headerFooter>
    <oddFooter>&amp;L&amp;10※ 본 양식은 단지 참조용으로 제시된 것이며 별도의 서식을 사용할 수 있음.&amp;R&amp;"맑은 고딕,보통"&amp;10QA-8.6-6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showGridLines="0" tabSelected="1" view="pageBreakPreview" zoomScaleNormal="100" zoomScaleSheetLayoutView="100" workbookViewId="0">
      <selection activeCell="H15" sqref="H15:J15"/>
    </sheetView>
  </sheetViews>
  <sheetFormatPr defaultRowHeight="16.5"/>
  <cols>
    <col min="1" max="1" width="5.875" style="1" customWidth="1"/>
    <col min="2" max="2" width="8.75" style="1"/>
    <col min="3" max="4" width="10.625" style="1" customWidth="1"/>
    <col min="5" max="10" width="11" style="1" customWidth="1"/>
    <col min="11" max="11" width="9.625" style="1" customWidth="1"/>
    <col min="12" max="12" width="11.5" style="1" customWidth="1"/>
    <col min="13" max="255" width="8.75" style="1"/>
    <col min="256" max="256" width="5.875" style="1" customWidth="1"/>
    <col min="257" max="257" width="8.75" style="1"/>
    <col min="258" max="259" width="10.625" style="1" customWidth="1"/>
    <col min="260" max="265" width="11" style="1" customWidth="1"/>
    <col min="266" max="266" width="9.625" style="1" customWidth="1"/>
    <col min="267" max="267" width="11.5" style="1" customWidth="1"/>
    <col min="268" max="511" width="8.75" style="1"/>
    <col min="512" max="512" width="5.875" style="1" customWidth="1"/>
    <col min="513" max="513" width="8.75" style="1"/>
    <col min="514" max="515" width="10.625" style="1" customWidth="1"/>
    <col min="516" max="521" width="11" style="1" customWidth="1"/>
    <col min="522" max="522" width="9.625" style="1" customWidth="1"/>
    <col min="523" max="523" width="11.5" style="1" customWidth="1"/>
    <col min="524" max="767" width="8.75" style="1"/>
    <col min="768" max="768" width="5.875" style="1" customWidth="1"/>
    <col min="769" max="769" width="8.75" style="1"/>
    <col min="770" max="771" width="10.625" style="1" customWidth="1"/>
    <col min="772" max="777" width="11" style="1" customWidth="1"/>
    <col min="778" max="778" width="9.625" style="1" customWidth="1"/>
    <col min="779" max="779" width="11.5" style="1" customWidth="1"/>
    <col min="780" max="1023" width="8.75" style="1"/>
    <col min="1024" max="1024" width="5.875" style="1" customWidth="1"/>
    <col min="1025" max="1025" width="8.75" style="1"/>
    <col min="1026" max="1027" width="10.625" style="1" customWidth="1"/>
    <col min="1028" max="1033" width="11" style="1" customWidth="1"/>
    <col min="1034" max="1034" width="9.625" style="1" customWidth="1"/>
    <col min="1035" max="1035" width="11.5" style="1" customWidth="1"/>
    <col min="1036" max="1279" width="8.75" style="1"/>
    <col min="1280" max="1280" width="5.875" style="1" customWidth="1"/>
    <col min="1281" max="1281" width="8.75" style="1"/>
    <col min="1282" max="1283" width="10.625" style="1" customWidth="1"/>
    <col min="1284" max="1289" width="11" style="1" customWidth="1"/>
    <col min="1290" max="1290" width="9.625" style="1" customWidth="1"/>
    <col min="1291" max="1291" width="11.5" style="1" customWidth="1"/>
    <col min="1292" max="1535" width="8.75" style="1"/>
    <col min="1536" max="1536" width="5.875" style="1" customWidth="1"/>
    <col min="1537" max="1537" width="8.75" style="1"/>
    <col min="1538" max="1539" width="10.625" style="1" customWidth="1"/>
    <col min="1540" max="1545" width="11" style="1" customWidth="1"/>
    <col min="1546" max="1546" width="9.625" style="1" customWidth="1"/>
    <col min="1547" max="1547" width="11.5" style="1" customWidth="1"/>
    <col min="1548" max="1791" width="8.75" style="1"/>
    <col min="1792" max="1792" width="5.875" style="1" customWidth="1"/>
    <col min="1793" max="1793" width="8.75" style="1"/>
    <col min="1794" max="1795" width="10.625" style="1" customWidth="1"/>
    <col min="1796" max="1801" width="11" style="1" customWidth="1"/>
    <col min="1802" max="1802" width="9.625" style="1" customWidth="1"/>
    <col min="1803" max="1803" width="11.5" style="1" customWidth="1"/>
    <col min="1804" max="2047" width="8.75" style="1"/>
    <col min="2048" max="2048" width="5.875" style="1" customWidth="1"/>
    <col min="2049" max="2049" width="8.75" style="1"/>
    <col min="2050" max="2051" width="10.625" style="1" customWidth="1"/>
    <col min="2052" max="2057" width="11" style="1" customWidth="1"/>
    <col min="2058" max="2058" width="9.625" style="1" customWidth="1"/>
    <col min="2059" max="2059" width="11.5" style="1" customWidth="1"/>
    <col min="2060" max="2303" width="8.75" style="1"/>
    <col min="2304" max="2304" width="5.875" style="1" customWidth="1"/>
    <col min="2305" max="2305" width="8.75" style="1"/>
    <col min="2306" max="2307" width="10.625" style="1" customWidth="1"/>
    <col min="2308" max="2313" width="11" style="1" customWidth="1"/>
    <col min="2314" max="2314" width="9.625" style="1" customWidth="1"/>
    <col min="2315" max="2315" width="11.5" style="1" customWidth="1"/>
    <col min="2316" max="2559" width="8.75" style="1"/>
    <col min="2560" max="2560" width="5.875" style="1" customWidth="1"/>
    <col min="2561" max="2561" width="8.75" style="1"/>
    <col min="2562" max="2563" width="10.625" style="1" customWidth="1"/>
    <col min="2564" max="2569" width="11" style="1" customWidth="1"/>
    <col min="2570" max="2570" width="9.625" style="1" customWidth="1"/>
    <col min="2571" max="2571" width="11.5" style="1" customWidth="1"/>
    <col min="2572" max="2815" width="8.75" style="1"/>
    <col min="2816" max="2816" width="5.875" style="1" customWidth="1"/>
    <col min="2817" max="2817" width="8.75" style="1"/>
    <col min="2818" max="2819" width="10.625" style="1" customWidth="1"/>
    <col min="2820" max="2825" width="11" style="1" customWidth="1"/>
    <col min="2826" max="2826" width="9.625" style="1" customWidth="1"/>
    <col min="2827" max="2827" width="11.5" style="1" customWidth="1"/>
    <col min="2828" max="3071" width="8.75" style="1"/>
    <col min="3072" max="3072" width="5.875" style="1" customWidth="1"/>
    <col min="3073" max="3073" width="8.75" style="1"/>
    <col min="3074" max="3075" width="10.625" style="1" customWidth="1"/>
    <col min="3076" max="3081" width="11" style="1" customWidth="1"/>
    <col min="3082" max="3082" width="9.625" style="1" customWidth="1"/>
    <col min="3083" max="3083" width="11.5" style="1" customWidth="1"/>
    <col min="3084" max="3327" width="8.75" style="1"/>
    <col min="3328" max="3328" width="5.875" style="1" customWidth="1"/>
    <col min="3329" max="3329" width="8.75" style="1"/>
    <col min="3330" max="3331" width="10.625" style="1" customWidth="1"/>
    <col min="3332" max="3337" width="11" style="1" customWidth="1"/>
    <col min="3338" max="3338" width="9.625" style="1" customWidth="1"/>
    <col min="3339" max="3339" width="11.5" style="1" customWidth="1"/>
    <col min="3340" max="3583" width="8.75" style="1"/>
    <col min="3584" max="3584" width="5.875" style="1" customWidth="1"/>
    <col min="3585" max="3585" width="8.75" style="1"/>
    <col min="3586" max="3587" width="10.625" style="1" customWidth="1"/>
    <col min="3588" max="3593" width="11" style="1" customWidth="1"/>
    <col min="3594" max="3594" width="9.625" style="1" customWidth="1"/>
    <col min="3595" max="3595" width="11.5" style="1" customWidth="1"/>
    <col min="3596" max="3839" width="8.75" style="1"/>
    <col min="3840" max="3840" width="5.875" style="1" customWidth="1"/>
    <col min="3841" max="3841" width="8.75" style="1"/>
    <col min="3842" max="3843" width="10.625" style="1" customWidth="1"/>
    <col min="3844" max="3849" width="11" style="1" customWidth="1"/>
    <col min="3850" max="3850" width="9.625" style="1" customWidth="1"/>
    <col min="3851" max="3851" width="11.5" style="1" customWidth="1"/>
    <col min="3852" max="4095" width="8.75" style="1"/>
    <col min="4096" max="4096" width="5.875" style="1" customWidth="1"/>
    <col min="4097" max="4097" width="8.75" style="1"/>
    <col min="4098" max="4099" width="10.625" style="1" customWidth="1"/>
    <col min="4100" max="4105" width="11" style="1" customWidth="1"/>
    <col min="4106" max="4106" width="9.625" style="1" customWidth="1"/>
    <col min="4107" max="4107" width="11.5" style="1" customWidth="1"/>
    <col min="4108" max="4351" width="8.75" style="1"/>
    <col min="4352" max="4352" width="5.875" style="1" customWidth="1"/>
    <col min="4353" max="4353" width="8.75" style="1"/>
    <col min="4354" max="4355" width="10.625" style="1" customWidth="1"/>
    <col min="4356" max="4361" width="11" style="1" customWidth="1"/>
    <col min="4362" max="4362" width="9.625" style="1" customWidth="1"/>
    <col min="4363" max="4363" width="11.5" style="1" customWidth="1"/>
    <col min="4364" max="4607" width="8.75" style="1"/>
    <col min="4608" max="4608" width="5.875" style="1" customWidth="1"/>
    <col min="4609" max="4609" width="8.75" style="1"/>
    <col min="4610" max="4611" width="10.625" style="1" customWidth="1"/>
    <col min="4612" max="4617" width="11" style="1" customWidth="1"/>
    <col min="4618" max="4618" width="9.625" style="1" customWidth="1"/>
    <col min="4619" max="4619" width="11.5" style="1" customWidth="1"/>
    <col min="4620" max="4863" width="8.75" style="1"/>
    <col min="4864" max="4864" width="5.875" style="1" customWidth="1"/>
    <col min="4865" max="4865" width="8.75" style="1"/>
    <col min="4866" max="4867" width="10.625" style="1" customWidth="1"/>
    <col min="4868" max="4873" width="11" style="1" customWidth="1"/>
    <col min="4874" max="4874" width="9.625" style="1" customWidth="1"/>
    <col min="4875" max="4875" width="11.5" style="1" customWidth="1"/>
    <col min="4876" max="5119" width="8.75" style="1"/>
    <col min="5120" max="5120" width="5.875" style="1" customWidth="1"/>
    <col min="5121" max="5121" width="8.75" style="1"/>
    <col min="5122" max="5123" width="10.625" style="1" customWidth="1"/>
    <col min="5124" max="5129" width="11" style="1" customWidth="1"/>
    <col min="5130" max="5130" width="9.625" style="1" customWidth="1"/>
    <col min="5131" max="5131" width="11.5" style="1" customWidth="1"/>
    <col min="5132" max="5375" width="8.75" style="1"/>
    <col min="5376" max="5376" width="5.875" style="1" customWidth="1"/>
    <col min="5377" max="5377" width="8.75" style="1"/>
    <col min="5378" max="5379" width="10.625" style="1" customWidth="1"/>
    <col min="5380" max="5385" width="11" style="1" customWidth="1"/>
    <col min="5386" max="5386" width="9.625" style="1" customWidth="1"/>
    <col min="5387" max="5387" width="11.5" style="1" customWidth="1"/>
    <col min="5388" max="5631" width="8.75" style="1"/>
    <col min="5632" max="5632" width="5.875" style="1" customWidth="1"/>
    <col min="5633" max="5633" width="8.75" style="1"/>
    <col min="5634" max="5635" width="10.625" style="1" customWidth="1"/>
    <col min="5636" max="5641" width="11" style="1" customWidth="1"/>
    <col min="5642" max="5642" width="9.625" style="1" customWidth="1"/>
    <col min="5643" max="5643" width="11.5" style="1" customWidth="1"/>
    <col min="5644" max="5887" width="8.75" style="1"/>
    <col min="5888" max="5888" width="5.875" style="1" customWidth="1"/>
    <col min="5889" max="5889" width="8.75" style="1"/>
    <col min="5890" max="5891" width="10.625" style="1" customWidth="1"/>
    <col min="5892" max="5897" width="11" style="1" customWidth="1"/>
    <col min="5898" max="5898" width="9.625" style="1" customWidth="1"/>
    <col min="5899" max="5899" width="11.5" style="1" customWidth="1"/>
    <col min="5900" max="6143" width="8.75" style="1"/>
    <col min="6144" max="6144" width="5.875" style="1" customWidth="1"/>
    <col min="6145" max="6145" width="8.75" style="1"/>
    <col min="6146" max="6147" width="10.625" style="1" customWidth="1"/>
    <col min="6148" max="6153" width="11" style="1" customWidth="1"/>
    <col min="6154" max="6154" width="9.625" style="1" customWidth="1"/>
    <col min="6155" max="6155" width="11.5" style="1" customWidth="1"/>
    <col min="6156" max="6399" width="8.75" style="1"/>
    <col min="6400" max="6400" width="5.875" style="1" customWidth="1"/>
    <col min="6401" max="6401" width="8.75" style="1"/>
    <col min="6402" max="6403" width="10.625" style="1" customWidth="1"/>
    <col min="6404" max="6409" width="11" style="1" customWidth="1"/>
    <col min="6410" max="6410" width="9.625" style="1" customWidth="1"/>
    <col min="6411" max="6411" width="11.5" style="1" customWidth="1"/>
    <col min="6412" max="6655" width="8.75" style="1"/>
    <col min="6656" max="6656" width="5.875" style="1" customWidth="1"/>
    <col min="6657" max="6657" width="8.75" style="1"/>
    <col min="6658" max="6659" width="10.625" style="1" customWidth="1"/>
    <col min="6660" max="6665" width="11" style="1" customWidth="1"/>
    <col min="6666" max="6666" width="9.625" style="1" customWidth="1"/>
    <col min="6667" max="6667" width="11.5" style="1" customWidth="1"/>
    <col min="6668" max="6911" width="8.75" style="1"/>
    <col min="6912" max="6912" width="5.875" style="1" customWidth="1"/>
    <col min="6913" max="6913" width="8.75" style="1"/>
    <col min="6914" max="6915" width="10.625" style="1" customWidth="1"/>
    <col min="6916" max="6921" width="11" style="1" customWidth="1"/>
    <col min="6922" max="6922" width="9.625" style="1" customWidth="1"/>
    <col min="6923" max="6923" width="11.5" style="1" customWidth="1"/>
    <col min="6924" max="7167" width="8.75" style="1"/>
    <col min="7168" max="7168" width="5.875" style="1" customWidth="1"/>
    <col min="7169" max="7169" width="8.75" style="1"/>
    <col min="7170" max="7171" width="10.625" style="1" customWidth="1"/>
    <col min="7172" max="7177" width="11" style="1" customWidth="1"/>
    <col min="7178" max="7178" width="9.625" style="1" customWidth="1"/>
    <col min="7179" max="7179" width="11.5" style="1" customWidth="1"/>
    <col min="7180" max="7423" width="8.75" style="1"/>
    <col min="7424" max="7424" width="5.875" style="1" customWidth="1"/>
    <col min="7425" max="7425" width="8.75" style="1"/>
    <col min="7426" max="7427" width="10.625" style="1" customWidth="1"/>
    <col min="7428" max="7433" width="11" style="1" customWidth="1"/>
    <col min="7434" max="7434" width="9.625" style="1" customWidth="1"/>
    <col min="7435" max="7435" width="11.5" style="1" customWidth="1"/>
    <col min="7436" max="7679" width="8.75" style="1"/>
    <col min="7680" max="7680" width="5.875" style="1" customWidth="1"/>
    <col min="7681" max="7681" width="8.75" style="1"/>
    <col min="7682" max="7683" width="10.625" style="1" customWidth="1"/>
    <col min="7684" max="7689" width="11" style="1" customWidth="1"/>
    <col min="7690" max="7690" width="9.625" style="1" customWidth="1"/>
    <col min="7691" max="7691" width="11.5" style="1" customWidth="1"/>
    <col min="7692" max="7935" width="8.75" style="1"/>
    <col min="7936" max="7936" width="5.875" style="1" customWidth="1"/>
    <col min="7937" max="7937" width="8.75" style="1"/>
    <col min="7938" max="7939" width="10.625" style="1" customWidth="1"/>
    <col min="7940" max="7945" width="11" style="1" customWidth="1"/>
    <col min="7946" max="7946" width="9.625" style="1" customWidth="1"/>
    <col min="7947" max="7947" width="11.5" style="1" customWidth="1"/>
    <col min="7948" max="8191" width="8.75" style="1"/>
    <col min="8192" max="8192" width="5.875" style="1" customWidth="1"/>
    <col min="8193" max="8193" width="8.75" style="1"/>
    <col min="8194" max="8195" width="10.625" style="1" customWidth="1"/>
    <col min="8196" max="8201" width="11" style="1" customWidth="1"/>
    <col min="8202" max="8202" width="9.625" style="1" customWidth="1"/>
    <col min="8203" max="8203" width="11.5" style="1" customWidth="1"/>
    <col min="8204" max="8447" width="8.75" style="1"/>
    <col min="8448" max="8448" width="5.875" style="1" customWidth="1"/>
    <col min="8449" max="8449" width="8.75" style="1"/>
    <col min="8450" max="8451" width="10.625" style="1" customWidth="1"/>
    <col min="8452" max="8457" width="11" style="1" customWidth="1"/>
    <col min="8458" max="8458" width="9.625" style="1" customWidth="1"/>
    <col min="8459" max="8459" width="11.5" style="1" customWidth="1"/>
    <col min="8460" max="8703" width="8.75" style="1"/>
    <col min="8704" max="8704" width="5.875" style="1" customWidth="1"/>
    <col min="8705" max="8705" width="8.75" style="1"/>
    <col min="8706" max="8707" width="10.625" style="1" customWidth="1"/>
    <col min="8708" max="8713" width="11" style="1" customWidth="1"/>
    <col min="8714" max="8714" width="9.625" style="1" customWidth="1"/>
    <col min="8715" max="8715" width="11.5" style="1" customWidth="1"/>
    <col min="8716" max="8959" width="8.75" style="1"/>
    <col min="8960" max="8960" width="5.875" style="1" customWidth="1"/>
    <col min="8961" max="8961" width="8.75" style="1"/>
    <col min="8962" max="8963" width="10.625" style="1" customWidth="1"/>
    <col min="8964" max="8969" width="11" style="1" customWidth="1"/>
    <col min="8970" max="8970" width="9.625" style="1" customWidth="1"/>
    <col min="8971" max="8971" width="11.5" style="1" customWidth="1"/>
    <col min="8972" max="9215" width="8.75" style="1"/>
    <col min="9216" max="9216" width="5.875" style="1" customWidth="1"/>
    <col min="9217" max="9217" width="8.75" style="1"/>
    <col min="9218" max="9219" width="10.625" style="1" customWidth="1"/>
    <col min="9220" max="9225" width="11" style="1" customWidth="1"/>
    <col min="9226" max="9226" width="9.625" style="1" customWidth="1"/>
    <col min="9227" max="9227" width="11.5" style="1" customWidth="1"/>
    <col min="9228" max="9471" width="8.75" style="1"/>
    <col min="9472" max="9472" width="5.875" style="1" customWidth="1"/>
    <col min="9473" max="9473" width="8.75" style="1"/>
    <col min="9474" max="9475" width="10.625" style="1" customWidth="1"/>
    <col min="9476" max="9481" width="11" style="1" customWidth="1"/>
    <col min="9482" max="9482" width="9.625" style="1" customWidth="1"/>
    <col min="9483" max="9483" width="11.5" style="1" customWidth="1"/>
    <col min="9484" max="9727" width="8.75" style="1"/>
    <col min="9728" max="9728" width="5.875" style="1" customWidth="1"/>
    <col min="9729" max="9729" width="8.75" style="1"/>
    <col min="9730" max="9731" width="10.625" style="1" customWidth="1"/>
    <col min="9732" max="9737" width="11" style="1" customWidth="1"/>
    <col min="9738" max="9738" width="9.625" style="1" customWidth="1"/>
    <col min="9739" max="9739" width="11.5" style="1" customWidth="1"/>
    <col min="9740" max="9983" width="8.75" style="1"/>
    <col min="9984" max="9984" width="5.875" style="1" customWidth="1"/>
    <col min="9985" max="9985" width="8.75" style="1"/>
    <col min="9986" max="9987" width="10.625" style="1" customWidth="1"/>
    <col min="9988" max="9993" width="11" style="1" customWidth="1"/>
    <col min="9994" max="9994" width="9.625" style="1" customWidth="1"/>
    <col min="9995" max="9995" width="11.5" style="1" customWidth="1"/>
    <col min="9996" max="10239" width="8.75" style="1"/>
    <col min="10240" max="10240" width="5.875" style="1" customWidth="1"/>
    <col min="10241" max="10241" width="8.75" style="1"/>
    <col min="10242" max="10243" width="10.625" style="1" customWidth="1"/>
    <col min="10244" max="10249" width="11" style="1" customWidth="1"/>
    <col min="10250" max="10250" width="9.625" style="1" customWidth="1"/>
    <col min="10251" max="10251" width="11.5" style="1" customWidth="1"/>
    <col min="10252" max="10495" width="8.75" style="1"/>
    <col min="10496" max="10496" width="5.875" style="1" customWidth="1"/>
    <col min="10497" max="10497" width="8.75" style="1"/>
    <col min="10498" max="10499" width="10.625" style="1" customWidth="1"/>
    <col min="10500" max="10505" width="11" style="1" customWidth="1"/>
    <col min="10506" max="10506" width="9.625" style="1" customWidth="1"/>
    <col min="10507" max="10507" width="11.5" style="1" customWidth="1"/>
    <col min="10508" max="10751" width="8.75" style="1"/>
    <col min="10752" max="10752" width="5.875" style="1" customWidth="1"/>
    <col min="10753" max="10753" width="8.75" style="1"/>
    <col min="10754" max="10755" width="10.625" style="1" customWidth="1"/>
    <col min="10756" max="10761" width="11" style="1" customWidth="1"/>
    <col min="10762" max="10762" width="9.625" style="1" customWidth="1"/>
    <col min="10763" max="10763" width="11.5" style="1" customWidth="1"/>
    <col min="10764" max="11007" width="8.75" style="1"/>
    <col min="11008" max="11008" width="5.875" style="1" customWidth="1"/>
    <col min="11009" max="11009" width="8.75" style="1"/>
    <col min="11010" max="11011" width="10.625" style="1" customWidth="1"/>
    <col min="11012" max="11017" width="11" style="1" customWidth="1"/>
    <col min="11018" max="11018" width="9.625" style="1" customWidth="1"/>
    <col min="11019" max="11019" width="11.5" style="1" customWidth="1"/>
    <col min="11020" max="11263" width="8.75" style="1"/>
    <col min="11264" max="11264" width="5.875" style="1" customWidth="1"/>
    <col min="11265" max="11265" width="8.75" style="1"/>
    <col min="11266" max="11267" width="10.625" style="1" customWidth="1"/>
    <col min="11268" max="11273" width="11" style="1" customWidth="1"/>
    <col min="11274" max="11274" width="9.625" style="1" customWidth="1"/>
    <col min="11275" max="11275" width="11.5" style="1" customWidth="1"/>
    <col min="11276" max="11519" width="8.75" style="1"/>
    <col min="11520" max="11520" width="5.875" style="1" customWidth="1"/>
    <col min="11521" max="11521" width="8.75" style="1"/>
    <col min="11522" max="11523" width="10.625" style="1" customWidth="1"/>
    <col min="11524" max="11529" width="11" style="1" customWidth="1"/>
    <col min="11530" max="11530" width="9.625" style="1" customWidth="1"/>
    <col min="11531" max="11531" width="11.5" style="1" customWidth="1"/>
    <col min="11532" max="11775" width="8.75" style="1"/>
    <col min="11776" max="11776" width="5.875" style="1" customWidth="1"/>
    <col min="11777" max="11777" width="8.75" style="1"/>
    <col min="11778" max="11779" width="10.625" style="1" customWidth="1"/>
    <col min="11780" max="11785" width="11" style="1" customWidth="1"/>
    <col min="11786" max="11786" width="9.625" style="1" customWidth="1"/>
    <col min="11787" max="11787" width="11.5" style="1" customWidth="1"/>
    <col min="11788" max="12031" width="8.75" style="1"/>
    <col min="12032" max="12032" width="5.875" style="1" customWidth="1"/>
    <col min="12033" max="12033" width="8.75" style="1"/>
    <col min="12034" max="12035" width="10.625" style="1" customWidth="1"/>
    <col min="12036" max="12041" width="11" style="1" customWidth="1"/>
    <col min="12042" max="12042" width="9.625" style="1" customWidth="1"/>
    <col min="12043" max="12043" width="11.5" style="1" customWidth="1"/>
    <col min="12044" max="12287" width="8.75" style="1"/>
    <col min="12288" max="12288" width="5.875" style="1" customWidth="1"/>
    <col min="12289" max="12289" width="8.75" style="1"/>
    <col min="12290" max="12291" width="10.625" style="1" customWidth="1"/>
    <col min="12292" max="12297" width="11" style="1" customWidth="1"/>
    <col min="12298" max="12298" width="9.625" style="1" customWidth="1"/>
    <col min="12299" max="12299" width="11.5" style="1" customWidth="1"/>
    <col min="12300" max="12543" width="8.75" style="1"/>
    <col min="12544" max="12544" width="5.875" style="1" customWidth="1"/>
    <col min="12545" max="12545" width="8.75" style="1"/>
    <col min="12546" max="12547" width="10.625" style="1" customWidth="1"/>
    <col min="12548" max="12553" width="11" style="1" customWidth="1"/>
    <col min="12554" max="12554" width="9.625" style="1" customWidth="1"/>
    <col min="12555" max="12555" width="11.5" style="1" customWidth="1"/>
    <col min="12556" max="12799" width="8.75" style="1"/>
    <col min="12800" max="12800" width="5.875" style="1" customWidth="1"/>
    <col min="12801" max="12801" width="8.75" style="1"/>
    <col min="12802" max="12803" width="10.625" style="1" customWidth="1"/>
    <col min="12804" max="12809" width="11" style="1" customWidth="1"/>
    <col min="12810" max="12810" width="9.625" style="1" customWidth="1"/>
    <col min="12811" max="12811" width="11.5" style="1" customWidth="1"/>
    <col min="12812" max="13055" width="8.75" style="1"/>
    <col min="13056" max="13056" width="5.875" style="1" customWidth="1"/>
    <col min="13057" max="13057" width="8.75" style="1"/>
    <col min="13058" max="13059" width="10.625" style="1" customWidth="1"/>
    <col min="13060" max="13065" width="11" style="1" customWidth="1"/>
    <col min="13066" max="13066" width="9.625" style="1" customWidth="1"/>
    <col min="13067" max="13067" width="11.5" style="1" customWidth="1"/>
    <col min="13068" max="13311" width="8.75" style="1"/>
    <col min="13312" max="13312" width="5.875" style="1" customWidth="1"/>
    <col min="13313" max="13313" width="8.75" style="1"/>
    <col min="13314" max="13315" width="10.625" style="1" customWidth="1"/>
    <col min="13316" max="13321" width="11" style="1" customWidth="1"/>
    <col min="13322" max="13322" width="9.625" style="1" customWidth="1"/>
    <col min="13323" max="13323" width="11.5" style="1" customWidth="1"/>
    <col min="13324" max="13567" width="8.75" style="1"/>
    <col min="13568" max="13568" width="5.875" style="1" customWidth="1"/>
    <col min="13569" max="13569" width="8.75" style="1"/>
    <col min="13570" max="13571" width="10.625" style="1" customWidth="1"/>
    <col min="13572" max="13577" width="11" style="1" customWidth="1"/>
    <col min="13578" max="13578" width="9.625" style="1" customWidth="1"/>
    <col min="13579" max="13579" width="11.5" style="1" customWidth="1"/>
    <col min="13580" max="13823" width="8.75" style="1"/>
    <col min="13824" max="13824" width="5.875" style="1" customWidth="1"/>
    <col min="13825" max="13825" width="8.75" style="1"/>
    <col min="13826" max="13827" width="10.625" style="1" customWidth="1"/>
    <col min="13828" max="13833" width="11" style="1" customWidth="1"/>
    <col min="13834" max="13834" width="9.625" style="1" customWidth="1"/>
    <col min="13835" max="13835" width="11.5" style="1" customWidth="1"/>
    <col min="13836" max="14079" width="8.75" style="1"/>
    <col min="14080" max="14080" width="5.875" style="1" customWidth="1"/>
    <col min="14081" max="14081" width="8.75" style="1"/>
    <col min="14082" max="14083" width="10.625" style="1" customWidth="1"/>
    <col min="14084" max="14089" width="11" style="1" customWidth="1"/>
    <col min="14090" max="14090" width="9.625" style="1" customWidth="1"/>
    <col min="14091" max="14091" width="11.5" style="1" customWidth="1"/>
    <col min="14092" max="14335" width="8.75" style="1"/>
    <col min="14336" max="14336" width="5.875" style="1" customWidth="1"/>
    <col min="14337" max="14337" width="8.75" style="1"/>
    <col min="14338" max="14339" width="10.625" style="1" customWidth="1"/>
    <col min="14340" max="14345" width="11" style="1" customWidth="1"/>
    <col min="14346" max="14346" width="9.625" style="1" customWidth="1"/>
    <col min="14347" max="14347" width="11.5" style="1" customWidth="1"/>
    <col min="14348" max="14591" width="8.75" style="1"/>
    <col min="14592" max="14592" width="5.875" style="1" customWidth="1"/>
    <col min="14593" max="14593" width="8.75" style="1"/>
    <col min="14594" max="14595" width="10.625" style="1" customWidth="1"/>
    <col min="14596" max="14601" width="11" style="1" customWidth="1"/>
    <col min="14602" max="14602" width="9.625" style="1" customWidth="1"/>
    <col min="14603" max="14603" width="11.5" style="1" customWidth="1"/>
    <col min="14604" max="14847" width="8.75" style="1"/>
    <col min="14848" max="14848" width="5.875" style="1" customWidth="1"/>
    <col min="14849" max="14849" width="8.75" style="1"/>
    <col min="14850" max="14851" width="10.625" style="1" customWidth="1"/>
    <col min="14852" max="14857" width="11" style="1" customWidth="1"/>
    <col min="14858" max="14858" width="9.625" style="1" customWidth="1"/>
    <col min="14859" max="14859" width="11.5" style="1" customWidth="1"/>
    <col min="14860" max="15103" width="8.75" style="1"/>
    <col min="15104" max="15104" width="5.875" style="1" customWidth="1"/>
    <col min="15105" max="15105" width="8.75" style="1"/>
    <col min="15106" max="15107" width="10.625" style="1" customWidth="1"/>
    <col min="15108" max="15113" width="11" style="1" customWidth="1"/>
    <col min="15114" max="15114" width="9.625" style="1" customWidth="1"/>
    <col min="15115" max="15115" width="11.5" style="1" customWidth="1"/>
    <col min="15116" max="15359" width="8.75" style="1"/>
    <col min="15360" max="15360" width="5.875" style="1" customWidth="1"/>
    <col min="15361" max="15361" width="8.75" style="1"/>
    <col min="15362" max="15363" width="10.625" style="1" customWidth="1"/>
    <col min="15364" max="15369" width="11" style="1" customWidth="1"/>
    <col min="15370" max="15370" width="9.625" style="1" customWidth="1"/>
    <col min="15371" max="15371" width="11.5" style="1" customWidth="1"/>
    <col min="15372" max="15615" width="8.75" style="1"/>
    <col min="15616" max="15616" width="5.875" style="1" customWidth="1"/>
    <col min="15617" max="15617" width="8.75" style="1"/>
    <col min="15618" max="15619" width="10.625" style="1" customWidth="1"/>
    <col min="15620" max="15625" width="11" style="1" customWidth="1"/>
    <col min="15626" max="15626" width="9.625" style="1" customWidth="1"/>
    <col min="15627" max="15627" width="11.5" style="1" customWidth="1"/>
    <col min="15628" max="15871" width="8.75" style="1"/>
    <col min="15872" max="15872" width="5.875" style="1" customWidth="1"/>
    <col min="15873" max="15873" width="8.75" style="1"/>
    <col min="15874" max="15875" width="10.625" style="1" customWidth="1"/>
    <col min="15876" max="15881" width="11" style="1" customWidth="1"/>
    <col min="15882" max="15882" width="9.625" style="1" customWidth="1"/>
    <col min="15883" max="15883" width="11.5" style="1" customWidth="1"/>
    <col min="15884" max="16127" width="8.75" style="1"/>
    <col min="16128" max="16128" width="5.875" style="1" customWidth="1"/>
    <col min="16129" max="16129" width="8.75" style="1"/>
    <col min="16130" max="16131" width="10.625" style="1" customWidth="1"/>
    <col min="16132" max="16137" width="11" style="1" customWidth="1"/>
    <col min="16138" max="16138" width="9.625" style="1" customWidth="1"/>
    <col min="16139" max="16139" width="11.5" style="1" customWidth="1"/>
    <col min="16140" max="16382" width="8.75" style="1"/>
    <col min="16383" max="16384" width="8.75" style="1" customWidth="1"/>
  </cols>
  <sheetData>
    <row r="1" spans="1:12" ht="35.1" customHeight="1">
      <c r="A1" s="804" t="s">
        <v>0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</row>
    <row r="3" spans="1:12" s="3" customFormat="1" ht="20.100000000000001" customHeight="1">
      <c r="A3" s="2" t="s">
        <v>1</v>
      </c>
    </row>
    <row r="4" spans="1:12" s="3" customFormat="1" ht="13.5">
      <c r="A4" s="805" t="s">
        <v>2</v>
      </c>
      <c r="B4" s="806" t="s">
        <v>3</v>
      </c>
      <c r="C4" s="806" t="s">
        <v>4</v>
      </c>
      <c r="D4" s="806"/>
      <c r="E4" s="806" t="s">
        <v>5</v>
      </c>
      <c r="F4" s="806"/>
      <c r="G4" s="806"/>
      <c r="H4" s="806" t="s">
        <v>6</v>
      </c>
      <c r="I4" s="806"/>
      <c r="J4" s="806"/>
      <c r="K4" s="806" t="s">
        <v>7</v>
      </c>
      <c r="L4" s="806" t="s">
        <v>8</v>
      </c>
    </row>
    <row r="5" spans="1:12" s="3" customFormat="1" ht="13.5">
      <c r="A5" s="805"/>
      <c r="B5" s="806"/>
      <c r="C5" s="4" t="s">
        <v>9</v>
      </c>
      <c r="D5" s="4" t="s">
        <v>10</v>
      </c>
      <c r="E5" s="806"/>
      <c r="F5" s="806"/>
      <c r="G5" s="806"/>
      <c r="H5" s="806"/>
      <c r="I5" s="806"/>
      <c r="J5" s="806"/>
      <c r="K5" s="806"/>
      <c r="L5" s="806"/>
    </row>
    <row r="6" spans="1:12" s="3" customFormat="1" ht="24.95" customHeight="1">
      <c r="A6" s="5">
        <v>1</v>
      </c>
      <c r="B6" s="5"/>
      <c r="C6" s="5"/>
      <c r="D6" s="5"/>
      <c r="E6" s="807"/>
      <c r="F6" s="807"/>
      <c r="G6" s="807"/>
      <c r="H6" s="807"/>
      <c r="I6" s="807"/>
      <c r="J6" s="807"/>
      <c r="K6" s="5"/>
      <c r="L6" s="5"/>
    </row>
    <row r="7" spans="1:12" s="3" customFormat="1" ht="24.95" customHeight="1">
      <c r="A7" s="5">
        <v>2</v>
      </c>
      <c r="B7" s="5"/>
      <c r="C7" s="5"/>
      <c r="D7" s="5"/>
      <c r="E7" s="807"/>
      <c r="F7" s="807"/>
      <c r="G7" s="807"/>
      <c r="H7" s="807"/>
      <c r="I7" s="807"/>
      <c r="J7" s="807"/>
      <c r="K7" s="5"/>
      <c r="L7" s="5"/>
    </row>
    <row r="8" spans="1:12" s="3" customFormat="1" ht="24.95" customHeight="1">
      <c r="A8" s="5">
        <v>3</v>
      </c>
      <c r="B8" s="5"/>
      <c r="C8" s="5"/>
      <c r="D8" s="5"/>
      <c r="E8" s="807"/>
      <c r="F8" s="807"/>
      <c r="G8" s="807"/>
      <c r="H8" s="807"/>
      <c r="I8" s="807"/>
      <c r="J8" s="807"/>
      <c r="K8" s="5"/>
      <c r="L8" s="5"/>
    </row>
    <row r="9" spans="1:12" s="3" customFormat="1" ht="24.95" customHeight="1">
      <c r="A9" s="5">
        <v>4</v>
      </c>
      <c r="B9" s="5"/>
      <c r="C9" s="5"/>
      <c r="D9" s="5"/>
      <c r="E9" s="807"/>
      <c r="F9" s="807"/>
      <c r="G9" s="807"/>
      <c r="H9" s="807"/>
      <c r="I9" s="807"/>
      <c r="J9" s="807"/>
      <c r="K9" s="5"/>
      <c r="L9" s="5"/>
    </row>
    <row r="10" spans="1:12" s="3" customFormat="1" ht="24.95" customHeight="1">
      <c r="A10" s="5">
        <v>5</v>
      </c>
      <c r="B10" s="5"/>
      <c r="C10" s="5"/>
      <c r="D10" s="5"/>
      <c r="E10" s="807"/>
      <c r="F10" s="807"/>
      <c r="G10" s="807"/>
      <c r="H10" s="807"/>
      <c r="I10" s="807"/>
      <c r="J10" s="807"/>
      <c r="K10" s="5"/>
      <c r="L10" s="5"/>
    </row>
    <row r="11" spans="1:12" s="3" customFormat="1" ht="24.95" customHeight="1">
      <c r="A11" s="5">
        <v>6</v>
      </c>
      <c r="B11" s="5"/>
      <c r="C11" s="5"/>
      <c r="D11" s="5"/>
      <c r="E11" s="807"/>
      <c r="F11" s="807"/>
      <c r="G11" s="807"/>
      <c r="H11" s="807"/>
      <c r="I11" s="807"/>
      <c r="J11" s="807"/>
      <c r="K11" s="5"/>
      <c r="L11" s="5"/>
    </row>
    <row r="12" spans="1:12" s="3" customFormat="1" ht="24.95" customHeight="1">
      <c r="A12" s="5">
        <v>7</v>
      </c>
      <c r="B12" s="5"/>
      <c r="C12" s="5"/>
      <c r="D12" s="5"/>
      <c r="E12" s="807"/>
      <c r="F12" s="807"/>
      <c r="G12" s="807"/>
      <c r="H12" s="807"/>
      <c r="I12" s="807"/>
      <c r="J12" s="807"/>
      <c r="K12" s="5"/>
      <c r="L12" s="5"/>
    </row>
    <row r="13" spans="1:12" s="3" customFormat="1" ht="24.95" customHeight="1">
      <c r="A13" s="5">
        <v>8</v>
      </c>
      <c r="B13" s="5"/>
      <c r="C13" s="5"/>
      <c r="D13" s="5"/>
      <c r="E13" s="807"/>
      <c r="F13" s="807"/>
      <c r="G13" s="807"/>
      <c r="H13" s="807"/>
      <c r="I13" s="807"/>
      <c r="J13" s="807"/>
      <c r="K13" s="5"/>
      <c r="L13" s="5"/>
    </row>
    <row r="14" spans="1:12" s="3" customFormat="1" ht="24.95" customHeight="1">
      <c r="A14" s="5">
        <v>9</v>
      </c>
      <c r="B14" s="5"/>
      <c r="C14" s="5"/>
      <c r="D14" s="5"/>
      <c r="E14" s="807"/>
      <c r="F14" s="807"/>
      <c r="G14" s="807"/>
      <c r="H14" s="807"/>
      <c r="I14" s="807"/>
      <c r="J14" s="807"/>
      <c r="K14" s="5"/>
      <c r="L14" s="5"/>
    </row>
    <row r="15" spans="1:12" s="3" customFormat="1" ht="24.95" customHeight="1">
      <c r="A15" s="5">
        <v>10</v>
      </c>
      <c r="B15" s="5"/>
      <c r="C15" s="5"/>
      <c r="D15" s="5"/>
      <c r="E15" s="807"/>
      <c r="F15" s="807"/>
      <c r="G15" s="807"/>
      <c r="H15" s="807"/>
      <c r="I15" s="807"/>
      <c r="J15" s="807"/>
      <c r="K15" s="5"/>
      <c r="L15" s="5"/>
    </row>
    <row r="16" spans="1:12" s="3" customFormat="1" ht="24.95" customHeight="1">
      <c r="A16" s="5">
        <v>11</v>
      </c>
      <c r="B16" s="5"/>
      <c r="C16" s="5"/>
      <c r="D16" s="5"/>
      <c r="E16" s="807"/>
      <c r="F16" s="807"/>
      <c r="G16" s="807"/>
      <c r="H16" s="807"/>
      <c r="I16" s="807"/>
      <c r="J16" s="807"/>
      <c r="K16" s="5"/>
      <c r="L16" s="5"/>
    </row>
    <row r="17" spans="1:12" s="3" customFormat="1" ht="24.95" customHeight="1">
      <c r="A17" s="5">
        <v>12</v>
      </c>
      <c r="B17" s="5"/>
      <c r="C17" s="5"/>
      <c r="D17" s="5"/>
      <c r="E17" s="807"/>
      <c r="F17" s="807"/>
      <c r="G17" s="807"/>
      <c r="H17" s="807"/>
      <c r="I17" s="807"/>
      <c r="J17" s="807"/>
      <c r="K17" s="5"/>
      <c r="L17" s="5"/>
    </row>
    <row r="18" spans="1:12" s="3" customFormat="1" ht="24.95" customHeight="1">
      <c r="A18" s="5">
        <v>13</v>
      </c>
      <c r="B18" s="5"/>
      <c r="C18" s="5"/>
      <c r="D18" s="5"/>
      <c r="E18" s="807"/>
      <c r="F18" s="807"/>
      <c r="G18" s="807"/>
      <c r="H18" s="807"/>
      <c r="I18" s="807"/>
      <c r="J18" s="807"/>
      <c r="K18" s="5"/>
      <c r="L18" s="5"/>
    </row>
    <row r="19" spans="1:12" s="3" customFormat="1" ht="24.95" customHeight="1">
      <c r="A19" s="5">
        <v>14</v>
      </c>
      <c r="B19" s="5"/>
      <c r="C19" s="5"/>
      <c r="D19" s="5"/>
      <c r="E19" s="807"/>
      <c r="F19" s="807"/>
      <c r="G19" s="807"/>
      <c r="H19" s="807"/>
      <c r="I19" s="807"/>
      <c r="J19" s="807"/>
      <c r="K19" s="5"/>
      <c r="L19" s="5"/>
    </row>
    <row r="20" spans="1:12" s="3" customFormat="1" ht="24.95" customHeight="1">
      <c r="A20" s="5">
        <v>15</v>
      </c>
      <c r="B20" s="5"/>
      <c r="C20" s="5"/>
      <c r="D20" s="5"/>
      <c r="E20" s="807"/>
      <c r="F20" s="807"/>
      <c r="G20" s="807"/>
      <c r="H20" s="807"/>
      <c r="I20" s="807"/>
      <c r="J20" s="807"/>
      <c r="K20" s="5"/>
      <c r="L20" s="5"/>
    </row>
    <row r="21" spans="1:12" s="3" customFormat="1" ht="24.95" customHeight="1">
      <c r="A21" s="5">
        <v>16</v>
      </c>
      <c r="B21" s="5"/>
      <c r="C21" s="5"/>
      <c r="D21" s="5"/>
      <c r="E21" s="807"/>
      <c r="F21" s="807"/>
      <c r="G21" s="807"/>
      <c r="H21" s="807"/>
      <c r="I21" s="807"/>
      <c r="J21" s="807"/>
      <c r="K21" s="5"/>
      <c r="L21" s="5"/>
    </row>
  </sheetData>
  <mergeCells count="40">
    <mergeCell ref="E21:G21"/>
    <mergeCell ref="H21:J21"/>
    <mergeCell ref="E18:G18"/>
    <mergeCell ref="H18:J18"/>
    <mergeCell ref="E19:G19"/>
    <mergeCell ref="H19:J19"/>
    <mergeCell ref="E20:G20"/>
    <mergeCell ref="H20:J20"/>
    <mergeCell ref="E15:G15"/>
    <mergeCell ref="H15:J15"/>
    <mergeCell ref="E16:G16"/>
    <mergeCell ref="H16:J16"/>
    <mergeCell ref="E17:G17"/>
    <mergeCell ref="H17:J17"/>
    <mergeCell ref="E12:G12"/>
    <mergeCell ref="H12:J12"/>
    <mergeCell ref="E13:G13"/>
    <mergeCell ref="H13:J13"/>
    <mergeCell ref="E14:G14"/>
    <mergeCell ref="H14:J14"/>
    <mergeCell ref="E9:G9"/>
    <mergeCell ref="H9:J9"/>
    <mergeCell ref="E10:G10"/>
    <mergeCell ref="H10:J10"/>
    <mergeCell ref="E11:G11"/>
    <mergeCell ref="H11:J11"/>
    <mergeCell ref="E6:G6"/>
    <mergeCell ref="H6:J6"/>
    <mergeCell ref="E7:G7"/>
    <mergeCell ref="H7:J7"/>
    <mergeCell ref="E8:G8"/>
    <mergeCell ref="H8:J8"/>
    <mergeCell ref="A1:L1"/>
    <mergeCell ref="A4:A5"/>
    <mergeCell ref="B4:B5"/>
    <mergeCell ref="C4:D4"/>
    <mergeCell ref="E4:G5"/>
    <mergeCell ref="H4:J5"/>
    <mergeCell ref="K4:K5"/>
    <mergeCell ref="L4:L5"/>
  </mergeCells>
  <phoneticPr fontId="4" type="noConversion"/>
  <printOptions horizontalCentered="1"/>
  <pageMargins left="0.51181102362204722" right="0.51181102362204722" top="0.55118110236220474" bottom="0.55118110236220474" header="0.31496062992125984" footer="0.31496062992125984"/>
  <pageSetup paperSize="9" fitToHeight="0" orientation="landscape" r:id="rId1"/>
  <headerFooter>
    <oddFooter>&amp;L&amp;10※ 본 양식은 단지 참조용으로 제시된 것이며 별도의 서식을 사용할 수 있음.&amp;R&amp;"맑은 고딕,보통"&amp;10QA-8.6-7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7"/>
  <sheetViews>
    <sheetView showGridLines="0" view="pageBreakPreview" zoomScaleNormal="100" zoomScaleSheetLayoutView="100" workbookViewId="0">
      <selection activeCell="C15" sqref="C15:H25"/>
    </sheetView>
  </sheetViews>
  <sheetFormatPr defaultRowHeight="18" customHeight="1"/>
  <cols>
    <col min="1" max="2" width="8.625" style="6" customWidth="1"/>
    <col min="3" max="9" width="9.625" style="6" customWidth="1"/>
    <col min="10" max="10" width="0.625" style="6" customWidth="1"/>
    <col min="11" max="250" width="8.75" style="6"/>
    <col min="251" max="251" width="16.125" style="6" customWidth="1"/>
    <col min="252" max="252" width="53.25" style="6" customWidth="1"/>
    <col min="253" max="253" width="12.625" style="6" customWidth="1"/>
    <col min="254" max="506" width="8.75" style="6"/>
    <col min="507" max="507" width="16.125" style="6" customWidth="1"/>
    <col min="508" max="508" width="53.25" style="6" customWidth="1"/>
    <col min="509" max="509" width="12.625" style="6" customWidth="1"/>
    <col min="510" max="762" width="8.75" style="6"/>
    <col min="763" max="763" width="16.125" style="6" customWidth="1"/>
    <col min="764" max="764" width="53.25" style="6" customWidth="1"/>
    <col min="765" max="765" width="12.625" style="6" customWidth="1"/>
    <col min="766" max="1018" width="8.75" style="6"/>
    <col min="1019" max="1019" width="16.125" style="6" customWidth="1"/>
    <col min="1020" max="1020" width="53.25" style="6" customWidth="1"/>
    <col min="1021" max="1021" width="12.625" style="6" customWidth="1"/>
    <col min="1022" max="1274" width="8.75" style="6"/>
    <col min="1275" max="1275" width="16.125" style="6" customWidth="1"/>
    <col min="1276" max="1276" width="53.25" style="6" customWidth="1"/>
    <col min="1277" max="1277" width="12.625" style="6" customWidth="1"/>
    <col min="1278" max="1530" width="8.75" style="6"/>
    <col min="1531" max="1531" width="16.125" style="6" customWidth="1"/>
    <col min="1532" max="1532" width="53.25" style="6" customWidth="1"/>
    <col min="1533" max="1533" width="12.625" style="6" customWidth="1"/>
    <col min="1534" max="1786" width="8.75" style="6"/>
    <col min="1787" max="1787" width="16.125" style="6" customWidth="1"/>
    <col min="1788" max="1788" width="53.25" style="6" customWidth="1"/>
    <col min="1789" max="1789" width="12.625" style="6" customWidth="1"/>
    <col min="1790" max="2042" width="8.75" style="6"/>
    <col min="2043" max="2043" width="16.125" style="6" customWidth="1"/>
    <col min="2044" max="2044" width="53.25" style="6" customWidth="1"/>
    <col min="2045" max="2045" width="12.625" style="6" customWidth="1"/>
    <col min="2046" max="2298" width="8.75" style="6"/>
    <col min="2299" max="2299" width="16.125" style="6" customWidth="1"/>
    <col min="2300" max="2300" width="53.25" style="6" customWidth="1"/>
    <col min="2301" max="2301" width="12.625" style="6" customWidth="1"/>
    <col min="2302" max="2554" width="8.75" style="6"/>
    <col min="2555" max="2555" width="16.125" style="6" customWidth="1"/>
    <col min="2556" max="2556" width="53.25" style="6" customWidth="1"/>
    <col min="2557" max="2557" width="12.625" style="6" customWidth="1"/>
    <col min="2558" max="2810" width="8.75" style="6"/>
    <col min="2811" max="2811" width="16.125" style="6" customWidth="1"/>
    <col min="2812" max="2812" width="53.25" style="6" customWidth="1"/>
    <col min="2813" max="2813" width="12.625" style="6" customWidth="1"/>
    <col min="2814" max="3066" width="8.75" style="6"/>
    <col min="3067" max="3067" width="16.125" style="6" customWidth="1"/>
    <col min="3068" max="3068" width="53.25" style="6" customWidth="1"/>
    <col min="3069" max="3069" width="12.625" style="6" customWidth="1"/>
    <col min="3070" max="3322" width="8.75" style="6"/>
    <col min="3323" max="3323" width="16.125" style="6" customWidth="1"/>
    <col min="3324" max="3324" width="53.25" style="6" customWidth="1"/>
    <col min="3325" max="3325" width="12.625" style="6" customWidth="1"/>
    <col min="3326" max="3578" width="8.75" style="6"/>
    <col min="3579" max="3579" width="16.125" style="6" customWidth="1"/>
    <col min="3580" max="3580" width="53.25" style="6" customWidth="1"/>
    <col min="3581" max="3581" width="12.625" style="6" customWidth="1"/>
    <col min="3582" max="3834" width="8.75" style="6"/>
    <col min="3835" max="3835" width="16.125" style="6" customWidth="1"/>
    <col min="3836" max="3836" width="53.25" style="6" customWidth="1"/>
    <col min="3837" max="3837" width="12.625" style="6" customWidth="1"/>
    <col min="3838" max="4090" width="8.75" style="6"/>
    <col min="4091" max="4091" width="16.125" style="6" customWidth="1"/>
    <col min="4092" max="4092" width="53.25" style="6" customWidth="1"/>
    <col min="4093" max="4093" width="12.625" style="6" customWidth="1"/>
    <col min="4094" max="4346" width="8.75" style="6"/>
    <col min="4347" max="4347" width="16.125" style="6" customWidth="1"/>
    <col min="4348" max="4348" width="53.25" style="6" customWidth="1"/>
    <col min="4349" max="4349" width="12.625" style="6" customWidth="1"/>
    <col min="4350" max="4602" width="8.75" style="6"/>
    <col min="4603" max="4603" width="16.125" style="6" customWidth="1"/>
    <col min="4604" max="4604" width="53.25" style="6" customWidth="1"/>
    <col min="4605" max="4605" width="12.625" style="6" customWidth="1"/>
    <col min="4606" max="4858" width="8.75" style="6"/>
    <col min="4859" max="4859" width="16.125" style="6" customWidth="1"/>
    <col min="4860" max="4860" width="53.25" style="6" customWidth="1"/>
    <col min="4861" max="4861" width="12.625" style="6" customWidth="1"/>
    <col min="4862" max="5114" width="8.75" style="6"/>
    <col min="5115" max="5115" width="16.125" style="6" customWidth="1"/>
    <col min="5116" max="5116" width="53.25" style="6" customWidth="1"/>
    <col min="5117" max="5117" width="12.625" style="6" customWidth="1"/>
    <col min="5118" max="5370" width="8.75" style="6"/>
    <col min="5371" max="5371" width="16.125" style="6" customWidth="1"/>
    <col min="5372" max="5372" width="53.25" style="6" customWidth="1"/>
    <col min="5373" max="5373" width="12.625" style="6" customWidth="1"/>
    <col min="5374" max="5626" width="8.75" style="6"/>
    <col min="5627" max="5627" width="16.125" style="6" customWidth="1"/>
    <col min="5628" max="5628" width="53.25" style="6" customWidth="1"/>
    <col min="5629" max="5629" width="12.625" style="6" customWidth="1"/>
    <col min="5630" max="5882" width="8.75" style="6"/>
    <col min="5883" max="5883" width="16.125" style="6" customWidth="1"/>
    <col min="5884" max="5884" width="53.25" style="6" customWidth="1"/>
    <col min="5885" max="5885" width="12.625" style="6" customWidth="1"/>
    <col min="5886" max="6138" width="8.75" style="6"/>
    <col min="6139" max="6139" width="16.125" style="6" customWidth="1"/>
    <col min="6140" max="6140" width="53.25" style="6" customWidth="1"/>
    <col min="6141" max="6141" width="12.625" style="6" customWidth="1"/>
    <col min="6142" max="6394" width="8.75" style="6"/>
    <col min="6395" max="6395" width="16.125" style="6" customWidth="1"/>
    <col min="6396" max="6396" width="53.25" style="6" customWidth="1"/>
    <col min="6397" max="6397" width="12.625" style="6" customWidth="1"/>
    <col min="6398" max="6650" width="8.75" style="6"/>
    <col min="6651" max="6651" width="16.125" style="6" customWidth="1"/>
    <col min="6652" max="6652" width="53.25" style="6" customWidth="1"/>
    <col min="6653" max="6653" width="12.625" style="6" customWidth="1"/>
    <col min="6654" max="6906" width="8.75" style="6"/>
    <col min="6907" max="6907" width="16.125" style="6" customWidth="1"/>
    <col min="6908" max="6908" width="53.25" style="6" customWidth="1"/>
    <col min="6909" max="6909" width="12.625" style="6" customWidth="1"/>
    <col min="6910" max="7162" width="8.75" style="6"/>
    <col min="7163" max="7163" width="16.125" style="6" customWidth="1"/>
    <col min="7164" max="7164" width="53.25" style="6" customWidth="1"/>
    <col min="7165" max="7165" width="12.625" style="6" customWidth="1"/>
    <col min="7166" max="7418" width="8.75" style="6"/>
    <col min="7419" max="7419" width="16.125" style="6" customWidth="1"/>
    <col min="7420" max="7420" width="53.25" style="6" customWidth="1"/>
    <col min="7421" max="7421" width="12.625" style="6" customWidth="1"/>
    <col min="7422" max="7674" width="8.75" style="6"/>
    <col min="7675" max="7675" width="16.125" style="6" customWidth="1"/>
    <col min="7676" max="7676" width="53.25" style="6" customWidth="1"/>
    <col min="7677" max="7677" width="12.625" style="6" customWidth="1"/>
    <col min="7678" max="7930" width="8.75" style="6"/>
    <col min="7931" max="7931" width="16.125" style="6" customWidth="1"/>
    <col min="7932" max="7932" width="53.25" style="6" customWidth="1"/>
    <col min="7933" max="7933" width="12.625" style="6" customWidth="1"/>
    <col min="7934" max="8186" width="8.75" style="6"/>
    <col min="8187" max="8187" width="16.125" style="6" customWidth="1"/>
    <col min="8188" max="8188" width="53.25" style="6" customWidth="1"/>
    <col min="8189" max="8189" width="12.625" style="6" customWidth="1"/>
    <col min="8190" max="8442" width="8.75" style="6"/>
    <col min="8443" max="8443" width="16.125" style="6" customWidth="1"/>
    <col min="8444" max="8444" width="53.25" style="6" customWidth="1"/>
    <col min="8445" max="8445" width="12.625" style="6" customWidth="1"/>
    <col min="8446" max="8698" width="8.75" style="6"/>
    <col min="8699" max="8699" width="16.125" style="6" customWidth="1"/>
    <col min="8700" max="8700" width="53.25" style="6" customWidth="1"/>
    <col min="8701" max="8701" width="12.625" style="6" customWidth="1"/>
    <col min="8702" max="8954" width="8.75" style="6"/>
    <col min="8955" max="8955" width="16.125" style="6" customWidth="1"/>
    <col min="8956" max="8956" width="53.25" style="6" customWidth="1"/>
    <col min="8957" max="8957" width="12.625" style="6" customWidth="1"/>
    <col min="8958" max="9210" width="8.75" style="6"/>
    <col min="9211" max="9211" width="16.125" style="6" customWidth="1"/>
    <col min="9212" max="9212" width="53.25" style="6" customWidth="1"/>
    <col min="9213" max="9213" width="12.625" style="6" customWidth="1"/>
    <col min="9214" max="9466" width="8.75" style="6"/>
    <col min="9467" max="9467" width="16.125" style="6" customWidth="1"/>
    <col min="9468" max="9468" width="53.25" style="6" customWidth="1"/>
    <col min="9469" max="9469" width="12.625" style="6" customWidth="1"/>
    <col min="9470" max="9722" width="8.75" style="6"/>
    <col min="9723" max="9723" width="16.125" style="6" customWidth="1"/>
    <col min="9724" max="9724" width="53.25" style="6" customWidth="1"/>
    <col min="9725" max="9725" width="12.625" style="6" customWidth="1"/>
    <col min="9726" max="9978" width="8.75" style="6"/>
    <col min="9979" max="9979" width="16.125" style="6" customWidth="1"/>
    <col min="9980" max="9980" width="53.25" style="6" customWidth="1"/>
    <col min="9981" max="9981" width="12.625" style="6" customWidth="1"/>
    <col min="9982" max="10234" width="8.75" style="6"/>
    <col min="10235" max="10235" width="16.125" style="6" customWidth="1"/>
    <col min="10236" max="10236" width="53.25" style="6" customWidth="1"/>
    <col min="10237" max="10237" width="12.625" style="6" customWidth="1"/>
    <col min="10238" max="10490" width="8.75" style="6"/>
    <col min="10491" max="10491" width="16.125" style="6" customWidth="1"/>
    <col min="10492" max="10492" width="53.25" style="6" customWidth="1"/>
    <col min="10493" max="10493" width="12.625" style="6" customWidth="1"/>
    <col min="10494" max="10746" width="8.75" style="6"/>
    <col min="10747" max="10747" width="16.125" style="6" customWidth="1"/>
    <col min="10748" max="10748" width="53.25" style="6" customWidth="1"/>
    <col min="10749" max="10749" width="12.625" style="6" customWidth="1"/>
    <col min="10750" max="11002" width="8.75" style="6"/>
    <col min="11003" max="11003" width="16.125" style="6" customWidth="1"/>
    <col min="11004" max="11004" width="53.25" style="6" customWidth="1"/>
    <col min="11005" max="11005" width="12.625" style="6" customWidth="1"/>
    <col min="11006" max="11258" width="8.75" style="6"/>
    <col min="11259" max="11259" width="16.125" style="6" customWidth="1"/>
    <col min="11260" max="11260" width="53.25" style="6" customWidth="1"/>
    <col min="11261" max="11261" width="12.625" style="6" customWidth="1"/>
    <col min="11262" max="11514" width="8.75" style="6"/>
    <col min="11515" max="11515" width="16.125" style="6" customWidth="1"/>
    <col min="11516" max="11516" width="53.25" style="6" customWidth="1"/>
    <col min="11517" max="11517" width="12.625" style="6" customWidth="1"/>
    <col min="11518" max="11770" width="8.75" style="6"/>
    <col min="11771" max="11771" width="16.125" style="6" customWidth="1"/>
    <col min="11772" max="11772" width="53.25" style="6" customWidth="1"/>
    <col min="11773" max="11773" width="12.625" style="6" customWidth="1"/>
    <col min="11774" max="12026" width="8.75" style="6"/>
    <col min="12027" max="12027" width="16.125" style="6" customWidth="1"/>
    <col min="12028" max="12028" width="53.25" style="6" customWidth="1"/>
    <col min="12029" max="12029" width="12.625" style="6" customWidth="1"/>
    <col min="12030" max="12282" width="8.75" style="6"/>
    <col min="12283" max="12283" width="16.125" style="6" customWidth="1"/>
    <col min="12284" max="12284" width="53.25" style="6" customWidth="1"/>
    <col min="12285" max="12285" width="12.625" style="6" customWidth="1"/>
    <col min="12286" max="12538" width="8.75" style="6"/>
    <col min="12539" max="12539" width="16.125" style="6" customWidth="1"/>
    <col min="12540" max="12540" width="53.25" style="6" customWidth="1"/>
    <col min="12541" max="12541" width="12.625" style="6" customWidth="1"/>
    <col min="12542" max="12794" width="8.75" style="6"/>
    <col min="12795" max="12795" width="16.125" style="6" customWidth="1"/>
    <col min="12796" max="12796" width="53.25" style="6" customWidth="1"/>
    <col min="12797" max="12797" width="12.625" style="6" customWidth="1"/>
    <col min="12798" max="13050" width="8.75" style="6"/>
    <col min="13051" max="13051" width="16.125" style="6" customWidth="1"/>
    <col min="13052" max="13052" width="53.25" style="6" customWidth="1"/>
    <col min="13053" max="13053" width="12.625" style="6" customWidth="1"/>
    <col min="13054" max="13306" width="8.75" style="6"/>
    <col min="13307" max="13307" width="16.125" style="6" customWidth="1"/>
    <col min="13308" max="13308" width="53.25" style="6" customWidth="1"/>
    <col min="13309" max="13309" width="12.625" style="6" customWidth="1"/>
    <col min="13310" max="13562" width="8.75" style="6"/>
    <col min="13563" max="13563" width="16.125" style="6" customWidth="1"/>
    <col min="13564" max="13564" width="53.25" style="6" customWidth="1"/>
    <col min="13565" max="13565" width="12.625" style="6" customWidth="1"/>
    <col min="13566" max="13818" width="8.75" style="6"/>
    <col min="13819" max="13819" width="16.125" style="6" customWidth="1"/>
    <col min="13820" max="13820" width="53.25" style="6" customWidth="1"/>
    <col min="13821" max="13821" width="12.625" style="6" customWidth="1"/>
    <col min="13822" max="14074" width="8.75" style="6"/>
    <col min="14075" max="14075" width="16.125" style="6" customWidth="1"/>
    <col min="14076" max="14076" width="53.25" style="6" customWidth="1"/>
    <col min="14077" max="14077" width="12.625" style="6" customWidth="1"/>
    <col min="14078" max="14330" width="8.75" style="6"/>
    <col min="14331" max="14331" width="16.125" style="6" customWidth="1"/>
    <col min="14332" max="14332" width="53.25" style="6" customWidth="1"/>
    <col min="14333" max="14333" width="12.625" style="6" customWidth="1"/>
    <col min="14334" max="14586" width="8.75" style="6"/>
    <col min="14587" max="14587" width="16.125" style="6" customWidth="1"/>
    <col min="14588" max="14588" width="53.25" style="6" customWidth="1"/>
    <col min="14589" max="14589" width="12.625" style="6" customWidth="1"/>
    <col min="14590" max="14842" width="8.75" style="6"/>
    <col min="14843" max="14843" width="16.125" style="6" customWidth="1"/>
    <col min="14844" max="14844" width="53.25" style="6" customWidth="1"/>
    <col min="14845" max="14845" width="12.625" style="6" customWidth="1"/>
    <col min="14846" max="15098" width="8.75" style="6"/>
    <col min="15099" max="15099" width="16.125" style="6" customWidth="1"/>
    <col min="15100" max="15100" width="53.25" style="6" customWidth="1"/>
    <col min="15101" max="15101" width="12.625" style="6" customWidth="1"/>
    <col min="15102" max="15354" width="8.75" style="6"/>
    <col min="15355" max="15355" width="16.125" style="6" customWidth="1"/>
    <col min="15356" max="15356" width="53.25" style="6" customWidth="1"/>
    <col min="15357" max="15357" width="12.625" style="6" customWidth="1"/>
    <col min="15358" max="15610" width="8.75" style="6"/>
    <col min="15611" max="15611" width="16.125" style="6" customWidth="1"/>
    <col min="15612" max="15612" width="53.25" style="6" customWidth="1"/>
    <col min="15613" max="15613" width="12.625" style="6" customWidth="1"/>
    <col min="15614" max="15866" width="8.75" style="6"/>
    <col min="15867" max="15867" width="16.125" style="6" customWidth="1"/>
    <col min="15868" max="15868" width="53.25" style="6" customWidth="1"/>
    <col min="15869" max="15869" width="12.625" style="6" customWidth="1"/>
    <col min="15870" max="16122" width="8.75" style="6"/>
    <col min="16123" max="16123" width="16.125" style="6" customWidth="1"/>
    <col min="16124" max="16124" width="53.25" style="6" customWidth="1"/>
    <col min="16125" max="16125" width="12.625" style="6" customWidth="1"/>
    <col min="16126" max="16383" width="8.75" style="6"/>
    <col min="16384" max="16384" width="8.75" style="6" customWidth="1"/>
  </cols>
  <sheetData>
    <row r="1" spans="1:9" ht="20.100000000000001" customHeight="1">
      <c r="A1" s="826"/>
      <c r="B1" s="826"/>
      <c r="C1" s="827" t="s">
        <v>11</v>
      </c>
      <c r="D1" s="827"/>
      <c r="E1" s="827"/>
      <c r="F1" s="827"/>
      <c r="G1" s="7" t="s">
        <v>12</v>
      </c>
      <c r="H1" s="7" t="s">
        <v>13</v>
      </c>
      <c r="I1" s="7" t="s">
        <v>14</v>
      </c>
    </row>
    <row r="2" spans="1:9" ht="23.1" customHeight="1">
      <c r="A2" s="826"/>
      <c r="B2" s="826"/>
      <c r="C2" s="827"/>
      <c r="D2" s="827"/>
      <c r="E2" s="827"/>
      <c r="F2" s="827"/>
      <c r="G2" s="823"/>
      <c r="H2" s="823"/>
      <c r="I2" s="823"/>
    </row>
    <row r="3" spans="1:9" ht="23.1" customHeight="1">
      <c r="A3" s="826" t="s">
        <v>15</v>
      </c>
      <c r="B3" s="826"/>
      <c r="C3" s="827"/>
      <c r="D3" s="827"/>
      <c r="E3" s="827"/>
      <c r="F3" s="827"/>
      <c r="G3" s="825"/>
      <c r="H3" s="825"/>
      <c r="I3" s="825"/>
    </row>
    <row r="4" spans="1:9" ht="20.100000000000001" customHeight="1">
      <c r="A4" s="826"/>
      <c r="B4" s="826"/>
      <c r="C4" s="827"/>
      <c r="D4" s="827"/>
      <c r="E4" s="827"/>
      <c r="F4" s="827"/>
      <c r="G4" s="8" t="s">
        <v>16</v>
      </c>
      <c r="H4" s="8" t="s">
        <v>16</v>
      </c>
      <c r="I4" s="8" t="s">
        <v>16</v>
      </c>
    </row>
    <row r="5" spans="1:9" ht="30" customHeight="1">
      <c r="A5" s="9"/>
      <c r="B5" s="9"/>
      <c r="I5" s="10" t="s">
        <v>17</v>
      </c>
    </row>
    <row r="6" spans="1:9" ht="26.1" customHeight="1">
      <c r="A6" s="828" t="s">
        <v>18</v>
      </c>
      <c r="B6" s="829"/>
      <c r="C6" s="828" t="s">
        <v>19</v>
      </c>
      <c r="D6" s="830"/>
      <c r="E6" s="830"/>
      <c r="F6" s="830"/>
      <c r="G6" s="830"/>
      <c r="H6" s="829"/>
      <c r="I6" s="11" t="s">
        <v>20</v>
      </c>
    </row>
    <row r="7" spans="1:9" ht="18" customHeight="1">
      <c r="A7" s="808" t="s">
        <v>21</v>
      </c>
      <c r="B7" s="809"/>
      <c r="C7" s="831"/>
      <c r="D7" s="832"/>
      <c r="E7" s="832"/>
      <c r="F7" s="832"/>
      <c r="G7" s="832"/>
      <c r="H7" s="833"/>
      <c r="I7" s="840"/>
    </row>
    <row r="8" spans="1:9" ht="18" customHeight="1">
      <c r="A8" s="810"/>
      <c r="B8" s="811"/>
      <c r="C8" s="834"/>
      <c r="D8" s="835"/>
      <c r="E8" s="835"/>
      <c r="F8" s="835"/>
      <c r="G8" s="835"/>
      <c r="H8" s="836"/>
      <c r="I8" s="841"/>
    </row>
    <row r="9" spans="1:9" ht="18" customHeight="1">
      <c r="A9" s="810"/>
      <c r="B9" s="811"/>
      <c r="C9" s="834"/>
      <c r="D9" s="835"/>
      <c r="E9" s="835"/>
      <c r="F9" s="835"/>
      <c r="G9" s="835"/>
      <c r="H9" s="836"/>
      <c r="I9" s="841"/>
    </row>
    <row r="10" spans="1:9" ht="18" customHeight="1">
      <c r="A10" s="810"/>
      <c r="B10" s="811"/>
      <c r="C10" s="834"/>
      <c r="D10" s="835"/>
      <c r="E10" s="835"/>
      <c r="F10" s="835"/>
      <c r="G10" s="835"/>
      <c r="H10" s="836"/>
      <c r="I10" s="841"/>
    </row>
    <row r="11" spans="1:9" ht="18" customHeight="1">
      <c r="A11" s="810"/>
      <c r="B11" s="811"/>
      <c r="C11" s="834"/>
      <c r="D11" s="835"/>
      <c r="E11" s="835"/>
      <c r="F11" s="835"/>
      <c r="G11" s="835"/>
      <c r="H11" s="836"/>
      <c r="I11" s="841"/>
    </row>
    <row r="12" spans="1:9" ht="18" customHeight="1">
      <c r="A12" s="810"/>
      <c r="B12" s="811"/>
      <c r="C12" s="834"/>
      <c r="D12" s="835"/>
      <c r="E12" s="835"/>
      <c r="F12" s="835"/>
      <c r="G12" s="835"/>
      <c r="H12" s="836"/>
      <c r="I12" s="841"/>
    </row>
    <row r="13" spans="1:9" ht="18" customHeight="1">
      <c r="A13" s="810"/>
      <c r="B13" s="811"/>
      <c r="C13" s="834"/>
      <c r="D13" s="835"/>
      <c r="E13" s="835"/>
      <c r="F13" s="835"/>
      <c r="G13" s="835"/>
      <c r="H13" s="836"/>
      <c r="I13" s="841"/>
    </row>
    <row r="14" spans="1:9" ht="18" customHeight="1">
      <c r="A14" s="812"/>
      <c r="B14" s="813"/>
      <c r="C14" s="837"/>
      <c r="D14" s="838"/>
      <c r="E14" s="838"/>
      <c r="F14" s="838"/>
      <c r="G14" s="838"/>
      <c r="H14" s="839"/>
      <c r="I14" s="842"/>
    </row>
    <row r="15" spans="1:9" ht="18" customHeight="1">
      <c r="A15" s="808" t="s">
        <v>22</v>
      </c>
      <c r="B15" s="809"/>
      <c r="C15" s="814"/>
      <c r="D15" s="815"/>
      <c r="E15" s="815"/>
      <c r="F15" s="815"/>
      <c r="G15" s="815"/>
      <c r="H15" s="816"/>
      <c r="I15" s="823"/>
    </row>
    <row r="16" spans="1:9" ht="18" customHeight="1">
      <c r="A16" s="810"/>
      <c r="B16" s="811"/>
      <c r="C16" s="817"/>
      <c r="D16" s="818"/>
      <c r="E16" s="818"/>
      <c r="F16" s="818"/>
      <c r="G16" s="818"/>
      <c r="H16" s="819"/>
      <c r="I16" s="824"/>
    </row>
    <row r="17" spans="1:9" ht="18" customHeight="1">
      <c r="A17" s="810"/>
      <c r="B17" s="811"/>
      <c r="C17" s="817"/>
      <c r="D17" s="818"/>
      <c r="E17" s="818"/>
      <c r="F17" s="818"/>
      <c r="G17" s="818"/>
      <c r="H17" s="819"/>
      <c r="I17" s="824"/>
    </row>
    <row r="18" spans="1:9" ht="18" customHeight="1">
      <c r="A18" s="810"/>
      <c r="B18" s="811"/>
      <c r="C18" s="817"/>
      <c r="D18" s="818"/>
      <c r="E18" s="818"/>
      <c r="F18" s="818"/>
      <c r="G18" s="818"/>
      <c r="H18" s="819"/>
      <c r="I18" s="824"/>
    </row>
    <row r="19" spans="1:9" ht="18" customHeight="1">
      <c r="A19" s="810"/>
      <c r="B19" s="811"/>
      <c r="C19" s="817"/>
      <c r="D19" s="818"/>
      <c r="E19" s="818"/>
      <c r="F19" s="818"/>
      <c r="G19" s="818"/>
      <c r="H19" s="819"/>
      <c r="I19" s="824"/>
    </row>
    <row r="20" spans="1:9" ht="18" customHeight="1">
      <c r="A20" s="810"/>
      <c r="B20" s="811"/>
      <c r="C20" s="817"/>
      <c r="D20" s="818"/>
      <c r="E20" s="818"/>
      <c r="F20" s="818"/>
      <c r="G20" s="818"/>
      <c r="H20" s="819"/>
      <c r="I20" s="824"/>
    </row>
    <row r="21" spans="1:9" ht="18" customHeight="1">
      <c r="A21" s="810"/>
      <c r="B21" s="811"/>
      <c r="C21" s="817"/>
      <c r="D21" s="818"/>
      <c r="E21" s="818"/>
      <c r="F21" s="818"/>
      <c r="G21" s="818"/>
      <c r="H21" s="819"/>
      <c r="I21" s="824"/>
    </row>
    <row r="22" spans="1:9" ht="18" customHeight="1">
      <c r="A22" s="810"/>
      <c r="B22" s="811"/>
      <c r="C22" s="817"/>
      <c r="D22" s="818"/>
      <c r="E22" s="818"/>
      <c r="F22" s="818"/>
      <c r="G22" s="818"/>
      <c r="H22" s="819"/>
      <c r="I22" s="824"/>
    </row>
    <row r="23" spans="1:9" ht="18" customHeight="1">
      <c r="A23" s="810"/>
      <c r="B23" s="811"/>
      <c r="C23" s="817"/>
      <c r="D23" s="818"/>
      <c r="E23" s="818"/>
      <c r="F23" s="818"/>
      <c r="G23" s="818"/>
      <c r="H23" s="819"/>
      <c r="I23" s="824"/>
    </row>
    <row r="24" spans="1:9" ht="18" customHeight="1">
      <c r="A24" s="810"/>
      <c r="B24" s="811"/>
      <c r="C24" s="817"/>
      <c r="D24" s="818"/>
      <c r="E24" s="818"/>
      <c r="F24" s="818"/>
      <c r="G24" s="818"/>
      <c r="H24" s="819"/>
      <c r="I24" s="824"/>
    </row>
    <row r="25" spans="1:9" ht="18" customHeight="1">
      <c r="A25" s="812"/>
      <c r="B25" s="813"/>
      <c r="C25" s="820"/>
      <c r="D25" s="821"/>
      <c r="E25" s="821"/>
      <c r="F25" s="821"/>
      <c r="G25" s="821"/>
      <c r="H25" s="822"/>
      <c r="I25" s="825"/>
    </row>
    <row r="26" spans="1:9" ht="18" customHeight="1">
      <c r="A26" s="843" t="s">
        <v>23</v>
      </c>
      <c r="B26" s="844"/>
      <c r="C26" s="814"/>
      <c r="D26" s="815"/>
      <c r="E26" s="815"/>
      <c r="F26" s="815"/>
      <c r="G26" s="815"/>
      <c r="H26" s="816"/>
      <c r="I26" s="823"/>
    </row>
    <row r="27" spans="1:9" ht="18" customHeight="1">
      <c r="A27" s="845"/>
      <c r="B27" s="846"/>
      <c r="C27" s="817"/>
      <c r="D27" s="818"/>
      <c r="E27" s="818"/>
      <c r="F27" s="818"/>
      <c r="G27" s="818"/>
      <c r="H27" s="819"/>
      <c r="I27" s="824"/>
    </row>
    <row r="28" spans="1:9" ht="18" customHeight="1">
      <c r="A28" s="845"/>
      <c r="B28" s="846"/>
      <c r="C28" s="817"/>
      <c r="D28" s="818"/>
      <c r="E28" s="818"/>
      <c r="F28" s="818"/>
      <c r="G28" s="818"/>
      <c r="H28" s="819"/>
      <c r="I28" s="824"/>
    </row>
    <row r="29" spans="1:9" ht="18" customHeight="1">
      <c r="A29" s="845"/>
      <c r="B29" s="846"/>
      <c r="C29" s="817"/>
      <c r="D29" s="818"/>
      <c r="E29" s="818"/>
      <c r="F29" s="818"/>
      <c r="G29" s="818"/>
      <c r="H29" s="819"/>
      <c r="I29" s="824"/>
    </row>
    <row r="30" spans="1:9" ht="18" customHeight="1">
      <c r="A30" s="845"/>
      <c r="B30" s="846"/>
      <c r="C30" s="817"/>
      <c r="D30" s="818"/>
      <c r="E30" s="818"/>
      <c r="F30" s="818"/>
      <c r="G30" s="818"/>
      <c r="H30" s="819"/>
      <c r="I30" s="824"/>
    </row>
    <row r="31" spans="1:9" ht="18" customHeight="1">
      <c r="A31" s="845"/>
      <c r="B31" s="846"/>
      <c r="C31" s="817"/>
      <c r="D31" s="818"/>
      <c r="E31" s="818"/>
      <c r="F31" s="818"/>
      <c r="G31" s="818"/>
      <c r="H31" s="819"/>
      <c r="I31" s="824"/>
    </row>
    <row r="32" spans="1:9" ht="18" customHeight="1">
      <c r="A32" s="845"/>
      <c r="B32" s="846"/>
      <c r="C32" s="817"/>
      <c r="D32" s="818"/>
      <c r="E32" s="818"/>
      <c r="F32" s="818"/>
      <c r="G32" s="818"/>
      <c r="H32" s="819"/>
      <c r="I32" s="824"/>
    </row>
    <row r="33" spans="1:9" ht="18" customHeight="1">
      <c r="A33" s="845"/>
      <c r="B33" s="846"/>
      <c r="C33" s="817"/>
      <c r="D33" s="818"/>
      <c r="E33" s="818"/>
      <c r="F33" s="818"/>
      <c r="G33" s="818"/>
      <c r="H33" s="819"/>
      <c r="I33" s="824"/>
    </row>
    <row r="34" spans="1:9" ht="18" customHeight="1">
      <c r="A34" s="845"/>
      <c r="B34" s="846"/>
      <c r="C34" s="817"/>
      <c r="D34" s="818"/>
      <c r="E34" s="818"/>
      <c r="F34" s="818"/>
      <c r="G34" s="818"/>
      <c r="H34" s="819"/>
      <c r="I34" s="824"/>
    </row>
    <row r="35" spans="1:9" ht="18" customHeight="1">
      <c r="A35" s="847"/>
      <c r="B35" s="848"/>
      <c r="C35" s="820"/>
      <c r="D35" s="821"/>
      <c r="E35" s="821"/>
      <c r="F35" s="821"/>
      <c r="G35" s="821"/>
      <c r="H35" s="822"/>
      <c r="I35" s="825"/>
    </row>
    <row r="36" spans="1:9" ht="60" customHeight="1">
      <c r="A36" s="849" t="s">
        <v>24</v>
      </c>
      <c r="B36" s="849"/>
      <c r="C36" s="850"/>
      <c r="D36" s="850"/>
      <c r="E36" s="850"/>
      <c r="F36" s="850"/>
      <c r="G36" s="850"/>
      <c r="H36" s="850"/>
      <c r="I36" s="12"/>
    </row>
    <row r="37" spans="1:9" ht="13.5"/>
  </sheetData>
  <mergeCells count="19">
    <mergeCell ref="A26:B35"/>
    <mergeCell ref="C26:H35"/>
    <mergeCell ref="I26:I35"/>
    <mergeCell ref="A36:B36"/>
    <mergeCell ref="C36:H36"/>
    <mergeCell ref="A15:B25"/>
    <mergeCell ref="C15:H25"/>
    <mergeCell ref="I15:I25"/>
    <mergeCell ref="A1:B2"/>
    <mergeCell ref="C1:F4"/>
    <mergeCell ref="G2:G3"/>
    <mergeCell ref="H2:H3"/>
    <mergeCell ref="I2:I3"/>
    <mergeCell ref="A3:B4"/>
    <mergeCell ref="A6:B6"/>
    <mergeCell ref="C6:H6"/>
    <mergeCell ref="A7:B14"/>
    <mergeCell ref="C7:H14"/>
    <mergeCell ref="I7:I14"/>
  </mergeCells>
  <phoneticPr fontId="4" type="noConversion"/>
  <printOptions horizontalCentered="1"/>
  <pageMargins left="0.47244094488188981" right="0.47244094488188981" top="0.6692913385826772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고딕,보통"&amp;10QA-8.6-8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QA-8.6-1</vt:lpstr>
      <vt:lpstr>견본</vt:lpstr>
      <vt:lpstr>QA-8.6-2</vt:lpstr>
      <vt:lpstr>견본 (2)</vt:lpstr>
      <vt:lpstr>QA-8.6-3</vt:lpstr>
      <vt:lpstr>견본 (3)</vt:lpstr>
      <vt:lpstr>QA-8.6-4</vt:lpstr>
      <vt:lpstr>QA-8.6-5</vt:lpstr>
      <vt:lpstr>QA-8.6-6</vt:lpstr>
      <vt:lpstr>QA-8.6-7</vt:lpstr>
      <vt:lpstr>QA-8.6-8</vt:lpstr>
      <vt:lpstr>'QA-8.6-1'!Print_Area</vt:lpstr>
      <vt:lpstr>'QA-8.6-2'!Print_Area</vt:lpstr>
      <vt:lpstr>'QA-8.6-3'!Print_Area</vt:lpstr>
      <vt:lpstr>'QA-8.6-4'!Print_Area</vt:lpstr>
      <vt:lpstr>'QA-8.6-5'!Print_Area</vt:lpstr>
      <vt:lpstr>'QA-8.6-6'!Print_Area</vt:lpstr>
      <vt:lpstr>'QA-8.6-7'!Print_Area</vt:lpstr>
      <vt:lpstr>'QA-8.6-8'!Print_Area</vt:lpstr>
      <vt:lpstr>견본!Print_Area</vt:lpstr>
      <vt:lpstr>'견본 (2)'!Print_Area</vt:lpstr>
      <vt:lpstr>'견본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2022-04-20T07:51:57Z</cp:lastPrinted>
  <dcterms:created xsi:type="dcterms:W3CDTF">2022-01-11T23:26:21Z</dcterms:created>
  <dcterms:modified xsi:type="dcterms:W3CDTF">2022-04-22T05:41:06Z</dcterms:modified>
</cp:coreProperties>
</file>