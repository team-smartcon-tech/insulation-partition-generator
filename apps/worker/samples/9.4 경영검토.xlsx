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0. 현장 품질관리 운영 매뉴얼_작성\01. 현장 품질관리 운영 매뉴얼\첨부 03. 현장 품질관리 운영_첨부문서\첨부 1 품질관리계획서 표준안\첨부 2. 품질관리계획서_첨부\"/>
    </mc:Choice>
  </mc:AlternateContent>
  <xr:revisionPtr revIDLastSave="0" documentId="13_ncr:1_{5BBA85FD-4D69-4CC9-9749-99979D080080}" xr6:coauthVersionLast="37" xr6:coauthVersionMax="37" xr10:uidLastSave="{00000000-0000-0000-0000-000000000000}"/>
  <bookViews>
    <workbookView xWindow="0" yWindow="0" windowWidth="28800" windowHeight="12000" activeTab="1" xr2:uid="{BDB49FBA-B7A0-431C-B790-D0792BED00A9}"/>
  </bookViews>
  <sheets>
    <sheet name="경영검토 프로세스(9.4_T1)" sheetId="1" r:id="rId1"/>
    <sheet name="표지" sheetId="2" r:id="rId2"/>
    <sheet name="목차" sheetId="3" r:id="rId3"/>
    <sheet name="1.현장방침 및 목표" sheetId="4" r:id="rId4"/>
    <sheet name="2. 운영성과 측정지표" sheetId="5" r:id="rId5"/>
    <sheet name="3. 검토항목" sheetId="6" r:id="rId6"/>
    <sheet name="4. 이행 검토서" sheetId="7" r:id="rId7"/>
    <sheet name="4.1 사업관리" sheetId="8" r:id="rId8"/>
    <sheet name="4.2  1) 원가 및 공정관리" sheetId="9" r:id="rId9"/>
    <sheet name="4.2  3) 품질관리_재검사율" sheetId="10" r:id="rId10"/>
    <sheet name="4.2  3) 품질관리_검사현황" sheetId="11" r:id="rId11"/>
    <sheet name="4.2  3) 품질관리_부적합 및 시정조치" sheetId="12" r:id="rId12"/>
    <sheet name="4.2  4)안전관리" sheetId="13" r:id="rId13"/>
    <sheet name="4.2  5)환경관리" sheetId="14" r:id="rId14"/>
    <sheet name="4.2  6)설계관리" sheetId="15" r:id="rId15"/>
    <sheet name="4.3 지식관리  1)시공계획서" sheetId="16" r:id="rId16"/>
    <sheet name="4.3 지식관리  2)교육훈련" sheetId="17" r:id="rId17"/>
  </sheets>
  <definedNames>
    <definedName name="_xlnm.Print_Area" localSheetId="3">'1.현장방침 및 목표'!$A$1:$AG$51</definedName>
    <definedName name="_xlnm.Print_Area" localSheetId="5">'3. 검토항목'!$A$1:$AG$28</definedName>
    <definedName name="_xlnm.Print_Area" localSheetId="6">'4. 이행 검토서'!$A$1:$AG$125</definedName>
    <definedName name="_xlnm.Print_Area" localSheetId="7">'4.1 사업관리'!$A$1:$M$22</definedName>
    <definedName name="_xlnm.Print_Area" localSheetId="8">'4.2  1) 원가 및 공정관리'!$A$1:$O$34</definedName>
    <definedName name="_xlnm.Print_Area" localSheetId="10">'4.2  3) 품질관리_검사현황'!$A$1:$M$34</definedName>
    <definedName name="_xlnm.Print_Area" localSheetId="11">'4.2  3) 품질관리_부적합 및 시정조치'!$A$1:$Q$34</definedName>
    <definedName name="_xlnm.Print_Area" localSheetId="9">'4.2  3) 품질관리_재검사율'!$A$1:$P$36</definedName>
    <definedName name="_xlnm.Print_Area" localSheetId="12">'4.2  4)안전관리'!$A$1:$Q$32</definedName>
    <definedName name="_xlnm.Print_Area" localSheetId="13">'4.2  5)환경관리'!$A$1:$Q$32</definedName>
    <definedName name="_xlnm.Print_Area" localSheetId="14">'4.2  6)설계관리'!$A$1:$Q$32</definedName>
    <definedName name="_xlnm.Print_Area" localSheetId="15">'4.3 지식관리  1)시공계획서'!$A$1:$Q$20</definedName>
    <definedName name="_xlnm.Print_Area" localSheetId="16">'4.3 지식관리  2)교육훈련'!$A$1:$Q$20</definedName>
    <definedName name="_xlnm.Print_Area" localSheetId="0">'경영검토 프로세스(9.4_T1)'!$A$1:$L$46</definedName>
    <definedName name="_xlnm.Print_Area" localSheetId="2">목차!$A$1:$AG$33</definedName>
    <definedName name="_xlnm.Print_Area" localSheetId="1">표지!$A$1:$AQ$76</definedName>
    <definedName name="_xlnm.Print_Titles" localSheetId="6">'4. 이행 검토서'!$1:$6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2" i="11" l="1"/>
  <c r="J33" i="11" s="1"/>
  <c r="J32" i="11"/>
  <c r="J31" i="11"/>
  <c r="J29" i="11"/>
  <c r="J27" i="11"/>
  <c r="J25" i="11"/>
  <c r="J23" i="11"/>
  <c r="J21" i="11"/>
  <c r="J19" i="11"/>
  <c r="J17" i="11"/>
  <c r="J15" i="11"/>
  <c r="J13" i="11"/>
  <c r="J11" i="11"/>
  <c r="J9" i="11"/>
  <c r="I8" i="13" l="1"/>
  <c r="J8" i="13" s="1"/>
  <c r="K8" i="13" s="1"/>
  <c r="L8" i="13" s="1"/>
  <c r="M8" i="13" s="1"/>
  <c r="N8" i="13" s="1"/>
  <c r="O8" i="13" s="1"/>
  <c r="H8" i="13"/>
  <c r="G8" i="13"/>
  <c r="F8" i="13"/>
  <c r="E8" i="13"/>
  <c r="N10" i="12"/>
  <c r="M10" i="12"/>
  <c r="L10" i="12"/>
  <c r="K10" i="12"/>
  <c r="J10" i="12"/>
  <c r="I10" i="12"/>
  <c r="O10" i="12" s="1"/>
  <c r="H10" i="12"/>
  <c r="G10" i="12"/>
  <c r="F10" i="12"/>
  <c r="E10" i="12"/>
  <c r="D10" i="12"/>
  <c r="C10" i="12"/>
  <c r="P9" i="12"/>
  <c r="O9" i="12"/>
  <c r="P8" i="12"/>
  <c r="O8" i="12" s="1"/>
  <c r="D33" i="11"/>
  <c r="I32" i="11"/>
  <c r="H33" i="11" s="1"/>
  <c r="H32" i="11"/>
  <c r="G32" i="11"/>
  <c r="F33" i="11" s="1"/>
  <c r="F32" i="11"/>
  <c r="E32" i="11"/>
  <c r="D32" i="11"/>
  <c r="C32" i="11"/>
  <c r="B32" i="11"/>
  <c r="H31" i="11"/>
  <c r="F31" i="11"/>
  <c r="D31" i="11"/>
  <c r="B31" i="11"/>
  <c r="M30" i="11"/>
  <c r="L31" i="11" s="1"/>
  <c r="L30" i="11"/>
  <c r="H29" i="11"/>
  <c r="F29" i="11"/>
  <c r="D29" i="11"/>
  <c r="B29" i="11"/>
  <c r="M28" i="11"/>
  <c r="L29" i="11" s="1"/>
  <c r="L28" i="11"/>
  <c r="H27" i="11"/>
  <c r="F27" i="11"/>
  <c r="D27" i="11"/>
  <c r="B27" i="11"/>
  <c r="M26" i="11"/>
  <c r="L26" i="11"/>
  <c r="L27" i="11" s="1"/>
  <c r="H25" i="11"/>
  <c r="F25" i="11"/>
  <c r="D25" i="11"/>
  <c r="B25" i="11"/>
  <c r="M24" i="11"/>
  <c r="L25" i="11" s="1"/>
  <c r="L24" i="11"/>
  <c r="H23" i="11"/>
  <c r="F23" i="11"/>
  <c r="D23" i="11"/>
  <c r="B23" i="11"/>
  <c r="M22" i="11"/>
  <c r="L22" i="11"/>
  <c r="L21" i="11"/>
  <c r="H21" i="11"/>
  <c r="F21" i="11"/>
  <c r="D21" i="11"/>
  <c r="B21" i="11"/>
  <c r="M20" i="11"/>
  <c r="L20" i="11"/>
  <c r="H19" i="11"/>
  <c r="F19" i="11"/>
  <c r="D19" i="11"/>
  <c r="B19" i="11"/>
  <c r="M18" i="11"/>
  <c r="L18" i="11"/>
  <c r="H17" i="11"/>
  <c r="F17" i="11"/>
  <c r="D17" i="11"/>
  <c r="B17" i="11"/>
  <c r="M16" i="11"/>
  <c r="L16" i="11"/>
  <c r="L17" i="11" s="1"/>
  <c r="H15" i="11"/>
  <c r="F15" i="11"/>
  <c r="D15" i="11"/>
  <c r="B15" i="11"/>
  <c r="M14" i="11"/>
  <c r="L15" i="11" s="1"/>
  <c r="L14" i="11"/>
  <c r="H13" i="11"/>
  <c r="F13" i="11"/>
  <c r="D13" i="11"/>
  <c r="B13" i="11"/>
  <c r="M12" i="11"/>
  <c r="L13" i="11" s="1"/>
  <c r="L12" i="11"/>
  <c r="H11" i="11"/>
  <c r="F11" i="11"/>
  <c r="D11" i="11"/>
  <c r="B11" i="11"/>
  <c r="M10" i="11"/>
  <c r="L11" i="11" s="1"/>
  <c r="L10" i="11"/>
  <c r="H9" i="11"/>
  <c r="F9" i="11"/>
  <c r="D9" i="11"/>
  <c r="B9" i="11"/>
  <c r="M8" i="11"/>
  <c r="L8" i="11"/>
  <c r="O7" i="10"/>
  <c r="N10" i="9"/>
  <c r="M10" i="9"/>
  <c r="L10" i="9"/>
  <c r="K10" i="9"/>
  <c r="J10" i="9"/>
  <c r="I10" i="9"/>
  <c r="H10" i="9"/>
  <c r="G10" i="9"/>
  <c r="F10" i="9"/>
  <c r="E10" i="9"/>
  <c r="D10" i="9"/>
  <c r="C10" i="9"/>
  <c r="L19" i="11" l="1"/>
  <c r="L9" i="11"/>
  <c r="L23" i="11"/>
  <c r="B33" i="11"/>
  <c r="L32" i="11"/>
  <c r="P10" i="12"/>
  <c r="M32" i="11"/>
  <c r="L33" i="11" s="1"/>
</calcChain>
</file>

<file path=xl/sharedStrings.xml><?xml version="1.0" encoding="utf-8"?>
<sst xmlns="http://schemas.openxmlformats.org/spreadsheetml/2006/main" count="381" uniqueCount="280">
  <si>
    <t>품질경영검토 PROCES</t>
    <phoneticPr fontId="3" type="noConversion"/>
  </si>
  <si>
    <t>각 부서</t>
    <phoneticPr fontId="3" type="noConversion"/>
  </si>
  <si>
    <t>품질부서</t>
    <phoneticPr fontId="3" type="noConversion"/>
  </si>
  <si>
    <t>현장소장</t>
    <phoneticPr fontId="3" type="noConversion"/>
  </si>
  <si>
    <t>20○○년 품질경영검토 보고서</t>
    <phoneticPr fontId="3" type="noConversion"/>
  </si>
  <si>
    <t>: 품질시스템의 적절성, 충족성 및 효과성 실증</t>
    <phoneticPr fontId="3" type="noConversion"/>
  </si>
  <si>
    <t>결
재</t>
    <phoneticPr fontId="3" type="noConversion"/>
  </si>
  <si>
    <t>작성</t>
    <phoneticPr fontId="3" type="noConversion"/>
  </si>
  <si>
    <t>검토</t>
    <phoneticPr fontId="3" type="noConversion"/>
  </si>
  <si>
    <t>홍길동</t>
  </si>
  <si>
    <t>날짜</t>
    <phoneticPr fontId="3" type="noConversion"/>
  </si>
  <si>
    <t>MM/DD</t>
    <phoneticPr fontId="3" type="noConversion"/>
  </si>
  <si>
    <t xml:space="preserve"> /</t>
    <phoneticPr fontId="3" type="noConversion"/>
  </si>
  <si>
    <t>/</t>
    <phoneticPr fontId="3" type="noConversion"/>
  </si>
  <si>
    <t>협
조</t>
    <phoneticPr fontId="3" type="noConversion"/>
  </si>
  <si>
    <t xml:space="preserve"> 공     무 :  홍길동   /</t>
  </si>
  <si>
    <t xml:space="preserve"> 전     기 :  홍길동   /</t>
  </si>
  <si>
    <t xml:space="preserve"> 건     축 :  홍길동   /</t>
    <phoneticPr fontId="3" type="noConversion"/>
  </si>
  <si>
    <t xml:space="preserve"> 토     목 :  홍길동   /</t>
  </si>
  <si>
    <t xml:space="preserve"> 설     비 :  홍길동   /</t>
    <phoneticPr fontId="3" type="noConversion"/>
  </si>
  <si>
    <t xml:space="preserve"> 안     전 :  홍길동   /</t>
  </si>
  <si>
    <t xml:space="preserve"> </t>
    <phoneticPr fontId="3" type="noConversion"/>
  </si>
  <si>
    <t>2022. 00. 00</t>
    <phoneticPr fontId="3" type="noConversion"/>
  </si>
  <si>
    <t>000 신축공사</t>
    <phoneticPr fontId="3" type="noConversion"/>
  </si>
  <si>
    <t>목 차</t>
    <phoneticPr fontId="3" type="noConversion"/>
  </si>
  <si>
    <t>Ⅰ. 현장 품질방침 및 목표</t>
    <phoneticPr fontId="3" type="noConversion"/>
  </si>
  <si>
    <t>Ⅱ. 공사 운영성과 측정지표</t>
    <phoneticPr fontId="3" type="noConversion"/>
  </si>
  <si>
    <t>Ⅲ. 공사 운영성과 검토 항목</t>
    <phoneticPr fontId="3" type="noConversion"/>
  </si>
  <si>
    <t>Ⅳ. 공사 운영성과 이행분석 검토서</t>
    <phoneticPr fontId="3" type="noConversion"/>
  </si>
  <si>
    <t>4.1 사업관리</t>
    <phoneticPr fontId="3" type="noConversion"/>
  </si>
  <si>
    <t xml:space="preserve">  사업목표 달성 (매출 및 목표달성 여부)</t>
    <phoneticPr fontId="3" type="noConversion"/>
  </si>
  <si>
    <t>4.2 내부 프로세스</t>
    <phoneticPr fontId="3" type="noConversion"/>
  </si>
  <si>
    <t>1) 원가관리</t>
    <phoneticPr fontId="3" type="noConversion"/>
  </si>
  <si>
    <t>2) 공정관리</t>
    <phoneticPr fontId="3" type="noConversion"/>
  </si>
  <si>
    <t>3) 품질관리</t>
    <phoneticPr fontId="3" type="noConversion"/>
  </si>
  <si>
    <t>4) 안전관리</t>
    <phoneticPr fontId="3" type="noConversion"/>
  </si>
  <si>
    <t>5) 환경관리</t>
    <phoneticPr fontId="3" type="noConversion"/>
  </si>
  <si>
    <t>6) 설계관리</t>
    <phoneticPr fontId="3" type="noConversion"/>
  </si>
  <si>
    <t>4.3 지식관리</t>
    <phoneticPr fontId="3" type="noConversion"/>
  </si>
  <si>
    <t>3.1 시공계획서 수립 및 발표</t>
    <phoneticPr fontId="3" type="noConversion"/>
  </si>
  <si>
    <t>3.2 교육계획 수립 및 이행</t>
    <phoneticPr fontId="3" type="noConversion"/>
  </si>
  <si>
    <t>첨부</t>
    <phoneticPr fontId="3" type="noConversion"/>
  </si>
  <si>
    <t>1.  ..</t>
    <phoneticPr fontId="3" type="noConversion"/>
  </si>
  <si>
    <t>2. …</t>
    <phoneticPr fontId="3" type="noConversion"/>
  </si>
  <si>
    <t>Ⅰ. 현장 품질방침 및 품질목표</t>
    <phoneticPr fontId="3" type="noConversion"/>
  </si>
  <si>
    <t>NO.</t>
    <phoneticPr fontId="3" type="noConversion"/>
  </si>
  <si>
    <t>품질목표</t>
    <phoneticPr fontId="3" type="noConversion"/>
  </si>
  <si>
    <t>세부목표</t>
    <phoneticPr fontId="3" type="noConversion"/>
  </si>
  <si>
    <t>목표수준</t>
    <phoneticPr fontId="34" type="noConversion"/>
  </si>
  <si>
    <t>○○년 실적</t>
    <phoneticPr fontId="3" type="noConversion"/>
  </si>
  <si>
    <t>부진사유 및 대책방안</t>
    <phoneticPr fontId="3" type="noConversion"/>
  </si>
  <si>
    <t>올  해
목표치</t>
    <phoneticPr fontId="34" type="noConversion"/>
  </si>
  <si>
    <t>현  재
실적치</t>
    <phoneticPr fontId="34" type="noConversion"/>
  </si>
  <si>
    <t>최  종
목표치</t>
    <phoneticPr fontId="34" type="noConversion"/>
  </si>
  <si>
    <t>달성도
(%)</t>
    <phoneticPr fontId="34" type="noConversion"/>
  </si>
  <si>
    <t xml:space="preserve"> ※ 비 고
  1) 달성실적은 주기적으로 작성
  2) 품질목표, 세부 목표 및 목표치는 공정 및 기존 목표의 달성성도에 따라서 변경가능함
  3) 작성된 품질목표 운영현황은 전 직원 회람 및 사무실에 게시하여야 한다.</t>
    <phoneticPr fontId="3" type="noConversion"/>
  </si>
  <si>
    <t>핵심업무</t>
    <phoneticPr fontId="3" type="noConversion"/>
  </si>
  <si>
    <t>검토항목</t>
    <phoneticPr fontId="3" type="noConversion"/>
  </si>
  <si>
    <t>검토부서</t>
    <phoneticPr fontId="3" type="noConversion"/>
  </si>
  <si>
    <t>비고</t>
    <phoneticPr fontId="3" type="noConversion"/>
  </si>
  <si>
    <t>사업관리</t>
    <phoneticPr fontId="3" type="noConversion"/>
  </si>
  <si>
    <t xml:space="preserve"> 1. 매출목표 달성</t>
    <phoneticPr fontId="3" type="noConversion"/>
  </si>
  <si>
    <t>공무</t>
    <phoneticPr fontId="3" type="noConversion"/>
  </si>
  <si>
    <t xml:space="preserve"> 2. 수금목표 달성</t>
    <phoneticPr fontId="3" type="noConversion"/>
  </si>
  <si>
    <t>원가관리</t>
    <phoneticPr fontId="3" type="noConversion"/>
  </si>
  <si>
    <t xml:space="preserve"> 1. 매출원가 시행율 관리</t>
    <phoneticPr fontId="3" type="noConversion"/>
  </si>
  <si>
    <t>공 무</t>
    <phoneticPr fontId="3" type="noConversion"/>
  </si>
  <si>
    <t xml:space="preserve"> 2. 생산성 관리</t>
    <phoneticPr fontId="3" type="noConversion"/>
  </si>
  <si>
    <t xml:space="preserve"> 3. 품질개선활동(우수시공사례)</t>
    <phoneticPr fontId="3" type="noConversion"/>
  </si>
  <si>
    <t>공정관리</t>
    <phoneticPr fontId="3" type="noConversion"/>
  </si>
  <si>
    <t xml:space="preserve"> 1. 공정율 달성</t>
    <phoneticPr fontId="3" type="noConversion"/>
  </si>
  <si>
    <t>품질관리</t>
    <phoneticPr fontId="3" type="noConversion"/>
  </si>
  <si>
    <t xml:space="preserve"> 1. 부적합 및 시정조치</t>
    <phoneticPr fontId="3" type="noConversion"/>
  </si>
  <si>
    <t>품 질</t>
    <phoneticPr fontId="3" type="noConversion"/>
  </si>
  <si>
    <t>NCR, CAR</t>
    <phoneticPr fontId="3" type="noConversion"/>
  </si>
  <si>
    <t xml:space="preserve"> 2. 재검측</t>
    <phoneticPr fontId="3" type="noConversion"/>
  </si>
  <si>
    <t>공 사</t>
    <phoneticPr fontId="3" type="noConversion"/>
  </si>
  <si>
    <t xml:space="preserve"> 3. 내부, 외부 점검결과</t>
    <phoneticPr fontId="3" type="noConversion"/>
  </si>
  <si>
    <t xml:space="preserve"> 4. 품질활동 (성공실패사례)</t>
    <phoneticPr fontId="3" type="noConversion"/>
  </si>
  <si>
    <t xml:space="preserve"> 5. 리스크관리 효과성</t>
    <phoneticPr fontId="3" type="noConversion"/>
  </si>
  <si>
    <t xml:space="preserve"> 6. 고객만족 / 이해관계자의 피드백</t>
    <phoneticPr fontId="3" type="noConversion"/>
  </si>
  <si>
    <t>안전관리</t>
    <phoneticPr fontId="3" type="noConversion"/>
  </si>
  <si>
    <t xml:space="preserve"> 1. 무재해 목표 달성</t>
    <phoneticPr fontId="3" type="noConversion"/>
  </si>
  <si>
    <t>안 전</t>
    <phoneticPr fontId="3" type="noConversion"/>
  </si>
  <si>
    <t>환경관리</t>
    <phoneticPr fontId="3" type="noConversion"/>
  </si>
  <si>
    <t xml:space="preserve"> 1. 현장 환경목표 달성</t>
    <phoneticPr fontId="3" type="noConversion"/>
  </si>
  <si>
    <t>공무/공사</t>
    <phoneticPr fontId="3" type="noConversion"/>
  </si>
  <si>
    <t>설계관리</t>
    <phoneticPr fontId="3" type="noConversion"/>
  </si>
  <si>
    <t xml:space="preserve"> 1. 설계도서 및 시공도 관리</t>
    <phoneticPr fontId="3" type="noConversion"/>
  </si>
  <si>
    <t xml:space="preserve"> 2. 설계도서 변경사항</t>
    <phoneticPr fontId="3" type="noConversion"/>
  </si>
  <si>
    <t>지식관리</t>
    <phoneticPr fontId="3" type="noConversion"/>
  </si>
  <si>
    <t xml:space="preserve"> 1. 시공계획서 수립 및 발표</t>
    <phoneticPr fontId="3" type="noConversion"/>
  </si>
  <si>
    <t xml:space="preserve"> 2. 교육계획 수립 및 이행</t>
    <phoneticPr fontId="3" type="noConversion"/>
  </si>
  <si>
    <t>이전검토</t>
    <phoneticPr fontId="3" type="noConversion"/>
  </si>
  <si>
    <t xml:space="preserve"> 1. 전년도 건설공사 경영검토에 따른 조치상태</t>
    <phoneticPr fontId="3" type="noConversion"/>
  </si>
  <si>
    <t>운영성과 분석 내용</t>
    <phoneticPr fontId="3" type="noConversion"/>
  </si>
  <si>
    <t>사
업
관
리</t>
    <phoneticPr fontId="3" type="noConversion"/>
  </si>
  <si>
    <t>1. 계획대비 매출목표 달성 여부 (12월말현재)</t>
    <phoneticPr fontId="34" type="noConversion"/>
  </si>
  <si>
    <t xml:space="preserve">   1) 계      획 :    23,300백만원</t>
    <phoneticPr fontId="34" type="noConversion"/>
  </si>
  <si>
    <t xml:space="preserve">   2) 실     적 :     16,907백만원   </t>
    <phoneticPr fontId="34" type="noConversion"/>
  </si>
  <si>
    <t xml:space="preserve">   3) 달  성 도 :      72.6%</t>
    <phoneticPr fontId="34" type="noConversion"/>
  </si>
  <si>
    <t xml:space="preserve">   4) 실적 저조 사유 분석</t>
    <phoneticPr fontId="34" type="noConversion"/>
  </si>
  <si>
    <t xml:space="preserve">      ① 토공사 지연 : 전시공사 기 시공된 흙막이벽체 설계도서 상이 보수 및 보강필요</t>
    <phoneticPr fontId="34" type="noConversion"/>
  </si>
  <si>
    <t xml:space="preserve">      ② 골조공사 지연 : 토공 지연에 따른 골조 기초 착수 지연</t>
    <phoneticPr fontId="34" type="noConversion"/>
  </si>
  <si>
    <t xml:space="preserve">   5) 실적 만회 대책</t>
    <phoneticPr fontId="34" type="noConversion"/>
  </si>
  <si>
    <t xml:space="preserve">      ① 토공사 : 흙막이 가시설 관련 보수 및 보강공사 조속히 시행</t>
    <phoneticPr fontId="34" type="noConversion"/>
  </si>
  <si>
    <t xml:space="preserve">      ② 골조공사 만회 : 토목공사 완료부 즉시 투입 및 투입인원 증원</t>
    <phoneticPr fontId="34" type="noConversion"/>
  </si>
  <si>
    <t>2. 계획대비 수금목표 달성 여부 (12월말 현재)</t>
    <phoneticPr fontId="34" type="noConversion"/>
  </si>
  <si>
    <t xml:space="preserve">   1) 계      획 :    19,232백만원</t>
    <phoneticPr fontId="34" type="noConversion"/>
  </si>
  <si>
    <t xml:space="preserve">   2) 실      적 :    17,373백만원(수금 : 14,123백만원)</t>
    <phoneticPr fontId="34" type="noConversion"/>
  </si>
  <si>
    <t xml:space="preserve">   3) 달  성 도 :     90.3%</t>
    <phoneticPr fontId="34" type="noConversion"/>
  </si>
  <si>
    <t xml:space="preserve">   4) 수금 실적 및 2018년도 예상분석</t>
    <phoneticPr fontId="34" type="noConversion"/>
  </si>
  <si>
    <t xml:space="preserve">      ① 실적 : 실시설계 변경에 의한 분양 지연으로 수금 실적 저조</t>
    <phoneticPr fontId="34" type="noConversion"/>
  </si>
  <si>
    <t xml:space="preserve">      ② 2018년도 예상 : 도급변경계약 진행 및 분양사항에 따른 사업계획대비 변동 가능성 예상</t>
    <phoneticPr fontId="34" type="noConversion"/>
  </si>
  <si>
    <t>원
가
관
리</t>
    <phoneticPr fontId="3" type="noConversion"/>
  </si>
  <si>
    <t>1. 계획대비 시행율 달성 여부 (12월말 현재)</t>
    <phoneticPr fontId="34" type="noConversion"/>
  </si>
  <si>
    <t xml:space="preserve">   1) 계      획 :    88.8%</t>
    <phoneticPr fontId="34" type="noConversion"/>
  </si>
  <si>
    <t xml:space="preserve">   2) 실      적 :    95.9%(투입원가16,666백만원÷도급실적17,373백만원)</t>
    <phoneticPr fontId="34" type="noConversion"/>
  </si>
  <si>
    <t xml:space="preserve">   3) 계획대비 시행율 저조 사유</t>
    <phoneticPr fontId="34" type="noConversion"/>
  </si>
  <si>
    <t xml:space="preserve">      ① 최초도급계약 단가(ESC 미적용)에 의한 도급실적으로 시행율 저조 현상 발생</t>
    <phoneticPr fontId="34" type="noConversion"/>
  </si>
  <si>
    <t>공
정
관
리</t>
    <phoneticPr fontId="3" type="noConversion"/>
  </si>
  <si>
    <t>12월 말 계획 공정율 : 14.61 %</t>
    <phoneticPr fontId="3" type="noConversion"/>
  </si>
  <si>
    <r>
      <t xml:space="preserve">12월 말 수행 공정율 : 13.20 %             </t>
    </r>
    <r>
      <rPr>
        <b/>
        <sz val="10"/>
        <color rgb="FF000099"/>
        <rFont val="맑은 고딕"/>
        <family val="3"/>
        <charset val="129"/>
        <scheme val="minor"/>
      </rPr>
      <t xml:space="preserve"> 90.35 % 달성</t>
    </r>
    <phoneticPr fontId="3" type="noConversion"/>
  </si>
  <si>
    <t>품
질
관
리</t>
    <phoneticPr fontId="3" type="noConversion"/>
  </si>
  <si>
    <t xml:space="preserve">   2) 재검측횟수 : 0건</t>
    <phoneticPr fontId="34" type="noConversion"/>
  </si>
  <si>
    <t xml:space="preserve">   3) 재검측률    : 0%</t>
    <phoneticPr fontId="34" type="noConversion"/>
  </si>
  <si>
    <t>6. 고객만족 / 이해관계자의 피드백</t>
    <phoneticPr fontId="3" type="noConversion"/>
  </si>
  <si>
    <t>안
전
관
리</t>
    <phoneticPr fontId="3" type="noConversion"/>
  </si>
  <si>
    <t>1. 무재해 목표달성</t>
    <phoneticPr fontId="3" type="noConversion"/>
  </si>
  <si>
    <t xml:space="preserve">   2018년 말 무재해 목표 시간 : 100,000시간</t>
    <phoneticPr fontId="34" type="noConversion"/>
  </si>
  <si>
    <t xml:space="preserve">   12월말 : 199,0200시간</t>
    <phoneticPr fontId="34" type="noConversion"/>
  </si>
  <si>
    <t>환
경
관
리</t>
    <phoneticPr fontId="3" type="noConversion"/>
  </si>
  <si>
    <t>설
계
관
리</t>
    <phoneticPr fontId="3" type="noConversion"/>
  </si>
  <si>
    <t>1. 설계도서 및 시공상세도 검토(전체)</t>
    <phoneticPr fontId="3" type="noConversion"/>
  </si>
  <si>
    <t>구분</t>
    <phoneticPr fontId="3" type="noConversion"/>
  </si>
  <si>
    <t>설계검토(전체)</t>
    <phoneticPr fontId="3" type="noConversion"/>
  </si>
  <si>
    <t>검토완료(승인)</t>
    <phoneticPr fontId="3" type="noConversion"/>
  </si>
  <si>
    <t>진행사항(작성)</t>
    <phoneticPr fontId="3" type="noConversion"/>
  </si>
  <si>
    <t>미결사항(검토)</t>
    <phoneticPr fontId="3" type="noConversion"/>
  </si>
  <si>
    <t>검토건수</t>
    <phoneticPr fontId="3" type="noConversion"/>
  </si>
  <si>
    <t>2. 설계 변경사항</t>
    <phoneticPr fontId="3" type="noConversion"/>
  </si>
  <si>
    <t>지
식
관
리</t>
    <phoneticPr fontId="3" type="noConversion"/>
  </si>
  <si>
    <t>1. 시공계획서 수립 및 발표</t>
    <phoneticPr fontId="3" type="noConversion"/>
  </si>
  <si>
    <t xml:space="preserve">   2018년 계획 : 6건</t>
    <phoneticPr fontId="3" type="noConversion"/>
  </si>
  <si>
    <r>
      <t xml:space="preserve">   2018년 실적 : 4건                   </t>
    </r>
    <r>
      <rPr>
        <b/>
        <sz val="10"/>
        <color theme="1"/>
        <rFont val="맑은 고딕"/>
        <family val="3"/>
        <charset val="129"/>
        <scheme val="minor"/>
      </rPr>
      <t>83.33 % 달성</t>
    </r>
    <phoneticPr fontId="3" type="noConversion"/>
  </si>
  <si>
    <t>2. 교육계획수립 및 이행</t>
    <phoneticPr fontId="34" type="noConversion"/>
  </si>
  <si>
    <t xml:space="preserve">   2018년도 계획 : 18건</t>
    <phoneticPr fontId="34" type="noConversion"/>
  </si>
  <si>
    <t xml:space="preserve">   2018년도 실적 : 12건 </t>
    <phoneticPr fontId="34" type="noConversion"/>
  </si>
  <si>
    <t xml:space="preserve">   ＊토목 보강공사 연장 진행으로 본 공사 지연 불가피, 교육계획 목표 달성하지 못함</t>
    <phoneticPr fontId="34" type="noConversion"/>
  </si>
  <si>
    <t>이
전
검
토</t>
    <phoneticPr fontId="3" type="noConversion"/>
  </si>
  <si>
    <t>1. 전년도 건설공사 경영검토에 따른 조치상태 (해당되는 경우)</t>
    <phoneticPr fontId="3" type="noConversion"/>
  </si>
  <si>
    <t>4.1 사업관리 (연간 매출 및 수금계획 달성도)</t>
    <phoneticPr fontId="3" type="noConversion"/>
  </si>
  <si>
    <t>구      분</t>
  </si>
  <si>
    <t>준공추정</t>
    <phoneticPr fontId="3" type="noConversion"/>
  </si>
  <si>
    <t>계  획</t>
  </si>
  <si>
    <t>비 고</t>
  </si>
  <si>
    <t xml:space="preserve"> 2017년</t>
    <phoneticPr fontId="3" type="noConversion"/>
  </si>
  <si>
    <t>2018년</t>
    <phoneticPr fontId="3" type="noConversion"/>
  </si>
  <si>
    <t>소 계</t>
  </si>
  <si>
    <t>2019년</t>
    <phoneticPr fontId="3" type="noConversion"/>
  </si>
  <si>
    <t>1~9월</t>
  </si>
  <si>
    <t>10월</t>
  </si>
  <si>
    <t>11월</t>
  </si>
  <si>
    <t>12월</t>
  </si>
  <si>
    <t>이    후</t>
  </si>
  <si>
    <t xml:space="preserve"> 수      주 </t>
  </si>
  <si>
    <t>-</t>
  </si>
  <si>
    <t xml:space="preserve"> 매      출 </t>
  </si>
  <si>
    <t xml:space="preserve"> 수      금 </t>
  </si>
  <si>
    <t xml:space="preserve"> 원      가 </t>
  </si>
  <si>
    <t xml:space="preserve"> 매출이익 </t>
  </si>
  <si>
    <t xml:space="preserve">원 가 율 </t>
    <phoneticPr fontId="3" type="noConversion"/>
  </si>
  <si>
    <t>-　</t>
  </si>
  <si>
    <t>자금수지</t>
    <phoneticPr fontId="3" type="noConversion"/>
  </si>
  <si>
    <t>당년/월</t>
  </si>
  <si>
    <t>△ 289</t>
  </si>
  <si>
    <t>▼ 23</t>
  </si>
  <si>
    <t>▼ 37</t>
    <phoneticPr fontId="3" type="noConversion"/>
  </si>
  <si>
    <t>△ 229</t>
  </si>
  <si>
    <t>▼ 169</t>
  </si>
  <si>
    <t>△ 542</t>
  </si>
  <si>
    <t>누    계</t>
  </si>
  <si>
    <t>△ 266</t>
  </si>
  <si>
    <t>△ 60</t>
  </si>
  <si>
    <t>△ 602</t>
  </si>
  <si>
    <t xml:space="preserve">공정율 </t>
    <phoneticPr fontId="3" type="noConversion"/>
  </si>
  <si>
    <t>당년/월　</t>
  </si>
  <si>
    <t>누    계　</t>
  </si>
  <si>
    <t>특기사항</t>
    <phoneticPr fontId="3" type="noConversion"/>
  </si>
  <si>
    <t>4.2 내부 프로세스 _ 2) 공정관리(공정율)</t>
    <phoneticPr fontId="3" type="noConversion"/>
  </si>
  <si>
    <t>년도</t>
    <phoneticPr fontId="34" type="noConversion"/>
  </si>
  <si>
    <t>2018년</t>
    <phoneticPr fontId="34" type="noConversion"/>
  </si>
  <si>
    <t>월</t>
    <phoneticPr fontId="34" type="noConversion"/>
  </si>
  <si>
    <t>1월</t>
    <phoneticPr fontId="34" type="noConversion"/>
  </si>
  <si>
    <t>2월</t>
    <phoneticPr fontId="34" type="noConversion"/>
  </si>
  <si>
    <t>3월</t>
    <phoneticPr fontId="34" type="noConversion"/>
  </si>
  <si>
    <t>4월</t>
    <phoneticPr fontId="34" type="noConversion"/>
  </si>
  <si>
    <t>5월</t>
    <phoneticPr fontId="34" type="noConversion"/>
  </si>
  <si>
    <t>6월</t>
    <phoneticPr fontId="34" type="noConversion"/>
  </si>
  <si>
    <t>7월</t>
    <phoneticPr fontId="34" type="noConversion"/>
  </si>
  <si>
    <t>8월</t>
    <phoneticPr fontId="34" type="noConversion"/>
  </si>
  <si>
    <t>9월</t>
    <phoneticPr fontId="34" type="noConversion"/>
  </si>
  <si>
    <t>10월</t>
    <phoneticPr fontId="34" type="noConversion"/>
  </si>
  <si>
    <t>11월</t>
    <phoneticPr fontId="34" type="noConversion"/>
  </si>
  <si>
    <t>12월</t>
    <phoneticPr fontId="34" type="noConversion"/>
  </si>
  <si>
    <t>계  획</t>
    <phoneticPr fontId="34" type="noConversion"/>
  </si>
  <si>
    <t>수  행</t>
    <phoneticPr fontId="34" type="noConversion"/>
  </si>
  <si>
    <t>실행율</t>
    <phoneticPr fontId="34" type="noConversion"/>
  </si>
  <si>
    <t>4.2 내부 프로세스 _ 3) 품질관리(재검사율)</t>
    <phoneticPr fontId="3" type="noConversion"/>
  </si>
  <si>
    <t>2월</t>
  </si>
  <si>
    <t>3월</t>
  </si>
  <si>
    <t>4월</t>
  </si>
  <si>
    <t>5월</t>
  </si>
  <si>
    <t>6월</t>
  </si>
  <si>
    <t>합계</t>
    <phoneticPr fontId="34" type="noConversion"/>
  </si>
  <si>
    <t>재검측율</t>
    <phoneticPr fontId="34" type="noConversion"/>
  </si>
  <si>
    <t xml:space="preserve">            파트명
  월</t>
    <phoneticPr fontId="34" type="noConversion"/>
  </si>
  <si>
    <t>건  축</t>
    <phoneticPr fontId="34" type="noConversion"/>
  </si>
  <si>
    <t>토  목</t>
    <phoneticPr fontId="34" type="noConversion"/>
  </si>
  <si>
    <t>전  기</t>
    <phoneticPr fontId="34" type="noConversion"/>
  </si>
  <si>
    <t>설  비</t>
    <phoneticPr fontId="34" type="noConversion"/>
  </si>
  <si>
    <t>합  계</t>
    <phoneticPr fontId="34" type="noConversion"/>
  </si>
  <si>
    <t>검측회수</t>
    <phoneticPr fontId="34" type="noConversion"/>
  </si>
  <si>
    <t>재검측회수</t>
    <phoneticPr fontId="34" type="noConversion"/>
  </si>
  <si>
    <t>7월</t>
  </si>
  <si>
    <t>8월</t>
  </si>
  <si>
    <t>9월</t>
  </si>
  <si>
    <t>합     계</t>
    <phoneticPr fontId="34" type="noConversion"/>
  </si>
  <si>
    <t>4.2 내부 프로세스 _ 3) 품질관리(부적합 및 시정조치 현황)</t>
    <phoneticPr fontId="3" type="noConversion"/>
  </si>
  <si>
    <t>2006년</t>
    <phoneticPr fontId="34" type="noConversion"/>
  </si>
  <si>
    <t>월평균</t>
    <phoneticPr fontId="34" type="noConversion"/>
  </si>
  <si>
    <t>계</t>
    <phoneticPr fontId="34" type="noConversion"/>
  </si>
  <si>
    <t>NCR 발행건수</t>
    <phoneticPr fontId="34" type="noConversion"/>
  </si>
  <si>
    <t>CAR/PAR 발행건수</t>
    <phoneticPr fontId="34" type="noConversion"/>
  </si>
  <si>
    <t>합   계</t>
    <phoneticPr fontId="34" type="noConversion"/>
  </si>
  <si>
    <t>4.2 내부 프로세스 _ 4) 안전관리</t>
    <phoneticPr fontId="3" type="noConversion"/>
  </si>
  <si>
    <t>구분</t>
    <phoneticPr fontId="34" type="noConversion"/>
  </si>
  <si>
    <t>비고</t>
    <phoneticPr fontId="34" type="noConversion"/>
  </si>
  <si>
    <t>무재해
시   간</t>
    <phoneticPr fontId="34" type="noConversion"/>
  </si>
  <si>
    <t>누계</t>
    <phoneticPr fontId="34" type="noConversion"/>
  </si>
  <si>
    <t>4.2 내부 프로세스 _ 5) 환경관리</t>
    <phoneticPr fontId="3" type="noConversion"/>
  </si>
  <si>
    <t>4.2 내부 프로세스 _ 6) 설계관리</t>
    <phoneticPr fontId="3" type="noConversion"/>
  </si>
  <si>
    <t>4.3 지식관리_ 1) 시공계획서 수립 및 발표실적</t>
    <phoneticPr fontId="3" type="noConversion"/>
  </si>
  <si>
    <t>번호</t>
    <phoneticPr fontId="34" type="noConversion"/>
  </si>
  <si>
    <t>계획서명</t>
    <phoneticPr fontId="34" type="noConversion"/>
  </si>
  <si>
    <t>주관</t>
    <phoneticPr fontId="34" type="noConversion"/>
  </si>
  <si>
    <t>발표자</t>
    <phoneticPr fontId="34" type="noConversion"/>
  </si>
  <si>
    <t>참석대상</t>
    <phoneticPr fontId="34" type="noConversion"/>
  </si>
  <si>
    <t>발표일자</t>
    <phoneticPr fontId="34" type="noConversion"/>
  </si>
  <si>
    <t>비교</t>
    <phoneticPr fontId="3" type="noConversion"/>
  </si>
  <si>
    <t>철근콘크리트 시공계획서</t>
    <phoneticPr fontId="34" type="noConversion"/>
  </si>
  <si>
    <t>건 축</t>
    <phoneticPr fontId="34" type="noConversion"/>
  </si>
  <si>
    <t>협력업체 현장소장</t>
    <phoneticPr fontId="34" type="noConversion"/>
  </si>
  <si>
    <t>현장 전직원</t>
    <phoneticPr fontId="34" type="noConversion"/>
  </si>
  <si>
    <t>2018.04.20</t>
    <phoneticPr fontId="34" type="noConversion"/>
  </si>
  <si>
    <t>협력업체 포함</t>
    <phoneticPr fontId="3" type="noConversion"/>
  </si>
  <si>
    <t>4) 지식관리_ 교육훈련 수립 및 실시현황</t>
    <phoneticPr fontId="3" type="noConversion"/>
  </si>
  <si>
    <t>교육(세미나) 명</t>
    <phoneticPr fontId="34" type="noConversion"/>
  </si>
  <si>
    <t>내용</t>
    <phoneticPr fontId="34" type="noConversion"/>
  </si>
  <si>
    <t>참석자</t>
    <phoneticPr fontId="34" type="noConversion"/>
  </si>
  <si>
    <t>교육일자</t>
    <phoneticPr fontId="34" type="noConversion"/>
  </si>
  <si>
    <t>5. 파악된 리스크관리 효과성</t>
    <phoneticPr fontId="3" type="noConversion"/>
  </si>
  <si>
    <t>재시험회수</t>
    <phoneticPr fontId="34" type="noConversion"/>
  </si>
  <si>
    <t>시험회수</t>
    <phoneticPr fontId="34" type="noConversion"/>
  </si>
  <si>
    <t>품  질</t>
    <phoneticPr fontId="34" type="noConversion"/>
  </si>
  <si>
    <r>
      <t>3. 건설공사 수행에 영향을 줄수 있는 내</t>
    </r>
    <r>
      <rPr>
        <b/>
        <sz val="10"/>
        <color theme="1"/>
        <rFont val="맑은 고딕"/>
        <family val="3"/>
        <charset val="129"/>
      </rPr>
      <t>·</t>
    </r>
    <r>
      <rPr>
        <b/>
        <sz val="8.5"/>
        <color theme="1"/>
        <rFont val="맑은 고딕"/>
        <family val="3"/>
        <charset val="129"/>
      </rPr>
      <t>외부 이슈사항</t>
    </r>
    <phoneticPr fontId="3" type="noConversion"/>
  </si>
  <si>
    <t>4. 고객만족 / 이해관계자의 피드백</t>
    <phoneticPr fontId="3" type="noConversion"/>
  </si>
  <si>
    <t>자원(인력, 장비)의 충족여부</t>
    <phoneticPr fontId="3" type="noConversion"/>
  </si>
  <si>
    <t>2. 품질개선활동(우수시공사례)</t>
    <phoneticPr fontId="3" type="noConversion"/>
  </si>
  <si>
    <t>2. 부적합 및 시정조치</t>
    <phoneticPr fontId="3" type="noConversion"/>
  </si>
  <si>
    <t>1. 품질 목표달성</t>
    <phoneticPr fontId="3" type="noConversion"/>
  </si>
  <si>
    <t>4. 내부, 외부 점검결과</t>
    <phoneticPr fontId="3" type="noConversion"/>
  </si>
  <si>
    <t>5. 품질활동 (성공실패사례)</t>
    <phoneticPr fontId="3" type="noConversion"/>
  </si>
  <si>
    <t xml:space="preserve">   1) 국토부 점검</t>
    <phoneticPr fontId="3" type="noConversion"/>
  </si>
  <si>
    <t xml:space="preserve">      권고: 1건</t>
    <phoneticPr fontId="3" type="noConversion"/>
  </si>
  <si>
    <t>3. 품질관리 검사현황</t>
    <phoneticPr fontId="3" type="noConversion"/>
  </si>
  <si>
    <t xml:space="preserve">   1) 총검측횟수 : 건축 00건, 토목 00건, 전기 00건, 설비 00건, 시험 00건 =&gt;총000건</t>
    <phoneticPr fontId="34" type="noConversion"/>
  </si>
  <si>
    <t>4.2 내부 프로세스 _ 3) 품질검측현황(검측포함)</t>
    <phoneticPr fontId="3" type="noConversion"/>
  </si>
  <si>
    <t>총
평</t>
    <phoneticPr fontId="3" type="noConversion"/>
  </si>
  <si>
    <t>1. 검토결과에 따른 시정사항 및 후속조치 결과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</si>
</sst>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0.0_ "/>
    <numFmt numFmtId="178" formatCode="#,##0_ "/>
  </numFmts>
  <fonts count="5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theme="1" tint="0.499984740745262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10"/>
      <color rgb="FF000099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8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8.5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8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/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rgb="FFA6A6A6"/>
      </right>
      <top style="thin">
        <color rgb="FF7F7F7F"/>
      </top>
      <bottom/>
      <diagonal/>
    </border>
    <border>
      <left style="medium">
        <color rgb="FFA6A6A6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A6A6A6"/>
      </right>
      <top/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 style="thin">
        <color rgb="FF7F7F7F"/>
      </bottom>
      <diagonal/>
    </border>
    <border>
      <left style="medium">
        <color rgb="FFFF0000"/>
      </left>
      <right style="medium">
        <color rgb="FFFF0000"/>
      </right>
      <top style="thin">
        <color rgb="FF7F7F7F"/>
      </top>
      <bottom style="medium">
        <color rgb="FFFF0000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</cellStyleXfs>
  <cellXfs count="32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>
      <alignment vertical="center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2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41" fontId="0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3" fillId="0" borderId="0" xfId="0" applyFont="1">
      <alignment vertical="center"/>
    </xf>
    <xf numFmtId="0" fontId="24" fillId="0" borderId="0" xfId="0" applyFont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5" fillId="0" borderId="0" xfId="0" applyFont="1">
      <alignment vertical="center"/>
    </xf>
    <xf numFmtId="0" fontId="26" fillId="0" borderId="0" xfId="0" applyFont="1" applyProtection="1">
      <alignment vertical="center"/>
      <protection locked="0"/>
    </xf>
    <xf numFmtId="0" fontId="27" fillId="0" borderId="0" xfId="0" applyFont="1">
      <alignment vertical="center"/>
    </xf>
    <xf numFmtId="0" fontId="27" fillId="0" borderId="0" xfId="0" applyFont="1" applyProtection="1">
      <alignment vertical="center"/>
      <protection locked="0"/>
    </xf>
    <xf numFmtId="0" fontId="28" fillId="0" borderId="0" xfId="0" applyFont="1">
      <alignment vertical="center"/>
    </xf>
    <xf numFmtId="0" fontId="26" fillId="0" borderId="0" xfId="0" applyFont="1" applyAlignment="1" applyProtection="1">
      <alignment vertical="top"/>
      <protection locked="0"/>
    </xf>
    <xf numFmtId="0" fontId="29" fillId="0" borderId="0" xfId="0" applyFont="1" applyBorder="1">
      <alignment vertical="center"/>
    </xf>
    <xf numFmtId="0" fontId="28" fillId="0" borderId="0" xfId="0" applyFont="1" applyProtection="1">
      <alignment vertical="center"/>
      <protection locked="0"/>
    </xf>
    <xf numFmtId="0" fontId="25" fillId="0" borderId="0" xfId="0" applyFont="1" applyBorder="1">
      <alignment vertical="center"/>
    </xf>
    <xf numFmtId="0" fontId="0" fillId="0" borderId="0" xfId="0" applyBorder="1">
      <alignment vertical="center"/>
    </xf>
    <xf numFmtId="0" fontId="30" fillId="0" borderId="0" xfId="0" applyFont="1" applyBorder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6" fillId="0" borderId="0" xfId="0" applyFont="1">
      <alignment vertical="center"/>
    </xf>
    <xf numFmtId="49" fontId="33" fillId="3" borderId="28" xfId="4" applyNumberFormat="1" applyFont="1" applyFill="1" applyBorder="1" applyAlignment="1">
      <alignment horizontal="center" vertical="center" wrapText="1" shrinkToFit="1"/>
    </xf>
    <xf numFmtId="49" fontId="33" fillId="3" borderId="26" xfId="4" applyNumberFormat="1" applyFont="1" applyFill="1" applyBorder="1" applyAlignment="1">
      <alignment horizontal="center" vertical="center" wrapText="1" shrinkToFit="1"/>
    </xf>
    <xf numFmtId="49" fontId="33" fillId="3" borderId="29" xfId="4" applyNumberFormat="1" applyFont="1" applyFill="1" applyBorder="1" applyAlignment="1">
      <alignment horizontal="center" vertical="center" wrapText="1" shrinkToFit="1"/>
    </xf>
    <xf numFmtId="0" fontId="33" fillId="0" borderId="30" xfId="4" applyFont="1" applyFill="1" applyBorder="1" applyAlignment="1">
      <alignment horizontal="center" vertical="center"/>
    </xf>
    <xf numFmtId="9" fontId="35" fillId="0" borderId="32" xfId="4" applyNumberFormat="1" applyFont="1" applyFill="1" applyBorder="1" applyAlignment="1">
      <alignment horizontal="center" vertical="center"/>
    </xf>
    <xf numFmtId="9" fontId="35" fillId="0" borderId="30" xfId="4" applyNumberFormat="1" applyFont="1" applyFill="1" applyBorder="1" applyAlignment="1">
      <alignment horizontal="center" vertical="center"/>
    </xf>
    <xf numFmtId="9" fontId="36" fillId="0" borderId="33" xfId="4" applyNumberFormat="1" applyFont="1" applyFill="1" applyBorder="1" applyAlignment="1">
      <alignment horizontal="center" vertical="center" wrapText="1"/>
    </xf>
    <xf numFmtId="0" fontId="33" fillId="0" borderId="20" xfId="4" applyFont="1" applyFill="1" applyBorder="1" applyAlignment="1">
      <alignment horizontal="center" vertical="center"/>
    </xf>
    <xf numFmtId="9" fontId="35" fillId="0" borderId="25" xfId="4" applyNumberFormat="1" applyFont="1" applyFill="1" applyBorder="1" applyAlignment="1">
      <alignment horizontal="center" vertical="center"/>
    </xf>
    <xf numFmtId="9" fontId="35" fillId="0" borderId="20" xfId="4" applyNumberFormat="1" applyFont="1" applyFill="1" applyBorder="1" applyAlignment="1">
      <alignment horizontal="center" vertical="center"/>
    </xf>
    <xf numFmtId="9" fontId="36" fillId="0" borderId="34" xfId="4" applyNumberFormat="1" applyFont="1" applyFill="1" applyBorder="1" applyAlignment="1">
      <alignment horizontal="center" vertical="center" wrapText="1"/>
    </xf>
    <xf numFmtId="0" fontId="33" fillId="0" borderId="20" xfId="4" applyFont="1" applyFill="1" applyBorder="1" applyAlignment="1">
      <alignment horizontal="center" vertical="center" wrapText="1"/>
    </xf>
    <xf numFmtId="9" fontId="33" fillId="4" borderId="25" xfId="4" applyNumberFormat="1" applyFont="1" applyFill="1" applyBorder="1" applyAlignment="1">
      <alignment vertical="center" shrinkToFit="1"/>
    </xf>
    <xf numFmtId="9" fontId="33" fillId="4" borderId="20" xfId="4" applyNumberFormat="1" applyFont="1" applyFill="1" applyBorder="1" applyAlignment="1">
      <alignment vertical="center" shrinkToFit="1"/>
    </xf>
    <xf numFmtId="0" fontId="37" fillId="4" borderId="34" xfId="4" applyFont="1" applyFill="1" applyBorder="1" applyAlignment="1">
      <alignment vertical="center" shrinkToFit="1"/>
    </xf>
    <xf numFmtId="9" fontId="33" fillId="4" borderId="35" xfId="4" applyNumberFormat="1" applyFont="1" applyFill="1" applyBorder="1" applyAlignment="1">
      <alignment vertical="center" shrinkToFit="1"/>
    </xf>
    <xf numFmtId="9" fontId="33" fillId="4" borderId="36" xfId="4" applyNumberFormat="1" applyFont="1" applyFill="1" applyBorder="1" applyAlignment="1">
      <alignment vertical="center" shrinkToFit="1"/>
    </xf>
    <xf numFmtId="0" fontId="37" fillId="4" borderId="37" xfId="4" applyFont="1" applyFill="1" applyBorder="1" applyAlignment="1">
      <alignment vertical="center" shrinkToFit="1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6" fillId="0" borderId="5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39" fillId="0" borderId="0" xfId="2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0" fontId="0" fillId="0" borderId="57" xfId="0" applyBorder="1">
      <alignment vertical="center"/>
    </xf>
    <xf numFmtId="0" fontId="33" fillId="0" borderId="0" xfId="2" applyNumberFormat="1" applyFont="1" applyFill="1" applyBorder="1" applyAlignment="1">
      <alignment vertical="center"/>
    </xf>
    <xf numFmtId="0" fontId="5" fillId="0" borderId="0" xfId="0" applyFont="1" applyBorder="1">
      <alignment vertical="center"/>
    </xf>
    <xf numFmtId="0" fontId="33" fillId="0" borderId="0" xfId="0" applyNumberFormat="1" applyFont="1" applyFill="1" applyBorder="1" applyAlignment="1">
      <alignment vertical="center"/>
    </xf>
    <xf numFmtId="0" fontId="30" fillId="0" borderId="0" xfId="0" applyNumberFormat="1" applyFont="1" applyBorder="1">
      <alignment vertical="center"/>
    </xf>
    <xf numFmtId="0" fontId="39" fillId="0" borderId="0" xfId="2" applyNumberFormat="1" applyFont="1" applyFill="1" applyBorder="1" applyAlignment="1">
      <alignment horizontal="left" vertical="center"/>
    </xf>
    <xf numFmtId="0" fontId="33" fillId="0" borderId="0" xfId="2" applyNumberFormat="1" applyFont="1" applyFill="1" applyBorder="1" applyAlignment="1">
      <alignment horizontal="left" vertical="center"/>
    </xf>
    <xf numFmtId="0" fontId="33" fillId="0" borderId="0" xfId="2" quotePrefix="1" applyNumberFormat="1" applyFont="1" applyFill="1" applyBorder="1" applyAlignment="1">
      <alignment horizontal="left" vertical="center"/>
    </xf>
    <xf numFmtId="0" fontId="6" fillId="0" borderId="54" xfId="0" applyFont="1" applyBorder="1">
      <alignment vertical="center"/>
    </xf>
    <xf numFmtId="0" fontId="33" fillId="0" borderId="54" xfId="2" applyNumberFormat="1" applyFont="1" applyFill="1" applyBorder="1" applyAlignment="1">
      <alignment horizontal="left" vertical="center"/>
    </xf>
    <xf numFmtId="0" fontId="6" fillId="0" borderId="54" xfId="0" applyNumberFormat="1" applyFont="1" applyBorder="1">
      <alignment vertical="center"/>
    </xf>
    <xf numFmtId="0" fontId="40" fillId="0" borderId="54" xfId="0" applyNumberFormat="1" applyFont="1" applyBorder="1">
      <alignment vertical="center"/>
    </xf>
    <xf numFmtId="0" fontId="40" fillId="0" borderId="54" xfId="0" applyFont="1" applyBorder="1">
      <alignment vertical="center"/>
    </xf>
    <xf numFmtId="0" fontId="6" fillId="0" borderId="55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NumberFormat="1" applyFont="1" applyBorder="1">
      <alignment vertical="center"/>
    </xf>
    <xf numFmtId="0" fontId="40" fillId="0" borderId="0" xfId="0" applyNumberFormat="1" applyFont="1" applyBorder="1">
      <alignment vertical="center"/>
    </xf>
    <xf numFmtId="0" fontId="40" fillId="0" borderId="0" xfId="0" applyFont="1" applyBorder="1">
      <alignment vertical="center"/>
    </xf>
    <xf numFmtId="0" fontId="6" fillId="0" borderId="57" xfId="0" applyFont="1" applyBorder="1">
      <alignment vertical="center"/>
    </xf>
    <xf numFmtId="0" fontId="17" fillId="0" borderId="0" xfId="0" applyNumberFormat="1" applyFont="1" applyBorder="1">
      <alignment vertical="center"/>
    </xf>
    <xf numFmtId="0" fontId="6" fillId="0" borderId="38" xfId="0" applyFont="1" applyBorder="1">
      <alignment vertical="center"/>
    </xf>
    <xf numFmtId="0" fontId="6" fillId="0" borderId="38" xfId="0" applyNumberFormat="1" applyFont="1" applyBorder="1">
      <alignment vertical="center"/>
    </xf>
    <xf numFmtId="0" fontId="6" fillId="0" borderId="58" xfId="0" applyFont="1" applyBorder="1">
      <alignment vertical="center"/>
    </xf>
    <xf numFmtId="0" fontId="33" fillId="0" borderId="0" xfId="2" applyNumberFormat="1" applyFont="1" applyBorder="1" applyAlignment="1">
      <alignment vertical="center"/>
    </xf>
    <xf numFmtId="0" fontId="33" fillId="0" borderId="0" xfId="2" applyNumberFormat="1" applyFont="1" applyBorder="1" applyAlignment="1">
      <alignment horizontal="left" vertical="center"/>
    </xf>
    <xf numFmtId="0" fontId="33" fillId="0" borderId="0" xfId="0" applyNumberFormat="1" applyFont="1" applyBorder="1" applyAlignment="1">
      <alignment vertical="center"/>
    </xf>
    <xf numFmtId="0" fontId="42" fillId="0" borderId="0" xfId="2" applyNumberFormat="1" applyFont="1" applyBorder="1" applyAlignment="1">
      <alignment horizontal="left" vertical="center"/>
    </xf>
    <xf numFmtId="0" fontId="33" fillId="0" borderId="38" xfId="2" applyNumberFormat="1" applyFont="1" applyBorder="1" applyAlignme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5" borderId="59" xfId="0" applyFont="1" applyFill="1" applyBorder="1" applyAlignment="1">
      <alignment horizontal="center" vertical="center" wrapText="1" readingOrder="1"/>
    </xf>
    <xf numFmtId="0" fontId="45" fillId="5" borderId="60" xfId="0" applyFont="1" applyFill="1" applyBorder="1" applyAlignment="1">
      <alignment horizontal="center" vertical="center" wrapText="1" readingOrder="1"/>
    </xf>
    <xf numFmtId="0" fontId="45" fillId="5" borderId="1" xfId="0" applyFont="1" applyFill="1" applyBorder="1" applyAlignment="1">
      <alignment horizontal="center" vertical="center" wrapText="1" readingOrder="1"/>
    </xf>
    <xf numFmtId="0" fontId="45" fillId="5" borderId="61" xfId="0" applyFont="1" applyFill="1" applyBorder="1" applyAlignment="1">
      <alignment horizontal="center" vertical="center" wrapText="1" readingOrder="1"/>
    </xf>
    <xf numFmtId="0" fontId="45" fillId="5" borderId="70" xfId="0" applyFont="1" applyFill="1" applyBorder="1" applyAlignment="1">
      <alignment horizontal="center" vertical="center" wrapText="1" readingOrder="1"/>
    </xf>
    <xf numFmtId="0" fontId="45" fillId="5" borderId="68" xfId="0" applyFont="1" applyFill="1" applyBorder="1" applyAlignment="1">
      <alignment horizontal="center" vertical="center" wrapText="1" readingOrder="1"/>
    </xf>
    <xf numFmtId="0" fontId="45" fillId="0" borderId="1" xfId="0" applyFont="1" applyBorder="1" applyAlignment="1">
      <alignment horizontal="center" vertical="center" wrapText="1" readingOrder="1"/>
    </xf>
    <xf numFmtId="3" fontId="45" fillId="0" borderId="1" xfId="0" applyNumberFormat="1" applyFont="1" applyBorder="1" applyAlignment="1">
      <alignment horizontal="center" vertical="center" wrapText="1" readingOrder="1"/>
    </xf>
    <xf numFmtId="3" fontId="45" fillId="0" borderId="60" xfId="0" applyNumberFormat="1" applyFont="1" applyBorder="1" applyAlignment="1">
      <alignment horizontal="center" vertical="center" wrapText="1" readingOrder="1"/>
    </xf>
    <xf numFmtId="0" fontId="45" fillId="0" borderId="61" xfId="0" applyFont="1" applyBorder="1" applyAlignment="1">
      <alignment horizontal="center" vertical="center" wrapText="1" readingOrder="1"/>
    </xf>
    <xf numFmtId="0" fontId="45" fillId="0" borderId="72" xfId="0" applyFont="1" applyBorder="1" applyAlignment="1">
      <alignment horizontal="center" vertical="center" wrapText="1" readingOrder="1"/>
    </xf>
    <xf numFmtId="3" fontId="45" fillId="6" borderId="62" xfId="0" applyNumberFormat="1" applyFont="1" applyFill="1" applyBorder="1" applyAlignment="1">
      <alignment horizontal="center" vertical="center" wrapText="1" readingOrder="1"/>
    </xf>
    <xf numFmtId="0" fontId="45" fillId="0" borderId="1" xfId="0" applyFont="1" applyBorder="1" applyAlignment="1">
      <alignment horizontal="left" vertical="center" wrapText="1" readingOrder="1"/>
    </xf>
    <xf numFmtId="0" fontId="45" fillId="0" borderId="60" xfId="0" applyFont="1" applyBorder="1" applyAlignment="1">
      <alignment horizontal="center" vertical="center" wrapText="1" readingOrder="1"/>
    </xf>
    <xf numFmtId="0" fontId="45" fillId="6" borderId="62" xfId="0" applyFont="1" applyFill="1" applyBorder="1" applyAlignment="1">
      <alignment horizontal="center" vertical="center" wrapText="1" readingOrder="1"/>
    </xf>
    <xf numFmtId="0" fontId="46" fillId="0" borderId="1" xfId="0" applyFont="1" applyBorder="1" applyAlignment="1">
      <alignment vertical="center" wrapText="1"/>
    </xf>
    <xf numFmtId="0" fontId="45" fillId="7" borderId="1" xfId="0" applyFont="1" applyFill="1" applyBorder="1" applyAlignment="1">
      <alignment horizontal="center" vertical="center" wrapText="1" readingOrder="1"/>
    </xf>
    <xf numFmtId="0" fontId="45" fillId="7" borderId="60" xfId="0" applyFont="1" applyFill="1" applyBorder="1" applyAlignment="1">
      <alignment horizontal="center" vertical="center" wrapText="1" readingOrder="1"/>
    </xf>
    <xf numFmtId="0" fontId="45" fillId="7" borderId="61" xfId="0" applyFont="1" applyFill="1" applyBorder="1" applyAlignment="1">
      <alignment horizontal="center" vertical="center" wrapText="1" readingOrder="1"/>
    </xf>
    <xf numFmtId="0" fontId="45" fillId="7" borderId="72" xfId="0" applyFont="1" applyFill="1" applyBorder="1" applyAlignment="1">
      <alignment horizontal="center" vertical="center" wrapText="1" readingOrder="1"/>
    </xf>
    <xf numFmtId="0" fontId="45" fillId="7" borderId="1" xfId="0" applyFont="1" applyFill="1" applyBorder="1" applyAlignment="1">
      <alignment horizontal="left" vertical="center" wrapText="1" readingOrder="1"/>
    </xf>
    <xf numFmtId="10" fontId="45" fillId="0" borderId="1" xfId="0" applyNumberFormat="1" applyFont="1" applyBorder="1" applyAlignment="1">
      <alignment horizontal="center" vertical="center" wrapText="1" readingOrder="1"/>
    </xf>
    <xf numFmtId="10" fontId="45" fillId="0" borderId="61" xfId="0" applyNumberFormat="1" applyFont="1" applyBorder="1" applyAlignment="1">
      <alignment horizontal="center" vertical="center" wrapText="1" readingOrder="1"/>
    </xf>
    <xf numFmtId="10" fontId="45" fillId="0" borderId="72" xfId="0" applyNumberFormat="1" applyFont="1" applyBorder="1" applyAlignment="1">
      <alignment horizontal="center" vertical="center" wrapText="1" readingOrder="1"/>
    </xf>
    <xf numFmtId="10" fontId="45" fillId="6" borderId="62" xfId="0" applyNumberFormat="1" applyFont="1" applyFill="1" applyBorder="1" applyAlignment="1">
      <alignment horizontal="center" vertical="center" wrapText="1" readingOrder="1"/>
    </xf>
    <xf numFmtId="0" fontId="47" fillId="0" borderId="61" xfId="0" applyFont="1" applyBorder="1" applyAlignment="1">
      <alignment horizontal="center" vertical="center" wrapText="1" readingOrder="1"/>
    </xf>
    <xf numFmtId="0" fontId="47" fillId="0" borderId="72" xfId="0" applyFont="1" applyBorder="1" applyAlignment="1">
      <alignment horizontal="center" vertical="center" wrapText="1" readingOrder="1"/>
    </xf>
    <xf numFmtId="0" fontId="47" fillId="0" borderId="1" xfId="0" applyFont="1" applyBorder="1" applyAlignment="1">
      <alignment horizontal="center" vertical="center" wrapText="1" readingOrder="1"/>
    </xf>
    <xf numFmtId="10" fontId="45" fillId="0" borderId="60" xfId="0" applyNumberFormat="1" applyFont="1" applyBorder="1" applyAlignment="1">
      <alignment horizontal="center" vertical="center" wrapText="1" readingOrder="1"/>
    </xf>
    <xf numFmtId="10" fontId="45" fillId="0" borderId="73" xfId="0" applyNumberFormat="1" applyFont="1" applyBorder="1" applyAlignment="1">
      <alignment horizontal="center" vertical="center" wrapText="1" readingOrder="1"/>
    </xf>
    <xf numFmtId="9" fontId="45" fillId="0" borderId="1" xfId="0" applyNumberFormat="1" applyFont="1" applyBorder="1" applyAlignment="1">
      <alignment horizontal="center" vertical="center" wrapText="1" readingOrder="1"/>
    </xf>
    <xf numFmtId="0" fontId="33" fillId="5" borderId="20" xfId="5" applyFont="1" applyFill="1" applyBorder="1" applyAlignment="1">
      <alignment horizontal="center" vertical="center"/>
    </xf>
    <xf numFmtId="0" fontId="33" fillId="0" borderId="20" xfId="5" applyFont="1" applyFill="1" applyBorder="1" applyAlignment="1">
      <alignment horizontal="center" vertical="center"/>
    </xf>
    <xf numFmtId="0" fontId="33" fillId="0" borderId="20" xfId="5" quotePrefix="1" applyFont="1" applyFill="1" applyBorder="1" applyAlignment="1">
      <alignment horizontal="center" vertical="center"/>
    </xf>
    <xf numFmtId="176" fontId="33" fillId="0" borderId="20" xfId="3" applyNumberFormat="1" applyFont="1" applyFill="1" applyBorder="1" applyAlignment="1">
      <alignment horizontal="center" vertical="center"/>
    </xf>
    <xf numFmtId="0" fontId="33" fillId="0" borderId="0" xfId="5" applyFont="1"/>
    <xf numFmtId="0" fontId="33" fillId="5" borderId="20" xfId="0" applyFont="1" applyFill="1" applyBorder="1" applyAlignment="1">
      <alignment horizontal="center" vertical="center"/>
    </xf>
    <xf numFmtId="0" fontId="33" fillId="0" borderId="20" xfId="0" applyFont="1" applyFill="1" applyBorder="1" applyAlignment="1">
      <alignment horizontal="center" vertical="center"/>
    </xf>
    <xf numFmtId="176" fontId="33" fillId="0" borderId="20" xfId="0" applyNumberFormat="1" applyFont="1" applyBorder="1" applyAlignment="1">
      <alignment horizontal="center" vertical="center"/>
    </xf>
    <xf numFmtId="176" fontId="33" fillId="5" borderId="79" xfId="0" applyNumberFormat="1" applyFont="1" applyFill="1" applyBorder="1" applyAlignment="1">
      <alignment horizontal="center" vertical="center" shrinkToFit="1"/>
    </xf>
    <xf numFmtId="176" fontId="33" fillId="5" borderId="80" xfId="0" applyNumberFormat="1" applyFont="1" applyFill="1" applyBorder="1" applyAlignment="1">
      <alignment horizontal="center" vertical="center" shrinkToFit="1"/>
    </xf>
    <xf numFmtId="0" fontId="33" fillId="0" borderId="82" xfId="0" applyFont="1" applyBorder="1" applyAlignment="1">
      <alignment horizontal="center" vertical="center"/>
    </xf>
    <xf numFmtId="0" fontId="33" fillId="0" borderId="83" xfId="0" applyFont="1" applyBorder="1" applyAlignment="1">
      <alignment horizontal="center" vertical="center"/>
    </xf>
    <xf numFmtId="0" fontId="33" fillId="6" borderId="86" xfId="0" applyFont="1" applyFill="1" applyBorder="1" applyAlignment="1">
      <alignment horizontal="center" vertical="center"/>
    </xf>
    <xf numFmtId="0" fontId="33" fillId="6" borderId="46" xfId="0" applyFont="1" applyFill="1" applyBorder="1" applyAlignment="1">
      <alignment horizontal="center" vertical="center"/>
    </xf>
    <xf numFmtId="0" fontId="33" fillId="5" borderId="20" xfId="5" applyFont="1" applyFill="1" applyBorder="1" applyAlignment="1">
      <alignment horizontal="center" vertical="center" shrinkToFit="1"/>
    </xf>
    <xf numFmtId="0" fontId="33" fillId="0" borderId="20" xfId="5" applyFont="1" applyFill="1" applyBorder="1" applyAlignment="1">
      <alignment horizontal="center" vertical="center" shrinkToFit="1"/>
    </xf>
    <xf numFmtId="177" fontId="33" fillId="0" borderId="20" xfId="5" quotePrefix="1" applyNumberFormat="1" applyFont="1" applyFill="1" applyBorder="1" applyAlignment="1">
      <alignment horizontal="center" vertical="center"/>
    </xf>
    <xf numFmtId="0" fontId="33" fillId="6" borderId="20" xfId="5" applyFont="1" applyFill="1" applyBorder="1" applyAlignment="1">
      <alignment horizontal="center" vertical="center" shrinkToFit="1"/>
    </xf>
    <xf numFmtId="0" fontId="33" fillId="6" borderId="20" xfId="5" applyFont="1" applyFill="1" applyBorder="1" applyAlignment="1">
      <alignment horizontal="center" vertical="center"/>
    </xf>
    <xf numFmtId="0" fontId="33" fillId="6" borderId="20" xfId="5" quotePrefix="1" applyFont="1" applyFill="1" applyBorder="1" applyAlignment="1">
      <alignment horizontal="center" vertical="center"/>
    </xf>
    <xf numFmtId="0" fontId="33" fillId="6" borderId="20" xfId="5" applyNumberFormat="1" applyFont="1" applyFill="1" applyBorder="1" applyAlignment="1">
      <alignment horizontal="center" vertical="center"/>
    </xf>
    <xf numFmtId="0" fontId="48" fillId="3" borderId="20" xfId="6" applyFont="1" applyFill="1" applyBorder="1" applyAlignment="1">
      <alignment horizontal="center" vertical="center"/>
    </xf>
    <xf numFmtId="178" fontId="35" fillId="0" borderId="20" xfId="6" applyNumberFormat="1" applyFont="1" applyFill="1" applyBorder="1" applyAlignment="1">
      <alignment horizontal="center" vertical="center"/>
    </xf>
    <xf numFmtId="0" fontId="35" fillId="0" borderId="20" xfId="6" applyFont="1" applyFill="1" applyBorder="1">
      <alignment vertical="center"/>
    </xf>
    <xf numFmtId="0" fontId="35" fillId="0" borderId="20" xfId="6" applyFont="1" applyFill="1" applyBorder="1" applyAlignment="1">
      <alignment horizontal="center" vertical="center"/>
    </xf>
    <xf numFmtId="0" fontId="48" fillId="0" borderId="0" xfId="6" applyFont="1" applyFill="1" applyBorder="1" applyAlignment="1">
      <alignment horizontal="center" vertical="center"/>
    </xf>
    <xf numFmtId="0" fontId="35" fillId="0" borderId="0" xfId="6" applyFont="1" applyFill="1" applyBorder="1" applyAlignment="1">
      <alignment vertical="center" wrapText="1"/>
    </xf>
    <xf numFmtId="178" fontId="35" fillId="0" borderId="0" xfId="6" applyNumberFormat="1" applyFont="1" applyFill="1" applyBorder="1" applyAlignment="1">
      <alignment horizontal="center" vertical="center"/>
    </xf>
    <xf numFmtId="0" fontId="35" fillId="0" borderId="0" xfId="6" applyFont="1" applyFill="1" applyBorder="1">
      <alignment vertical="center"/>
    </xf>
    <xf numFmtId="0" fontId="35" fillId="0" borderId="0" xfId="6" applyFont="1" applyFill="1" applyBorder="1" applyAlignment="1">
      <alignment vertical="center"/>
    </xf>
    <xf numFmtId="0" fontId="35" fillId="0" borderId="0" xfId="6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6" fillId="0" borderId="56" xfId="0" applyFont="1" applyBorder="1">
      <alignment vertical="center"/>
    </xf>
    <xf numFmtId="0" fontId="6" fillId="0" borderId="5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7" fillId="0" borderId="38" xfId="0" applyNumberFormat="1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9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16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33" fillId="3" borderId="20" xfId="4" applyFont="1" applyFill="1" applyBorder="1" applyAlignment="1">
      <alignment horizontal="center" vertical="center" shrinkToFit="1"/>
    </xf>
    <xf numFmtId="0" fontId="33" fillId="3" borderId="26" xfId="4" applyFont="1" applyFill="1" applyBorder="1" applyAlignment="1">
      <alignment horizontal="center" vertical="center" shrinkToFit="1"/>
    </xf>
    <xf numFmtId="0" fontId="33" fillId="3" borderId="21" xfId="4" applyFont="1" applyFill="1" applyBorder="1" applyAlignment="1">
      <alignment horizontal="center" vertical="center" shrinkToFit="1"/>
    </xf>
    <xf numFmtId="0" fontId="33" fillId="3" borderId="27" xfId="4" applyFont="1" applyFill="1" applyBorder="1" applyAlignment="1">
      <alignment horizontal="center" vertical="center" shrinkToFit="1"/>
    </xf>
    <xf numFmtId="0" fontId="33" fillId="3" borderId="22" xfId="4" applyFont="1" applyFill="1" applyBorder="1" applyAlignment="1">
      <alignment horizontal="center" vertical="center" shrinkToFit="1"/>
    </xf>
    <xf numFmtId="0" fontId="33" fillId="3" borderId="23" xfId="4" applyFont="1" applyFill="1" applyBorder="1" applyAlignment="1">
      <alignment horizontal="center" vertical="center" shrinkToFit="1"/>
    </xf>
    <xf numFmtId="0" fontId="33" fillId="3" borderId="24" xfId="4" applyFont="1" applyFill="1" applyBorder="1" applyAlignment="1">
      <alignment horizontal="center" vertical="center" shrinkToFit="1"/>
    </xf>
    <xf numFmtId="0" fontId="33" fillId="3" borderId="25" xfId="4" applyFont="1" applyFill="1" applyBorder="1" applyAlignment="1">
      <alignment horizontal="center" vertical="center" shrinkToFit="1"/>
    </xf>
    <xf numFmtId="0" fontId="33" fillId="3" borderId="28" xfId="4" applyFont="1" applyFill="1" applyBorder="1" applyAlignment="1">
      <alignment horizontal="center" vertical="center" shrinkToFit="1"/>
    </xf>
    <xf numFmtId="0" fontId="33" fillId="0" borderId="30" xfId="4" applyFont="1" applyFill="1" applyBorder="1" applyAlignment="1">
      <alignment horizontal="center" vertical="center"/>
    </xf>
    <xf numFmtId="0" fontId="33" fillId="0" borderId="30" xfId="4" applyFont="1" applyFill="1" applyBorder="1" applyAlignment="1">
      <alignment horizontal="center" vertical="center" shrinkToFit="1"/>
    </xf>
    <xf numFmtId="0" fontId="33" fillId="0" borderId="31" xfId="4" applyFont="1" applyFill="1" applyBorder="1" applyAlignment="1">
      <alignment horizontal="center" vertical="center" shrinkToFit="1"/>
    </xf>
    <xf numFmtId="0" fontId="33" fillId="4" borderId="32" xfId="4" applyFont="1" applyFill="1" applyBorder="1" applyAlignment="1">
      <alignment horizontal="center" vertical="center" wrapText="1" shrinkToFit="1"/>
    </xf>
    <xf numFmtId="0" fontId="33" fillId="4" borderId="30" xfId="4" applyFont="1" applyFill="1" applyBorder="1" applyAlignment="1">
      <alignment horizontal="center" vertical="center" wrapText="1" shrinkToFit="1"/>
    </xf>
    <xf numFmtId="0" fontId="33" fillId="0" borderId="20" xfId="4" applyFont="1" applyFill="1" applyBorder="1" applyAlignment="1">
      <alignment horizontal="center" vertical="center"/>
    </xf>
    <xf numFmtId="0" fontId="33" fillId="0" borderId="20" xfId="4" applyFont="1" applyFill="1" applyBorder="1" applyAlignment="1">
      <alignment horizontal="center" vertical="center" shrinkToFit="1"/>
    </xf>
    <xf numFmtId="0" fontId="33" fillId="0" borderId="21" xfId="4" applyFont="1" applyFill="1" applyBorder="1" applyAlignment="1">
      <alignment horizontal="center" vertical="center" shrinkToFit="1"/>
    </xf>
    <xf numFmtId="9" fontId="33" fillId="4" borderId="25" xfId="4" applyNumberFormat="1" applyFont="1" applyFill="1" applyBorder="1" applyAlignment="1">
      <alignment horizontal="center" vertical="center" wrapText="1" shrinkToFit="1"/>
    </xf>
    <xf numFmtId="9" fontId="33" fillId="4" borderId="20" xfId="4" applyNumberFormat="1" applyFont="1" applyFill="1" applyBorder="1" applyAlignment="1">
      <alignment horizontal="center" vertical="center" shrinkToFit="1"/>
    </xf>
    <xf numFmtId="9" fontId="35" fillId="4" borderId="20" xfId="4" applyNumberFormat="1" applyFont="1" applyFill="1" applyBorder="1" applyAlignment="1">
      <alignment horizontal="left" vertical="center" wrapText="1" shrinkToFit="1"/>
    </xf>
    <xf numFmtId="9" fontId="35" fillId="4" borderId="20" xfId="4" applyNumberFormat="1" applyFont="1" applyFill="1" applyBorder="1" applyAlignment="1">
      <alignment horizontal="left" vertical="center" shrinkToFit="1"/>
    </xf>
    <xf numFmtId="9" fontId="33" fillId="4" borderId="25" xfId="4" applyNumberFormat="1" applyFont="1" applyFill="1" applyBorder="1" applyAlignment="1">
      <alignment horizontal="center" vertical="center" shrinkToFit="1"/>
    </xf>
    <xf numFmtId="0" fontId="33" fillId="0" borderId="20" xfId="4" applyFont="1" applyFill="1" applyBorder="1" applyAlignment="1">
      <alignment horizontal="center" vertical="center" wrapText="1"/>
    </xf>
    <xf numFmtId="0" fontId="33" fillId="4" borderId="20" xfId="4" applyFont="1" applyFill="1" applyBorder="1" applyAlignment="1">
      <alignment horizontal="center" vertical="center" shrinkToFit="1"/>
    </xf>
    <xf numFmtId="0" fontId="33" fillId="4" borderId="21" xfId="4" applyFont="1" applyFill="1" applyBorder="1" applyAlignment="1">
      <alignment horizontal="center" vertical="center" shrinkToFit="1"/>
    </xf>
    <xf numFmtId="0" fontId="33" fillId="4" borderId="31" xfId="4" applyFont="1" applyFill="1" applyBorder="1" applyAlignment="1">
      <alignment horizontal="left" vertical="center" wrapText="1"/>
    </xf>
    <xf numFmtId="0" fontId="33" fillId="4" borderId="38" xfId="4" applyFont="1" applyFill="1" applyBorder="1" applyAlignment="1">
      <alignment horizontal="left" vertical="center" wrapText="1"/>
    </xf>
    <xf numFmtId="0" fontId="33" fillId="4" borderId="58" xfId="4" applyFont="1" applyFill="1" applyBorder="1" applyAlignment="1">
      <alignment horizontal="left" vertical="center" wrapText="1"/>
    </xf>
    <xf numFmtId="176" fontId="33" fillId="4" borderId="20" xfId="4" applyNumberFormat="1" applyFont="1" applyFill="1" applyBorder="1" applyAlignment="1">
      <alignment horizontal="center" vertical="center" shrinkToFit="1"/>
    </xf>
    <xf numFmtId="176" fontId="33" fillId="4" borderId="21" xfId="4" applyNumberFormat="1" applyFont="1" applyFill="1" applyBorder="1" applyAlignment="1">
      <alignment horizontal="center" vertical="center" shrinkToFit="1"/>
    </xf>
    <xf numFmtId="0" fontId="35" fillId="4" borderId="20" xfId="4" applyFont="1" applyFill="1" applyBorder="1" applyAlignment="1">
      <alignment horizontal="center" vertical="center" shrinkToFit="1"/>
    </xf>
    <xf numFmtId="0" fontId="35" fillId="4" borderId="21" xfId="4" applyFont="1" applyFill="1" applyBorder="1" applyAlignment="1">
      <alignment horizontal="center" vertical="center" shrinkToFit="1"/>
    </xf>
    <xf numFmtId="0" fontId="38" fillId="5" borderId="20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2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6" xfId="0" applyFont="1" applyBorder="1" applyAlignment="1">
      <alignment horizontal="left" vertical="center"/>
    </xf>
    <xf numFmtId="0" fontId="6" fillId="0" borderId="4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/>
    </xf>
    <xf numFmtId="0" fontId="6" fillId="0" borderId="5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 readingOrder="1"/>
    </xf>
    <xf numFmtId="0" fontId="45" fillId="0" borderId="68" xfId="0" applyFont="1" applyBorder="1" applyAlignment="1">
      <alignment horizontal="center" vertical="center" wrapText="1" readingOrder="1"/>
    </xf>
    <xf numFmtId="0" fontId="45" fillId="0" borderId="63" xfId="0" applyFont="1" applyBorder="1" applyAlignment="1">
      <alignment horizontal="center" vertical="center" wrapText="1" readingOrder="1"/>
    </xf>
    <xf numFmtId="0" fontId="45" fillId="0" borderId="74" xfId="0" applyFont="1" applyBorder="1" applyAlignment="1">
      <alignment horizontal="left" vertical="center" wrapText="1" readingOrder="1"/>
    </xf>
    <xf numFmtId="0" fontId="45" fillId="0" borderId="0" xfId="0" applyFont="1" applyBorder="1" applyAlignment="1">
      <alignment horizontal="left" vertical="center" wrapText="1" readingOrder="1"/>
    </xf>
    <xf numFmtId="0" fontId="45" fillId="0" borderId="75" xfId="0" applyFont="1" applyBorder="1" applyAlignment="1">
      <alignment horizontal="left" vertical="center" wrapText="1" readingOrder="1"/>
    </xf>
    <xf numFmtId="0" fontId="45" fillId="0" borderId="76" xfId="0" applyFont="1" applyBorder="1" applyAlignment="1">
      <alignment horizontal="left" vertical="center" wrapText="1" readingOrder="1"/>
    </xf>
    <xf numFmtId="0" fontId="45" fillId="0" borderId="77" xfId="0" applyFont="1" applyBorder="1" applyAlignment="1">
      <alignment horizontal="left" vertical="center" wrapText="1" readingOrder="1"/>
    </xf>
    <xf numFmtId="0" fontId="45" fillId="0" borderId="71" xfId="0" applyFont="1" applyBorder="1" applyAlignment="1">
      <alignment horizontal="left" vertical="center" wrapText="1" readingOrder="1"/>
    </xf>
    <xf numFmtId="0" fontId="45" fillId="5" borderId="59" xfId="0" applyFont="1" applyFill="1" applyBorder="1" applyAlignment="1">
      <alignment horizontal="center" vertical="center" wrapText="1" readingOrder="1"/>
    </xf>
    <xf numFmtId="0" fontId="45" fillId="5" borderId="63" xfId="0" applyFont="1" applyFill="1" applyBorder="1" applyAlignment="1">
      <alignment horizontal="center" vertical="center" wrapText="1" readingOrder="1"/>
    </xf>
    <xf numFmtId="0" fontId="45" fillId="5" borderId="68" xfId="0" applyFont="1" applyFill="1" applyBorder="1" applyAlignment="1">
      <alignment horizontal="center" vertical="center" wrapText="1" readingOrder="1"/>
    </xf>
    <xf numFmtId="0" fontId="45" fillId="5" borderId="60" xfId="0" applyFont="1" applyFill="1" applyBorder="1" applyAlignment="1">
      <alignment horizontal="center" vertical="center" wrapText="1" readingOrder="1"/>
    </xf>
    <xf numFmtId="0" fontId="45" fillId="5" borderId="61" xfId="0" applyFont="1" applyFill="1" applyBorder="1" applyAlignment="1">
      <alignment horizontal="center" vertical="center" wrapText="1" readingOrder="1"/>
    </xf>
    <xf numFmtId="0" fontId="45" fillId="5" borderId="62" xfId="0" applyFont="1" applyFill="1" applyBorder="1" applyAlignment="1">
      <alignment horizontal="center" vertical="center" wrapText="1" readingOrder="1"/>
    </xf>
    <xf numFmtId="0" fontId="45" fillId="5" borderId="64" xfId="0" applyFont="1" applyFill="1" applyBorder="1" applyAlignment="1">
      <alignment horizontal="center" vertical="center" wrapText="1" readingOrder="1"/>
    </xf>
    <xf numFmtId="0" fontId="45" fillId="5" borderId="69" xfId="0" applyFont="1" applyFill="1" applyBorder="1" applyAlignment="1">
      <alignment horizontal="center" vertical="center" wrapText="1" readingOrder="1"/>
    </xf>
    <xf numFmtId="0" fontId="45" fillId="5" borderId="65" xfId="0" applyFont="1" applyFill="1" applyBorder="1" applyAlignment="1">
      <alignment horizontal="center" vertical="center" wrapText="1" readingOrder="1"/>
    </xf>
    <xf numFmtId="0" fontId="45" fillId="5" borderId="66" xfId="0" applyFont="1" applyFill="1" applyBorder="1" applyAlignment="1">
      <alignment horizontal="center" vertical="center" wrapText="1" readingOrder="1"/>
    </xf>
    <xf numFmtId="0" fontId="45" fillId="5" borderId="67" xfId="0" applyFont="1" applyFill="1" applyBorder="1" applyAlignment="1">
      <alignment horizontal="center" vertical="center" wrapText="1" readingOrder="1"/>
    </xf>
    <xf numFmtId="0" fontId="45" fillId="6" borderId="59" xfId="0" applyFont="1" applyFill="1" applyBorder="1" applyAlignment="1">
      <alignment horizontal="center" vertical="center" wrapText="1" readingOrder="1"/>
    </xf>
    <xf numFmtId="0" fontId="45" fillId="6" borderId="71" xfId="0" applyFont="1" applyFill="1" applyBorder="1" applyAlignment="1">
      <alignment horizontal="center" vertical="center" wrapText="1" readingOrder="1"/>
    </xf>
    <xf numFmtId="0" fontId="33" fillId="5" borderId="20" xfId="5" applyFont="1" applyFill="1" applyBorder="1" applyAlignment="1">
      <alignment horizontal="center" vertical="center"/>
    </xf>
    <xf numFmtId="176" fontId="33" fillId="5" borderId="79" xfId="0" applyNumberFormat="1" applyFont="1" applyFill="1" applyBorder="1" applyAlignment="1">
      <alignment horizontal="center" vertical="center"/>
    </xf>
    <xf numFmtId="176" fontId="33" fillId="5" borderId="80" xfId="0" applyNumberFormat="1" applyFont="1" applyFill="1" applyBorder="1" applyAlignment="1">
      <alignment horizontal="center" vertical="center"/>
    </xf>
    <xf numFmtId="176" fontId="33" fillId="0" borderId="84" xfId="0" applyNumberFormat="1" applyFont="1" applyFill="1" applyBorder="1" applyAlignment="1">
      <alignment horizontal="center" vertical="center"/>
    </xf>
    <xf numFmtId="176" fontId="33" fillId="0" borderId="85" xfId="0" applyNumberFormat="1" applyFont="1" applyFill="1" applyBorder="1" applyAlignment="1">
      <alignment horizontal="center" vertical="center"/>
    </xf>
    <xf numFmtId="0" fontId="33" fillId="5" borderId="78" xfId="0" applyFont="1" applyFill="1" applyBorder="1" applyAlignment="1">
      <alignment horizontal="left" vertical="center" wrapText="1"/>
    </xf>
    <xf numFmtId="0" fontId="33" fillId="5" borderId="81" xfId="0" applyFont="1" applyFill="1" applyBorder="1" applyAlignment="1">
      <alignment horizontal="left" vertical="center" wrapText="1"/>
    </xf>
    <xf numFmtId="0" fontId="33" fillId="6" borderId="20" xfId="0" applyFont="1" applyFill="1" applyBorder="1" applyAlignment="1">
      <alignment horizontal="center" vertical="center"/>
    </xf>
    <xf numFmtId="0" fontId="33" fillId="5" borderId="21" xfId="5" applyFont="1" applyFill="1" applyBorder="1" applyAlignment="1">
      <alignment horizontal="center" vertical="center"/>
    </xf>
    <xf numFmtId="0" fontId="33" fillId="5" borderId="51" xfId="5" applyFont="1" applyFill="1" applyBorder="1" applyAlignment="1">
      <alignment horizontal="center" vertical="center"/>
    </xf>
    <xf numFmtId="0" fontId="33" fillId="5" borderId="52" xfId="5" applyFont="1" applyFill="1" applyBorder="1" applyAlignment="1">
      <alignment horizontal="center" vertical="center"/>
    </xf>
    <xf numFmtId="0" fontId="35" fillId="0" borderId="20" xfId="6" applyFont="1" applyFill="1" applyBorder="1" applyAlignment="1">
      <alignment horizontal="center" vertical="center" wrapText="1"/>
    </xf>
    <xf numFmtId="0" fontId="35" fillId="0" borderId="20" xfId="6" applyFont="1" applyFill="1" applyBorder="1" applyAlignment="1">
      <alignment horizontal="center" vertical="center"/>
    </xf>
    <xf numFmtId="178" fontId="33" fillId="0" borderId="20" xfId="6" applyNumberFormat="1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42" fillId="3" borderId="20" xfId="6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 shrinkToFit="1"/>
    </xf>
    <xf numFmtId="0" fontId="33" fillId="0" borderId="20" xfId="5" applyFont="1" applyBorder="1" applyAlignment="1">
      <alignment horizontal="center"/>
    </xf>
    <xf numFmtId="0" fontId="33" fillId="0" borderId="20" xfId="0" applyFont="1" applyBorder="1" applyAlignment="1">
      <alignment horizontal="center" vertical="center"/>
    </xf>
  </cellXfs>
  <cellStyles count="7">
    <cellStyle name="백분율" xfId="3" builtinId="5"/>
    <cellStyle name="쉼표 [0]" xfId="1" builtinId="6"/>
    <cellStyle name="통화 [0]" xfId="2" builtinId="7"/>
    <cellStyle name="표준" xfId="0" builtinId="0"/>
    <cellStyle name="표준 2" xfId="4" xr:uid="{63F27BF9-C0DD-40F4-8841-EC8AAE9FF2A9}"/>
    <cellStyle name="표준_경영검토(공무,안전)" xfId="6" xr:uid="{22B19677-0824-405F-B445-00E922EF9057}"/>
    <cellStyle name="표준_부적합사항관리" xfId="5" xr:uid="{61988BDA-AA68-4E14-9426-F100E2807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/>
              <a:t>공정관리</a:t>
            </a:r>
          </a:p>
        </c:rich>
      </c:tx>
      <c:layout>
        <c:manualLayout>
          <c:xMode val="edge"/>
          <c:yMode val="edge"/>
          <c:x val="0.43776884112661879"/>
          <c:y val="3.42857142857142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000508329649711E-2"/>
          <c:y val="0.18490413041730233"/>
          <c:w val="0.85550906360238899"/>
          <c:h val="0.67428571428571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'4.2  1) 원가 및 공정관리'!$B$8</c:f>
              <c:strCache>
                <c:ptCount val="1"/>
                <c:pt idx="0">
                  <c:v>계  획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'4.2  1) 원가 및 공정관리'!$C$7:$N$7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'4.2  1) 원가 및 공정관리'!$C$8:$N$8</c:f>
              <c:numCache>
                <c:formatCode>General</c:formatCode>
                <c:ptCount val="12"/>
                <c:pt idx="0">
                  <c:v>1.76</c:v>
                </c:pt>
                <c:pt idx="1">
                  <c:v>2.79</c:v>
                </c:pt>
                <c:pt idx="2">
                  <c:v>4.08</c:v>
                </c:pt>
                <c:pt idx="3">
                  <c:v>5.37</c:v>
                </c:pt>
                <c:pt idx="4">
                  <c:v>7.21</c:v>
                </c:pt>
                <c:pt idx="5">
                  <c:v>9.0500000000000007</c:v>
                </c:pt>
                <c:pt idx="6">
                  <c:v>9.9</c:v>
                </c:pt>
                <c:pt idx="7">
                  <c:v>10.75</c:v>
                </c:pt>
                <c:pt idx="8">
                  <c:v>11.7</c:v>
                </c:pt>
                <c:pt idx="9">
                  <c:v>12.65</c:v>
                </c:pt>
                <c:pt idx="10">
                  <c:v>13.63</c:v>
                </c:pt>
                <c:pt idx="11">
                  <c:v>14.61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C-4436-ADA6-43255142F150}"/>
            </c:ext>
          </c:extLst>
        </c:ser>
        <c:ser>
          <c:idx val="1"/>
          <c:order val="1"/>
          <c:tx>
            <c:strRef>
              <c:f>'4.2  1) 원가 및 공정관리'!$B$9</c:f>
              <c:strCache>
                <c:ptCount val="1"/>
                <c:pt idx="0">
                  <c:v>수  행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'4.2  1) 원가 및 공정관리'!$C$7:$N$7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'4.2  1) 원가 및 공정관리'!$C$9:$N$9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2.79</c:v>
                </c:pt>
                <c:pt idx="3">
                  <c:v>2.79</c:v>
                </c:pt>
                <c:pt idx="4">
                  <c:v>5.37</c:v>
                </c:pt>
                <c:pt idx="5">
                  <c:v>5.37</c:v>
                </c:pt>
                <c:pt idx="6">
                  <c:v>9.0500000000000007</c:v>
                </c:pt>
                <c:pt idx="7">
                  <c:v>10.75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C-4436-ADA6-43255142F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07328"/>
        <c:axId val="140642560"/>
      </c:barChart>
      <c:catAx>
        <c:axId val="1391073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0642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642560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910732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84835599412734353"/>
          <c:y val="3.1428571428571431E-2"/>
          <c:w val="0.11799702852861137"/>
          <c:h val="5.995516931337934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/>
              <a:t>재 검 측 율</a:t>
            </a:r>
          </a:p>
        </c:rich>
      </c:tx>
      <c:layout>
        <c:manualLayout>
          <c:xMode val="edge"/>
          <c:yMode val="edge"/>
          <c:x val="0.44884066844986803"/>
          <c:y val="4.7244094488188976E-2"/>
        </c:manualLayout>
      </c:layout>
      <c:overlay val="0"/>
    </c:title>
    <c:autoTitleDeleted val="0"/>
    <c:view3D>
      <c:rotX val="15"/>
      <c:hPercent val="44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141890762152249"/>
          <c:y val="0.16273007589524865"/>
          <c:w val="0.83901829423861052"/>
          <c:h val="0.6525819767894696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'4.2  3) 품질관리_재검사율'!$B$7</c:f>
              <c:strCache>
                <c:ptCount val="1"/>
                <c:pt idx="0">
                  <c:v>재검측율</c:v>
                </c:pt>
              </c:strCache>
            </c:strRef>
          </c:tx>
          <c:invertIfNegative val="0"/>
          <c:cat>
            <c:strRef>
              <c:f>'4.2  3) 품질관리_재검사율'!$C$6:$O$6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합계</c:v>
                </c:pt>
              </c:strCache>
            </c:strRef>
          </c:cat>
          <c:val>
            <c:numRef>
              <c:f>'4.2  3) 품질관리_재검사율'!$C$7:$O$7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5-45C5-AE2F-3AB0B2DDE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592128"/>
        <c:axId val="124593664"/>
        <c:axId val="0"/>
      </c:bar3DChart>
      <c:catAx>
        <c:axId val="124592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txPr>
          <a:bodyPr rot="2700000" vert="horz"/>
          <a:lstStyle/>
          <a:p>
            <a:pPr>
              <a:defRPr/>
            </a:pPr>
            <a:endParaRPr lang="ko-KR"/>
          </a:p>
        </c:txPr>
        <c:crossAx val="124593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4593664"/>
        <c:scaling>
          <c:orientation val="minMax"/>
          <c:max val="3.0000000000000006E-2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ko-KR"/>
                  <a:t>비
율</a:t>
                </a:r>
              </a:p>
            </c:rich>
          </c:tx>
          <c:layout>
            <c:manualLayout>
              <c:xMode val="edge"/>
              <c:yMode val="edge"/>
              <c:x val="3.0397351622536324E-2"/>
              <c:y val="0.46460234986311028"/>
            </c:manualLayout>
          </c:layout>
          <c:overlay val="0"/>
        </c:title>
        <c:numFmt formatCode="0.0%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4592128"/>
        <c:crosses val="autoZero"/>
        <c:crossBetween val="between"/>
        <c:majorUnit val="1.0000000000000002E-2"/>
      </c:valAx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/>
              <a:t>NCR/CAR/PAR 발행 현황</a:t>
            </a:r>
          </a:p>
        </c:rich>
      </c:tx>
      <c:layout>
        <c:manualLayout>
          <c:xMode val="edge"/>
          <c:yMode val="edge"/>
          <c:x val="0.34336525307797539"/>
          <c:y val="3.3950617283950615E-2"/>
        </c:manualLayout>
      </c:layout>
      <c:overlay val="0"/>
    </c:title>
    <c:autoTitleDeleted val="0"/>
    <c:view3D>
      <c:rotX val="15"/>
      <c:hPercent val="38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2927496580027359E-2"/>
          <c:y val="0.185185743350162"/>
          <c:w val="0.87688098495212041"/>
          <c:h val="0.6238356376648653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'4.2  3) 품질관리_부적합 및 시정조치'!$B$8</c:f>
              <c:strCache>
                <c:ptCount val="1"/>
                <c:pt idx="0">
                  <c:v>NCR 발행건수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'4.2  3) 품질관리_부적합 및 시정조치'!$C$7:$P$7</c:f>
              <c:strCache>
                <c:ptCount val="1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월평균</c:v>
                </c:pt>
                <c:pt idx="13">
                  <c:v>계</c:v>
                </c:pt>
              </c:strCache>
            </c:strRef>
          </c:cat>
          <c:val>
            <c:numRef>
              <c:f>'4.2  3) 품질관리_부적합 및 시정조치'!$C$8:$P$8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4">
                  <c:v>1</c:v>
                </c:pt>
                <c:pt idx="11">
                  <c:v>1</c:v>
                </c:pt>
                <c:pt idx="12" formatCode="0.0_ ">
                  <c:v>1.6666666666666667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0-4148-AFE9-04EADED4E612}"/>
            </c:ext>
          </c:extLst>
        </c:ser>
        <c:ser>
          <c:idx val="1"/>
          <c:order val="1"/>
          <c:tx>
            <c:strRef>
              <c:f>'4.2  3) 품질관리_부적합 및 시정조치'!$B$9</c:f>
              <c:strCache>
                <c:ptCount val="1"/>
                <c:pt idx="0">
                  <c:v>CAR/PAR 발행건수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'4.2  3) 품질관리_부적합 및 시정조치'!$C$7:$P$7</c:f>
              <c:strCache>
                <c:ptCount val="1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월평균</c:v>
                </c:pt>
                <c:pt idx="13">
                  <c:v>계</c:v>
                </c:pt>
              </c:strCache>
            </c:strRef>
          </c:cat>
          <c:val>
            <c:numRef>
              <c:f>'4.2  3) 품질관리_부적합 및 시정조치'!$C$9:$P$9</c:f>
              <c:numCache>
                <c:formatCode>General</c:formatCode>
                <c:ptCount val="14"/>
                <c:pt idx="2">
                  <c:v>2</c:v>
                </c:pt>
                <c:pt idx="4">
                  <c:v>0</c:v>
                </c:pt>
                <c:pt idx="12" formatCode="0.0_ ">
                  <c:v>0.33333333333333331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0-4148-AFE9-04EADED4E612}"/>
            </c:ext>
          </c:extLst>
        </c:ser>
        <c:ser>
          <c:idx val="2"/>
          <c:order val="2"/>
          <c:tx>
            <c:strRef>
              <c:f>'4.2  3) 품질관리_부적합 및 시정조치'!$B$10</c:f>
              <c:strCache>
                <c:ptCount val="1"/>
                <c:pt idx="0">
                  <c:v>합   계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'4.2  3) 품질관리_부적합 및 시정조치'!$C$7:$P$7</c:f>
              <c:strCache>
                <c:ptCount val="1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월평균</c:v>
                </c:pt>
                <c:pt idx="13">
                  <c:v>계</c:v>
                </c:pt>
              </c:strCache>
            </c:strRef>
          </c:cat>
          <c:val>
            <c:numRef>
              <c:f>'4.2  3) 품질관리_부적합 및 시정조치'!$C$10:$P$10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0-4148-AFE9-04EADED4E6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4918016"/>
        <c:axId val="124928000"/>
        <c:axId val="0"/>
      </c:bar3DChart>
      <c:catAx>
        <c:axId val="124918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124928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4928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ko-KR"/>
                  <a:t>발
행
건
수</a:t>
                </a:r>
              </a:p>
            </c:rich>
          </c:tx>
          <c:layout>
            <c:manualLayout>
              <c:xMode val="edge"/>
              <c:yMode val="edge"/>
              <c:x val="2.7359781121751026E-2"/>
              <c:y val="0.4228408023071190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491801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7838577291381672"/>
          <c:y val="1.5432098765432098E-2"/>
          <c:w val="0.2216142549630416"/>
          <c:h val="5.721147941497324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201502</xdr:colOff>
      <xdr:row>8</xdr:row>
      <xdr:rowOff>159915</xdr:rowOff>
    </xdr:from>
    <xdr:to>
      <xdr:col>3</xdr:col>
      <xdr:colOff>302515</xdr:colOff>
      <xdr:row>11</xdr:row>
      <xdr:rowOff>116573</xdr:rowOff>
    </xdr:to>
    <xdr:sp macro="" textlink="">
      <xdr:nvSpPr>
        <xdr:cNvPr id="2" name="Text Box 77">
          <a:extLst>
            <a:ext uri="{FF2B5EF4-FFF2-40B4-BE49-F238E27FC236}">
              <a16:creationId xmlns:a16="http://schemas.microsoft.com/office/drawing/2014/main" id="{3E7CC35E-D59A-4B18-9D9B-0AE7D7F821B4}"/>
            </a:ext>
          </a:extLst>
        </xdr:cNvPr>
        <xdr:cNvSpPr txBox="1">
          <a:spLocks noChangeArrowheads="1"/>
        </xdr:cNvSpPr>
      </xdr:nvSpPr>
      <xdr:spPr bwMode="auto">
        <a:xfrm>
          <a:off x="201502" y="2007765"/>
          <a:ext cx="1615488" cy="4710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경영검토 실적 작성</a:t>
          </a:r>
        </a:p>
      </xdr:txBody>
    </xdr:sp>
    <xdr:clientData/>
  </xdr:twoCellAnchor>
  <xdr:twoCellAnchor>
    <xdr:from>
      <xdr:col>0</xdr:col>
      <xdr:colOff>202781</xdr:colOff>
      <xdr:row>14</xdr:row>
      <xdr:rowOff>107263</xdr:rowOff>
    </xdr:from>
    <xdr:to>
      <xdr:col>3</xdr:col>
      <xdr:colOff>303794</xdr:colOff>
      <xdr:row>17</xdr:row>
      <xdr:rowOff>63920</xdr:rowOff>
    </xdr:to>
    <xdr:sp macro="" textlink="">
      <xdr:nvSpPr>
        <xdr:cNvPr id="3" name="Text Box 75">
          <a:extLst>
            <a:ext uri="{FF2B5EF4-FFF2-40B4-BE49-F238E27FC236}">
              <a16:creationId xmlns:a16="http://schemas.microsoft.com/office/drawing/2014/main" id="{C0CD519F-3AB7-4705-8142-2661C21D02BA}"/>
            </a:ext>
          </a:extLst>
        </xdr:cNvPr>
        <xdr:cNvSpPr txBox="1">
          <a:spLocks noChangeArrowheads="1"/>
        </xdr:cNvSpPr>
      </xdr:nvSpPr>
      <xdr:spPr bwMode="auto">
        <a:xfrm>
          <a:off x="202781" y="2983813"/>
          <a:ext cx="1615488" cy="471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성과실적 검토 수행</a:t>
          </a:r>
          <a:endParaRPr lang="ko-KR" altLang="en-US" sz="10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302515</xdr:colOff>
      <xdr:row>10</xdr:row>
      <xdr:rowOff>53362</xdr:rowOff>
    </xdr:from>
    <xdr:to>
      <xdr:col>4</xdr:col>
      <xdr:colOff>202023</xdr:colOff>
      <xdr:row>10</xdr:row>
      <xdr:rowOff>55380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8396C4A-BE0B-4354-A6BE-9765CEC2068E}"/>
            </a:ext>
          </a:extLst>
        </xdr:cNvPr>
        <xdr:cNvCxnSpPr>
          <a:stCxn id="2" idx="3"/>
          <a:endCxn id="6" idx="1"/>
        </xdr:cNvCxnSpPr>
      </xdr:nvCxnSpPr>
      <xdr:spPr>
        <a:xfrm flipV="1">
          <a:off x="1816990" y="2244112"/>
          <a:ext cx="404333" cy="2018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908</xdr:colOff>
      <xdr:row>11</xdr:row>
      <xdr:rowOff>116573</xdr:rowOff>
    </xdr:from>
    <xdr:to>
      <xdr:col>2</xdr:col>
      <xdr:colOff>908</xdr:colOff>
      <xdr:row>14</xdr:row>
      <xdr:rowOff>107263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2F38E36-1755-409F-BF61-3158EBC93442}"/>
            </a:ext>
          </a:extLst>
        </xdr:cNvPr>
        <xdr:cNvCxnSpPr>
          <a:stCxn id="2" idx="2"/>
          <a:endCxn id="3" idx="0"/>
        </xdr:cNvCxnSpPr>
      </xdr:nvCxnSpPr>
      <xdr:spPr>
        <a:xfrm>
          <a:off x="1010558" y="2478773"/>
          <a:ext cx="0" cy="505040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202023</xdr:colOff>
      <xdr:row>8</xdr:row>
      <xdr:rowOff>157897</xdr:rowOff>
    </xdr:from>
    <xdr:to>
      <xdr:col>7</xdr:col>
      <xdr:colOff>303036</xdr:colOff>
      <xdr:row>11</xdr:row>
      <xdr:rowOff>114555</xdr:rowOff>
    </xdr:to>
    <xdr:sp macro="" textlink="">
      <xdr:nvSpPr>
        <xdr:cNvPr id="6" name="Text Box 72">
          <a:extLst>
            <a:ext uri="{FF2B5EF4-FFF2-40B4-BE49-F238E27FC236}">
              <a16:creationId xmlns:a16="http://schemas.microsoft.com/office/drawing/2014/main" id="{A9AB2590-E0B6-4F7E-A0FE-58458209FCB4}"/>
            </a:ext>
          </a:extLst>
        </xdr:cNvPr>
        <xdr:cNvSpPr txBox="1">
          <a:spLocks noChangeArrowheads="1"/>
        </xdr:cNvSpPr>
      </xdr:nvSpPr>
      <xdr:spPr bwMode="auto">
        <a:xfrm>
          <a:off x="2221323" y="2005747"/>
          <a:ext cx="1615488" cy="4710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경영검토</a:t>
          </a:r>
          <a:endParaRPr lang="en-US" altLang="ko-KR" sz="1000">
            <a:latin typeface="맑은 고딕" pitchFamily="50" charset="-127"/>
            <a:ea typeface="맑은 고딕" pitchFamily="50" charset="-127"/>
          </a:endParaRPr>
        </a:p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자료 취합 및 성과분석</a:t>
          </a:r>
        </a:p>
      </xdr:txBody>
    </xdr:sp>
    <xdr:clientData/>
  </xdr:twoCellAnchor>
  <xdr:twoCellAnchor>
    <xdr:from>
      <xdr:col>6</xdr:col>
      <xdr:colOff>1429</xdr:colOff>
      <xdr:row>11</xdr:row>
      <xdr:rowOff>114555</xdr:rowOff>
    </xdr:from>
    <xdr:to>
      <xdr:col>6</xdr:col>
      <xdr:colOff>1429</xdr:colOff>
      <xdr:row>14</xdr:row>
      <xdr:rowOff>108242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BADB6539-031A-4BD7-A962-B3B349226A35}"/>
            </a:ext>
          </a:extLst>
        </xdr:cNvPr>
        <xdr:cNvCxnSpPr>
          <a:stCxn id="6" idx="2"/>
          <a:endCxn id="9" idx="0"/>
        </xdr:cNvCxnSpPr>
      </xdr:nvCxnSpPr>
      <xdr:spPr>
        <a:xfrm>
          <a:off x="3030379" y="2476755"/>
          <a:ext cx="0" cy="508037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1430</xdr:colOff>
      <xdr:row>6</xdr:row>
      <xdr:rowOff>47091</xdr:rowOff>
    </xdr:from>
    <xdr:to>
      <xdr:col>8</xdr:col>
      <xdr:colOff>230607</xdr:colOff>
      <xdr:row>8</xdr:row>
      <xdr:rowOff>157896</xdr:rowOff>
    </xdr:to>
    <xdr:cxnSp macro="">
      <xdr:nvCxnSpPr>
        <xdr:cNvPr id="8" name="꺾인 연결선 7">
          <a:extLst>
            <a:ext uri="{FF2B5EF4-FFF2-40B4-BE49-F238E27FC236}">
              <a16:creationId xmlns:a16="http://schemas.microsoft.com/office/drawing/2014/main" id="{41DABC27-448D-4E13-B5EA-0AF095D28767}"/>
            </a:ext>
          </a:extLst>
        </xdr:cNvPr>
        <xdr:cNvCxnSpPr>
          <a:endCxn id="6" idx="0"/>
        </xdr:cNvCxnSpPr>
      </xdr:nvCxnSpPr>
      <xdr:spPr>
        <a:xfrm rot="10800000" flipV="1">
          <a:off x="3030380" y="1513941"/>
          <a:ext cx="1238827" cy="491805"/>
        </a:xfrm>
        <a:prstGeom prst="bentConnector2">
          <a:avLst/>
        </a:prstGeom>
        <a:ln w="9525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203757</xdr:colOff>
      <xdr:row>14</xdr:row>
      <xdr:rowOff>108242</xdr:rowOff>
    </xdr:from>
    <xdr:to>
      <xdr:col>7</xdr:col>
      <xdr:colOff>304770</xdr:colOff>
      <xdr:row>17</xdr:row>
      <xdr:rowOff>64899</xdr:rowOff>
    </xdr:to>
    <xdr:sp macro="" textlink="">
      <xdr:nvSpPr>
        <xdr:cNvPr id="9" name="Text Box 75">
          <a:extLst>
            <a:ext uri="{FF2B5EF4-FFF2-40B4-BE49-F238E27FC236}">
              <a16:creationId xmlns:a16="http://schemas.microsoft.com/office/drawing/2014/main" id="{A36EDA54-5D96-4942-929E-DA214FAAF661}"/>
            </a:ext>
          </a:extLst>
        </xdr:cNvPr>
        <xdr:cNvSpPr txBox="1">
          <a:spLocks noChangeArrowheads="1"/>
        </xdr:cNvSpPr>
      </xdr:nvSpPr>
      <xdr:spPr bwMode="auto">
        <a:xfrm>
          <a:off x="2223057" y="2984792"/>
          <a:ext cx="1615488" cy="471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성과보고서 작성</a:t>
          </a:r>
        </a:p>
      </xdr:txBody>
    </xdr:sp>
    <xdr:clientData/>
  </xdr:twoCellAnchor>
  <xdr:twoCellAnchor>
    <xdr:from>
      <xdr:col>3</xdr:col>
      <xdr:colOff>303794</xdr:colOff>
      <xdr:row>16</xdr:row>
      <xdr:rowOff>2727</xdr:rowOff>
    </xdr:from>
    <xdr:to>
      <xdr:col>4</xdr:col>
      <xdr:colOff>203757</xdr:colOff>
      <xdr:row>16</xdr:row>
      <xdr:rowOff>3706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71F4ACBE-5475-4454-BAAA-0154D805B1BF}"/>
            </a:ext>
          </a:extLst>
        </xdr:cNvPr>
        <xdr:cNvCxnSpPr>
          <a:stCxn id="3" idx="3"/>
          <a:endCxn id="9" idx="1"/>
        </xdr:cNvCxnSpPr>
      </xdr:nvCxnSpPr>
      <xdr:spPr>
        <a:xfrm>
          <a:off x="1818269" y="3222177"/>
          <a:ext cx="404788" cy="979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218618</xdr:colOff>
      <xdr:row>30</xdr:row>
      <xdr:rowOff>155281</xdr:rowOff>
    </xdr:from>
    <xdr:to>
      <xdr:col>7</xdr:col>
      <xdr:colOff>309726</xdr:colOff>
      <xdr:row>33</xdr:row>
      <xdr:rowOff>162791</xdr:rowOff>
    </xdr:to>
    <xdr:sp macro="" textlink="">
      <xdr:nvSpPr>
        <xdr:cNvPr id="11" name="AutoShape 48">
          <a:extLst>
            <a:ext uri="{FF2B5EF4-FFF2-40B4-BE49-F238E27FC236}">
              <a16:creationId xmlns:a16="http://schemas.microsoft.com/office/drawing/2014/main" id="{647FEE33-4268-48E9-A8C5-7C65CEA37CD7}"/>
            </a:ext>
          </a:extLst>
        </xdr:cNvPr>
        <xdr:cNvSpPr>
          <a:spLocks noChangeArrowheads="1"/>
        </xdr:cNvSpPr>
      </xdr:nvSpPr>
      <xdr:spPr bwMode="auto">
        <a:xfrm>
          <a:off x="2237918" y="5775031"/>
          <a:ext cx="1605583" cy="521860"/>
        </a:xfrm>
        <a:prstGeom prst="diamond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36000" tIns="36000" rIns="36000" bIns="3600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시정조치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488174</xdr:colOff>
      <xdr:row>32</xdr:row>
      <xdr:rowOff>74992</xdr:rowOff>
    </xdr:from>
    <xdr:to>
      <xdr:col>4</xdr:col>
      <xdr:colOff>218618</xdr:colOff>
      <xdr:row>36</xdr:row>
      <xdr:rowOff>73482</xdr:rowOff>
    </xdr:to>
    <xdr:cxnSp macro="">
      <xdr:nvCxnSpPr>
        <xdr:cNvPr id="12" name="꺾인 연결선 11">
          <a:extLst>
            <a:ext uri="{FF2B5EF4-FFF2-40B4-BE49-F238E27FC236}">
              <a16:creationId xmlns:a16="http://schemas.microsoft.com/office/drawing/2014/main" id="{0859BA3A-177F-44FC-B3C7-0F218B6E1B6E}"/>
            </a:ext>
          </a:extLst>
        </xdr:cNvPr>
        <xdr:cNvCxnSpPr>
          <a:stCxn id="11" idx="1"/>
          <a:endCxn id="21" idx="0"/>
        </xdr:cNvCxnSpPr>
      </xdr:nvCxnSpPr>
      <xdr:spPr>
        <a:xfrm rot="10800000" flipV="1">
          <a:off x="992999" y="6037642"/>
          <a:ext cx="1244919" cy="684290"/>
        </a:xfrm>
        <a:prstGeom prst="bentConnector2">
          <a:avLst/>
        </a:prstGeom>
        <a:ln w="9525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212082</xdr:colOff>
      <xdr:row>36</xdr:row>
      <xdr:rowOff>71913</xdr:rowOff>
    </xdr:from>
    <xdr:to>
      <xdr:col>7</xdr:col>
      <xdr:colOff>313095</xdr:colOff>
      <xdr:row>39</xdr:row>
      <xdr:rowOff>28570</xdr:rowOff>
    </xdr:to>
    <xdr:sp macro="" textlink="">
      <xdr:nvSpPr>
        <xdr:cNvPr id="13" name="Text Box 75">
          <a:extLst>
            <a:ext uri="{FF2B5EF4-FFF2-40B4-BE49-F238E27FC236}">
              <a16:creationId xmlns:a16="http://schemas.microsoft.com/office/drawing/2014/main" id="{B1BE471D-A6A5-4A0B-977B-5A1389DA44EA}"/>
            </a:ext>
          </a:extLst>
        </xdr:cNvPr>
        <xdr:cNvSpPr txBox="1">
          <a:spLocks noChangeArrowheads="1"/>
        </xdr:cNvSpPr>
      </xdr:nvSpPr>
      <xdr:spPr bwMode="auto">
        <a:xfrm>
          <a:off x="2231382" y="6720363"/>
          <a:ext cx="1615488" cy="471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조치결과 확인</a:t>
          </a:r>
        </a:p>
      </xdr:txBody>
    </xdr:sp>
    <xdr:clientData/>
  </xdr:twoCellAnchor>
  <xdr:twoCellAnchor>
    <xdr:from>
      <xdr:col>4</xdr:col>
      <xdr:colOff>211713</xdr:colOff>
      <xdr:row>41</xdr:row>
      <xdr:rowOff>127654</xdr:rowOff>
    </xdr:from>
    <xdr:to>
      <xdr:col>7</xdr:col>
      <xdr:colOff>315995</xdr:colOff>
      <xdr:row>43</xdr:row>
      <xdr:rowOff>140570</xdr:rowOff>
    </xdr:to>
    <xdr:sp macro="" textlink="">
      <xdr:nvSpPr>
        <xdr:cNvPr id="14" name="Text Box 75">
          <a:extLst>
            <a:ext uri="{FF2B5EF4-FFF2-40B4-BE49-F238E27FC236}">
              <a16:creationId xmlns:a16="http://schemas.microsoft.com/office/drawing/2014/main" id="{5483A071-46D2-49D3-9EF8-71A916320264}"/>
            </a:ext>
          </a:extLst>
        </xdr:cNvPr>
        <xdr:cNvSpPr txBox="1">
          <a:spLocks noChangeArrowheads="1"/>
        </xdr:cNvSpPr>
      </xdr:nvSpPr>
      <xdr:spPr bwMode="auto">
        <a:xfrm>
          <a:off x="2231013" y="7633354"/>
          <a:ext cx="1618757" cy="50821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차기 품질경영검토 반영</a:t>
          </a:r>
        </a:p>
      </xdr:txBody>
    </xdr:sp>
    <xdr:clientData/>
  </xdr:twoCellAnchor>
  <xdr:twoCellAnchor>
    <xdr:from>
      <xdr:col>8</xdr:col>
      <xdr:colOff>231952</xdr:colOff>
      <xdr:row>14</xdr:row>
      <xdr:rowOff>103272</xdr:rowOff>
    </xdr:from>
    <xdr:to>
      <xdr:col>11</xdr:col>
      <xdr:colOff>332966</xdr:colOff>
      <xdr:row>17</xdr:row>
      <xdr:rowOff>59929</xdr:rowOff>
    </xdr:to>
    <xdr:sp macro="" textlink="">
      <xdr:nvSpPr>
        <xdr:cNvPr id="15" name="Text Box 75">
          <a:extLst>
            <a:ext uri="{FF2B5EF4-FFF2-40B4-BE49-F238E27FC236}">
              <a16:creationId xmlns:a16="http://schemas.microsoft.com/office/drawing/2014/main" id="{9644778C-A6C9-49C3-9ED4-96A2041BB39A}"/>
            </a:ext>
          </a:extLst>
        </xdr:cNvPr>
        <xdr:cNvSpPr txBox="1">
          <a:spLocks noChangeArrowheads="1"/>
        </xdr:cNvSpPr>
      </xdr:nvSpPr>
      <xdr:spPr bwMode="auto">
        <a:xfrm>
          <a:off x="4270552" y="2979822"/>
          <a:ext cx="1615489" cy="471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현장소장 보고</a:t>
          </a:r>
        </a:p>
      </xdr:txBody>
    </xdr:sp>
    <xdr:clientData/>
  </xdr:twoCellAnchor>
  <xdr:twoCellAnchor>
    <xdr:from>
      <xdr:col>7</xdr:col>
      <xdr:colOff>304770</xdr:colOff>
      <xdr:row>15</xdr:row>
      <xdr:rowOff>166824</xdr:rowOff>
    </xdr:from>
    <xdr:to>
      <xdr:col>8</xdr:col>
      <xdr:colOff>231952</xdr:colOff>
      <xdr:row>16</xdr:row>
      <xdr:rowOff>3706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CE98D5-6EAC-4845-BA33-4A375CACA5FE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3838545" y="3214824"/>
          <a:ext cx="432007" cy="8332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231918</xdr:colOff>
      <xdr:row>20</xdr:row>
      <xdr:rowOff>7116</xdr:rowOff>
    </xdr:from>
    <xdr:to>
      <xdr:col>11</xdr:col>
      <xdr:colOff>332932</xdr:colOff>
      <xdr:row>22</xdr:row>
      <xdr:rowOff>131862</xdr:rowOff>
    </xdr:to>
    <xdr:sp macro="" textlink="">
      <xdr:nvSpPr>
        <xdr:cNvPr id="17" name="Text Box 75">
          <a:extLst>
            <a:ext uri="{FF2B5EF4-FFF2-40B4-BE49-F238E27FC236}">
              <a16:creationId xmlns:a16="http://schemas.microsoft.com/office/drawing/2014/main" id="{1F0389AF-53CD-47C5-B185-F31E412E1CDB}"/>
            </a:ext>
          </a:extLst>
        </xdr:cNvPr>
        <xdr:cNvSpPr txBox="1">
          <a:spLocks noChangeArrowheads="1"/>
        </xdr:cNvSpPr>
      </xdr:nvSpPr>
      <xdr:spPr bwMode="auto">
        <a:xfrm>
          <a:off x="4270518" y="3912366"/>
          <a:ext cx="1615489" cy="4676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품질경영검토 회의 실시</a:t>
          </a:r>
        </a:p>
      </xdr:txBody>
    </xdr:sp>
    <xdr:clientData/>
  </xdr:twoCellAnchor>
  <xdr:twoCellAnchor>
    <xdr:from>
      <xdr:col>4</xdr:col>
      <xdr:colOff>213655</xdr:colOff>
      <xdr:row>25</xdr:row>
      <xdr:rowOff>55813</xdr:rowOff>
    </xdr:from>
    <xdr:to>
      <xdr:col>7</xdr:col>
      <xdr:colOff>314668</xdr:colOff>
      <xdr:row>28</xdr:row>
      <xdr:rowOff>12471</xdr:rowOff>
    </xdr:to>
    <xdr:sp macro="" textlink="">
      <xdr:nvSpPr>
        <xdr:cNvPr id="18" name="Text Box 75">
          <a:extLst>
            <a:ext uri="{FF2B5EF4-FFF2-40B4-BE49-F238E27FC236}">
              <a16:creationId xmlns:a16="http://schemas.microsoft.com/office/drawing/2014/main" id="{DD7A6DA1-6755-4826-98DF-9BA7623ADB02}"/>
            </a:ext>
          </a:extLst>
        </xdr:cNvPr>
        <xdr:cNvSpPr txBox="1">
          <a:spLocks noChangeArrowheads="1"/>
        </xdr:cNvSpPr>
      </xdr:nvSpPr>
      <xdr:spPr bwMode="auto">
        <a:xfrm>
          <a:off x="2232955" y="4818313"/>
          <a:ext cx="1615488" cy="4710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지적사항 및 권고사항</a:t>
          </a:r>
          <a:endParaRPr lang="en-US" altLang="ko-KR" sz="1000">
            <a:latin typeface="맑은 고딕" pitchFamily="50" charset="-127"/>
            <a:ea typeface="맑은 고딕" pitchFamily="50" charset="-127"/>
          </a:endParaRPr>
        </a:p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전달</a:t>
          </a:r>
        </a:p>
      </xdr:txBody>
    </xdr:sp>
    <xdr:clientData/>
  </xdr:twoCellAnchor>
  <xdr:twoCellAnchor>
    <xdr:from>
      <xdr:col>10</xdr:col>
      <xdr:colOff>29260</xdr:colOff>
      <xdr:row>17</xdr:row>
      <xdr:rowOff>59929</xdr:rowOff>
    </xdr:from>
    <xdr:to>
      <xdr:col>10</xdr:col>
      <xdr:colOff>29294</xdr:colOff>
      <xdr:row>20</xdr:row>
      <xdr:rowOff>7116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E43A14C7-DA15-4F7A-A27E-1AE23B941270}"/>
            </a:ext>
          </a:extLst>
        </xdr:cNvPr>
        <xdr:cNvCxnSpPr>
          <a:stCxn id="15" idx="2"/>
          <a:endCxn id="17" idx="0"/>
        </xdr:cNvCxnSpPr>
      </xdr:nvCxnSpPr>
      <xdr:spPr>
        <a:xfrm flipH="1">
          <a:off x="5077510" y="3450829"/>
          <a:ext cx="34" cy="461537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29260</xdr:colOff>
      <xdr:row>22</xdr:row>
      <xdr:rowOff>131862</xdr:rowOff>
    </xdr:from>
    <xdr:to>
      <xdr:col>10</xdr:col>
      <xdr:colOff>32573</xdr:colOff>
      <xdr:row>25</xdr:row>
      <xdr:rowOff>55770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51C4CAB6-3B69-447B-96A8-3F9173A92325}"/>
            </a:ext>
          </a:extLst>
        </xdr:cNvPr>
        <xdr:cNvCxnSpPr>
          <a:stCxn id="17" idx="2"/>
          <a:endCxn id="23" idx="0"/>
        </xdr:cNvCxnSpPr>
      </xdr:nvCxnSpPr>
      <xdr:spPr>
        <a:xfrm>
          <a:off x="5077510" y="4380012"/>
          <a:ext cx="3313" cy="438258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185535</xdr:colOff>
      <xdr:row>36</xdr:row>
      <xdr:rowOff>73482</xdr:rowOff>
    </xdr:from>
    <xdr:to>
      <xdr:col>3</xdr:col>
      <xdr:colOff>286548</xdr:colOff>
      <xdr:row>39</xdr:row>
      <xdr:rowOff>30139</xdr:rowOff>
    </xdr:to>
    <xdr:sp macro="" textlink="">
      <xdr:nvSpPr>
        <xdr:cNvPr id="21" name="Text Box 75">
          <a:extLst>
            <a:ext uri="{FF2B5EF4-FFF2-40B4-BE49-F238E27FC236}">
              <a16:creationId xmlns:a16="http://schemas.microsoft.com/office/drawing/2014/main" id="{3B279A1E-7F00-482D-9547-D370BAB1FD14}"/>
            </a:ext>
          </a:extLst>
        </xdr:cNvPr>
        <xdr:cNvSpPr txBox="1">
          <a:spLocks noChangeArrowheads="1"/>
        </xdr:cNvSpPr>
      </xdr:nvSpPr>
      <xdr:spPr bwMode="auto">
        <a:xfrm>
          <a:off x="185535" y="6721932"/>
          <a:ext cx="1615488" cy="471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시정조치 사항에 대한</a:t>
          </a:r>
          <a:endParaRPr lang="en-US" altLang="ko-KR" sz="1000">
            <a:latin typeface="맑은 고딕" pitchFamily="50" charset="-127"/>
            <a:ea typeface="맑은 고딕" pitchFamily="50" charset="-127"/>
          </a:endParaRPr>
        </a:p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검토 및 후속조치 이행</a:t>
          </a:r>
        </a:p>
      </xdr:txBody>
    </xdr:sp>
    <xdr:clientData/>
  </xdr:twoCellAnchor>
  <xdr:twoCellAnchor>
    <xdr:from>
      <xdr:col>6</xdr:col>
      <xdr:colOff>10997</xdr:colOff>
      <xdr:row>28</xdr:row>
      <xdr:rowOff>12471</xdr:rowOff>
    </xdr:from>
    <xdr:to>
      <xdr:col>6</xdr:col>
      <xdr:colOff>11008</xdr:colOff>
      <xdr:row>30</xdr:row>
      <xdr:rowOff>155281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8CD7EF97-501F-4197-AFA2-AEB5B21D505A}"/>
            </a:ext>
          </a:extLst>
        </xdr:cNvPr>
        <xdr:cNvCxnSpPr>
          <a:stCxn id="18" idx="2"/>
          <a:endCxn id="11" idx="0"/>
        </xdr:cNvCxnSpPr>
      </xdr:nvCxnSpPr>
      <xdr:spPr>
        <a:xfrm>
          <a:off x="3039947" y="5289321"/>
          <a:ext cx="11" cy="485710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235231</xdr:colOff>
      <xdr:row>25</xdr:row>
      <xdr:rowOff>55770</xdr:rowOff>
    </xdr:from>
    <xdr:to>
      <xdr:col>11</xdr:col>
      <xdr:colOff>336245</xdr:colOff>
      <xdr:row>28</xdr:row>
      <xdr:rowOff>12428</xdr:rowOff>
    </xdr:to>
    <xdr:sp macro="" textlink="">
      <xdr:nvSpPr>
        <xdr:cNvPr id="23" name="Text Box 75">
          <a:extLst>
            <a:ext uri="{FF2B5EF4-FFF2-40B4-BE49-F238E27FC236}">
              <a16:creationId xmlns:a16="http://schemas.microsoft.com/office/drawing/2014/main" id="{E0BC9DC6-C3CC-4E2B-A4EC-1E45CC13183B}"/>
            </a:ext>
          </a:extLst>
        </xdr:cNvPr>
        <xdr:cNvSpPr txBox="1">
          <a:spLocks noChangeArrowheads="1"/>
        </xdr:cNvSpPr>
      </xdr:nvSpPr>
      <xdr:spPr bwMode="auto">
        <a:xfrm>
          <a:off x="4273831" y="4818270"/>
          <a:ext cx="1615489" cy="4710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현장소장 총평을 반영한</a:t>
          </a:r>
          <a:endParaRPr lang="en-US" altLang="ko-KR" sz="1000">
            <a:latin typeface="맑은 고딕" pitchFamily="50" charset="-127"/>
            <a:ea typeface="맑은 고딕" pitchFamily="50" charset="-127"/>
          </a:endParaRPr>
        </a:p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품질경영검토 보고서</a:t>
          </a:r>
        </a:p>
      </xdr:txBody>
    </xdr:sp>
    <xdr:clientData/>
  </xdr:twoCellAnchor>
  <xdr:twoCellAnchor>
    <xdr:from>
      <xdr:col>6</xdr:col>
      <xdr:colOff>10637</xdr:colOff>
      <xdr:row>39</xdr:row>
      <xdr:rowOff>28570</xdr:rowOff>
    </xdr:from>
    <xdr:to>
      <xdr:col>6</xdr:col>
      <xdr:colOff>11903</xdr:colOff>
      <xdr:row>41</xdr:row>
      <xdr:rowOff>127654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1261E935-7882-4910-BD34-0874626D12B6}"/>
            </a:ext>
          </a:extLst>
        </xdr:cNvPr>
        <xdr:cNvCxnSpPr>
          <a:stCxn id="13" idx="2"/>
          <a:endCxn id="14" idx="0"/>
        </xdr:cNvCxnSpPr>
      </xdr:nvCxnSpPr>
      <xdr:spPr>
        <a:xfrm>
          <a:off x="3039587" y="7191370"/>
          <a:ext cx="1266" cy="441984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314668</xdr:colOff>
      <xdr:row>26</xdr:row>
      <xdr:rowOff>116964</xdr:rowOff>
    </xdr:from>
    <xdr:to>
      <xdr:col>8</xdr:col>
      <xdr:colOff>235231</xdr:colOff>
      <xdr:row>26</xdr:row>
      <xdr:rowOff>117007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DFB968AC-4C28-446B-838D-C577FFDB311A}"/>
            </a:ext>
          </a:extLst>
        </xdr:cNvPr>
        <xdr:cNvCxnSpPr>
          <a:stCxn id="23" idx="1"/>
          <a:endCxn id="18" idx="3"/>
        </xdr:cNvCxnSpPr>
      </xdr:nvCxnSpPr>
      <xdr:spPr>
        <a:xfrm flipH="1">
          <a:off x="3848443" y="5050914"/>
          <a:ext cx="425388" cy="43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10456</xdr:colOff>
      <xdr:row>33</xdr:row>
      <xdr:rowOff>162791</xdr:rowOff>
    </xdr:from>
    <xdr:to>
      <xdr:col>6</xdr:col>
      <xdr:colOff>12039</xdr:colOff>
      <xdr:row>36</xdr:row>
      <xdr:rowOff>71913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A7FD1051-52A0-4745-AC37-A264A91EAFBF}"/>
            </a:ext>
          </a:extLst>
        </xdr:cNvPr>
        <xdr:cNvCxnSpPr>
          <a:stCxn id="11" idx="2"/>
          <a:endCxn id="13" idx="0"/>
        </xdr:cNvCxnSpPr>
      </xdr:nvCxnSpPr>
      <xdr:spPr>
        <a:xfrm flipH="1">
          <a:off x="3039406" y="6296891"/>
          <a:ext cx="1583" cy="423472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286548</xdr:colOff>
      <xdr:row>37</xdr:row>
      <xdr:rowOff>134285</xdr:rowOff>
    </xdr:from>
    <xdr:to>
      <xdr:col>4</xdr:col>
      <xdr:colOff>212082</xdr:colOff>
      <xdr:row>37</xdr:row>
      <xdr:rowOff>135854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E0CDA816-C816-482F-8616-BC28B9E92BA5}"/>
            </a:ext>
          </a:extLst>
        </xdr:cNvPr>
        <xdr:cNvCxnSpPr>
          <a:stCxn id="21" idx="3"/>
          <a:endCxn id="13" idx="1"/>
        </xdr:cNvCxnSpPr>
      </xdr:nvCxnSpPr>
      <xdr:spPr>
        <a:xfrm flipV="1">
          <a:off x="1801023" y="6954185"/>
          <a:ext cx="430359" cy="1569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11903</xdr:colOff>
      <xdr:row>43</xdr:row>
      <xdr:rowOff>140570</xdr:rowOff>
    </xdr:from>
    <xdr:to>
      <xdr:col>6</xdr:col>
      <xdr:colOff>13812</xdr:colOff>
      <xdr:row>44</xdr:row>
      <xdr:rowOff>35457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93562255-3A36-4FFC-AFBF-5B9D03187631}"/>
            </a:ext>
          </a:extLst>
        </xdr:cNvPr>
        <xdr:cNvCxnSpPr>
          <a:stCxn id="14" idx="2"/>
        </xdr:cNvCxnSpPr>
      </xdr:nvCxnSpPr>
      <xdr:spPr>
        <a:xfrm>
          <a:off x="3040853" y="8141570"/>
          <a:ext cx="1909" cy="399712"/>
        </a:xfrm>
        <a:prstGeom prst="straightConnector1">
          <a:avLst/>
        </a:prstGeom>
        <a:ln w="9525">
          <a:solidFill>
            <a:schemeClr val="tx1">
              <a:lumMod val="85000"/>
              <a:lumOff val="15000"/>
            </a:schemeClr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346157</xdr:colOff>
      <xdr:row>31</xdr:row>
      <xdr:rowOff>27866</xdr:rowOff>
    </xdr:from>
    <xdr:to>
      <xdr:col>4</xdr:col>
      <xdr:colOff>164949</xdr:colOff>
      <xdr:row>32</xdr:row>
      <xdr:rowOff>55744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7631FE71-DCF0-4F27-9425-C4D25AAE6CB1}"/>
            </a:ext>
          </a:extLst>
        </xdr:cNvPr>
        <xdr:cNvSpPr/>
      </xdr:nvSpPr>
      <xdr:spPr>
        <a:xfrm>
          <a:off x="1860632" y="5819066"/>
          <a:ext cx="323617" cy="1993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Yes</a:t>
          </a:r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10694</xdr:colOff>
      <xdr:row>34</xdr:row>
      <xdr:rowOff>17646</xdr:rowOff>
    </xdr:from>
    <xdr:to>
      <xdr:col>6</xdr:col>
      <xdr:colOff>335938</xdr:colOff>
      <xdr:row>35</xdr:row>
      <xdr:rowOff>45524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95A575E-F000-4732-8E0C-99689845F448}"/>
            </a:ext>
          </a:extLst>
        </xdr:cNvPr>
        <xdr:cNvSpPr/>
      </xdr:nvSpPr>
      <xdr:spPr>
        <a:xfrm>
          <a:off x="3039644" y="6323196"/>
          <a:ext cx="325244" cy="1993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No</a:t>
          </a:r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8</xdr:col>
      <xdr:colOff>234408</xdr:colOff>
      <xdr:row>4</xdr:row>
      <xdr:rowOff>171232</xdr:rowOff>
    </xdr:from>
    <xdr:to>
      <xdr:col>11</xdr:col>
      <xdr:colOff>335421</xdr:colOff>
      <xdr:row>7</xdr:row>
      <xdr:rowOff>89790</xdr:rowOff>
    </xdr:to>
    <xdr:sp macro="" textlink="">
      <xdr:nvSpPr>
        <xdr:cNvPr id="31" name="Text Box 72">
          <a:extLst>
            <a:ext uri="{FF2B5EF4-FFF2-40B4-BE49-F238E27FC236}">
              <a16:creationId xmlns:a16="http://schemas.microsoft.com/office/drawing/2014/main" id="{4B5BAE45-F52C-4C9E-9F84-F8404833A1F4}"/>
            </a:ext>
          </a:extLst>
        </xdr:cNvPr>
        <xdr:cNvSpPr txBox="1">
          <a:spLocks noChangeArrowheads="1"/>
        </xdr:cNvSpPr>
      </xdr:nvSpPr>
      <xdr:spPr bwMode="auto">
        <a:xfrm>
          <a:off x="4273008" y="1295182"/>
          <a:ext cx="1615488" cy="4710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경영검토 대상 설정</a:t>
          </a:r>
        </a:p>
      </xdr:txBody>
    </xdr:sp>
    <xdr:clientData/>
  </xdr:twoCellAnchor>
  <xdr:twoCellAnchor>
    <xdr:from>
      <xdr:col>4</xdr:col>
      <xdr:colOff>215523</xdr:colOff>
      <xdr:row>44</xdr:row>
      <xdr:rowOff>49549</xdr:rowOff>
    </xdr:from>
    <xdr:to>
      <xdr:col>7</xdr:col>
      <xdr:colOff>319805</xdr:colOff>
      <xdr:row>45</xdr:row>
      <xdr:rowOff>310115</xdr:rowOff>
    </xdr:to>
    <xdr:sp macro="" textlink="">
      <xdr:nvSpPr>
        <xdr:cNvPr id="32" name="Text Box 75">
          <a:extLst>
            <a:ext uri="{FF2B5EF4-FFF2-40B4-BE49-F238E27FC236}">
              <a16:creationId xmlns:a16="http://schemas.microsoft.com/office/drawing/2014/main" id="{BE92AAB1-6B2A-47FD-8A42-B9F133A28D9E}"/>
            </a:ext>
          </a:extLst>
        </xdr:cNvPr>
        <xdr:cNvSpPr txBox="1">
          <a:spLocks noChangeArrowheads="1"/>
        </xdr:cNvSpPr>
      </xdr:nvSpPr>
      <xdr:spPr bwMode="auto">
        <a:xfrm>
          <a:off x="2234823" y="8555374"/>
          <a:ext cx="1618757" cy="50821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anchorCtr="0" upright="1"/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00">
              <a:latin typeface="맑은 고딕" pitchFamily="50" charset="-127"/>
              <a:ea typeface="맑은 고딕" pitchFamily="50" charset="-127"/>
            </a:rPr>
            <a:t>문서화된 정보로 유지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1</xdr:row>
      <xdr:rowOff>76200</xdr:rowOff>
    </xdr:from>
    <xdr:to>
      <xdr:col>11</xdr:col>
      <xdr:colOff>142874</xdr:colOff>
      <xdr:row>3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CCC56D-CA47-43A3-BD2B-60614D322E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71450"/>
          <a:ext cx="145732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173492</xdr:colOff>
      <xdr:row>6</xdr:row>
      <xdr:rowOff>122463</xdr:rowOff>
    </xdr:from>
    <xdr:to>
      <xdr:col>25</xdr:col>
      <xdr:colOff>99563</xdr:colOff>
      <xdr:row>6</xdr:row>
      <xdr:rowOff>122463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14DC46AB-778A-41A3-8956-C576BB539A20}"/>
            </a:ext>
          </a:extLst>
        </xdr:cNvPr>
        <xdr:cNvCxnSpPr/>
      </xdr:nvCxnSpPr>
      <xdr:spPr>
        <a:xfrm>
          <a:off x="1573667" y="1532163"/>
          <a:ext cx="35265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616323</xdr:colOff>
      <xdr:row>76</xdr:row>
      <xdr:rowOff>224118</xdr:rowOff>
    </xdr:from>
    <xdr:to>
      <xdr:col>40</xdr:col>
      <xdr:colOff>11205</xdr:colOff>
      <xdr:row>81</xdr:row>
      <xdr:rowOff>168089</xdr:rowOff>
    </xdr:to>
    <xdr:sp macro="" textlink="">
      <xdr:nvSpPr>
        <xdr:cNvPr id="2" name="텍스트 상자 2">
          <a:extLst>
            <a:ext uri="{FF2B5EF4-FFF2-40B4-BE49-F238E27FC236}">
              <a16:creationId xmlns:a16="http://schemas.microsoft.com/office/drawing/2014/main" id="{667AA0A6-5F3D-40C6-8E1D-77599FBB4C66}"/>
            </a:ext>
          </a:extLst>
        </xdr:cNvPr>
        <xdr:cNvSpPr txBox="1">
          <a:spLocks noChangeArrowheads="1"/>
        </xdr:cNvSpPr>
      </xdr:nvSpPr>
      <xdr:spPr bwMode="auto">
        <a:xfrm>
          <a:off x="7059705" y="17503589"/>
          <a:ext cx="4179794" cy="1176618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</a:p>
        <a:p>
          <a:pPr algn="just" latinLnBrk="1">
            <a:spcAft>
              <a:spcPts val="0"/>
            </a:spcAft>
          </a:pPr>
          <a:r>
            <a:rPr lang="ko-KR" altLang="en-US" sz="1100" b="0">
              <a:effectLst/>
              <a:latin typeface="+mn-ea"/>
              <a:ea typeface="+mn-ea"/>
              <a:cs typeface="+mn-cs"/>
            </a:rPr>
            <a:t>안전</a:t>
          </a:r>
          <a:r>
            <a:rPr lang="en-US" altLang="ko-KR" sz="1100" b="0"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>
              <a:effectLst/>
              <a:latin typeface="+mn-ea"/>
              <a:ea typeface="+mn-ea"/>
              <a:cs typeface="+mn-cs"/>
            </a:rPr>
            <a:t>환경</a:t>
          </a:r>
          <a:r>
            <a:rPr lang="en-US" altLang="ko-KR" sz="1100" b="0"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>
              <a:effectLst/>
              <a:latin typeface="+mn-ea"/>
              <a:ea typeface="+mn-ea"/>
              <a:cs typeface="+mn-cs"/>
            </a:rPr>
            <a:t>설계 등 요구사항에 없는 내용은</a:t>
          </a:r>
          <a:endParaRPr lang="en-US" altLang="ko-KR" sz="1100" b="0">
            <a:effectLst/>
            <a:latin typeface="+mn-ea"/>
            <a:ea typeface="+mn-ea"/>
            <a:cs typeface="+mn-cs"/>
          </a:endParaRPr>
        </a:p>
        <a:p>
          <a:pPr algn="just" latinLnBrk="1">
            <a:spcAft>
              <a:spcPts val="0"/>
            </a:spcAft>
          </a:pPr>
          <a:r>
            <a:rPr lang="ko-KR" altLang="en-US" sz="1100" b="0">
              <a:effectLst/>
              <a:latin typeface="+mn-ea"/>
              <a:ea typeface="+mn-ea"/>
              <a:cs typeface="+mn-cs"/>
            </a:rPr>
            <a:t>관리계획서 요구사항 중 </a:t>
          </a:r>
          <a:r>
            <a:rPr lang="en-US" altLang="ko-KR" sz="1100" b="0">
              <a:effectLst/>
              <a:latin typeface="+mn-ea"/>
              <a:ea typeface="+mn-ea"/>
              <a:cs typeface="+mn-cs"/>
            </a:rPr>
            <a:t>"</a:t>
          </a:r>
          <a:r>
            <a:rPr lang="ko-KR" altLang="en-US" sz="1100" b="0">
              <a:effectLst/>
              <a:latin typeface="+mn-ea"/>
              <a:ea typeface="+mn-ea"/>
              <a:cs typeface="+mn-cs"/>
            </a:rPr>
            <a:t>건설공사 수행에 영향을 줄수 있는 내</a:t>
          </a:r>
          <a:r>
            <a:rPr lang="en-US" altLang="ko-KR" sz="1100" b="0">
              <a:effectLst/>
              <a:latin typeface="+mn-ea"/>
              <a:ea typeface="+mn-ea"/>
              <a:cs typeface="+mn-cs"/>
            </a:rPr>
            <a:t>·</a:t>
          </a:r>
          <a:r>
            <a:rPr lang="ko-KR" altLang="en-US" sz="1100" b="0">
              <a:effectLst/>
              <a:latin typeface="+mn-ea"/>
              <a:ea typeface="+mn-ea"/>
              <a:cs typeface="+mn-cs"/>
            </a:rPr>
            <a:t>외부 이슈사항</a:t>
          </a:r>
          <a:r>
            <a:rPr lang="en-US" altLang="ko-KR" sz="1100" b="0">
              <a:effectLst/>
              <a:latin typeface="+mn-ea"/>
              <a:ea typeface="+mn-ea"/>
              <a:cs typeface="+mn-cs"/>
            </a:rPr>
            <a:t>"</a:t>
          </a:r>
          <a:r>
            <a:rPr lang="ko-KR" altLang="en-US" sz="1100" b="0">
              <a:effectLst/>
              <a:latin typeface="+mn-ea"/>
              <a:ea typeface="+mn-ea"/>
              <a:cs typeface="+mn-cs"/>
            </a:rPr>
            <a:t>으로 포함으로 최소 설계 부분은 작성</a:t>
          </a:r>
          <a:r>
            <a:rPr lang="ko-KR" altLang="en-US" sz="1100" b="0" baseline="0">
              <a:effectLst/>
              <a:latin typeface="+mn-ea"/>
              <a:ea typeface="+mn-ea"/>
              <a:cs typeface="+mn-cs"/>
            </a:rPr>
            <a:t> 필요함</a:t>
          </a:r>
          <a:endParaRPr lang="ko-KR" altLang="ko-KR" sz="1100" b="0"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149679</xdr:colOff>
      <xdr:row>10</xdr:row>
      <xdr:rowOff>170088</xdr:rowOff>
    </xdr:from>
    <xdr:to>
      <xdr:col>13</xdr:col>
      <xdr:colOff>680357</xdr:colOff>
      <xdr:row>32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1F516-DB37-43E8-B0AB-9D2747677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15</xdr:col>
      <xdr:colOff>13607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FE83A-193D-411F-B75C-B218D442B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217714</xdr:colOff>
      <xdr:row>8</xdr:row>
      <xdr:rowOff>81643</xdr:rowOff>
    </xdr:from>
    <xdr:to>
      <xdr:col>14</xdr:col>
      <xdr:colOff>593271</xdr:colOff>
      <xdr:row>10</xdr:row>
      <xdr:rowOff>108857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172BAAB-C3D5-4500-8E51-8188C5AE4711}"/>
            </a:ext>
          </a:extLst>
        </xdr:cNvPr>
        <xdr:cNvSpPr txBox="1">
          <a:spLocks noChangeArrowheads="1"/>
        </xdr:cNvSpPr>
      </xdr:nvSpPr>
      <xdr:spPr bwMode="auto">
        <a:xfrm>
          <a:off x="8266339" y="1719943"/>
          <a:ext cx="1032782" cy="370114"/>
        </a:xfrm>
        <a:prstGeom prst="rect">
          <a:avLst/>
        </a:prstGeom>
        <a:solidFill>
          <a:srgbClr val="FFFFFF"/>
        </a:solidFill>
        <a:ln w="2540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: 2% 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이내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-1</xdr:rowOff>
    </xdr:from>
    <xdr:to>
      <xdr:col>16</xdr:col>
      <xdr:colOff>0</xdr:colOff>
      <xdr:row>33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61040-2946-4573-B527-CDBF6CF25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631A-8D94-4F65-B599-68C5343298AC}">
  <sheetPr>
    <pageSetUpPr fitToPage="1"/>
  </sheetPr>
  <dimension ref="A1:O46"/>
  <sheetViews>
    <sheetView showGridLines="0" view="pageBreakPreview" zoomScale="85" zoomScaleNormal="100" zoomScaleSheetLayoutView="85" workbookViewId="0">
      <selection activeCell="P10" sqref="P10"/>
    </sheetView>
  </sheetViews>
  <sheetFormatPr defaultColWidth="9" defaultRowHeight="13.5" x14ac:dyDescent="0.3"/>
  <cols>
    <col min="1" max="12" width="6.625" style="1" customWidth="1"/>
    <col min="13" max="16384" width="9" style="1"/>
  </cols>
  <sheetData>
    <row r="1" spans="1:15" ht="38.1" customHeigh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5" ht="9.9499999999999993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5" ht="27.95" customHeight="1" x14ac:dyDescent="0.3">
      <c r="A3" s="171" t="s">
        <v>1</v>
      </c>
      <c r="B3" s="171"/>
      <c r="C3" s="171"/>
      <c r="D3" s="171"/>
      <c r="E3" s="172" t="s">
        <v>2</v>
      </c>
      <c r="F3" s="172"/>
      <c r="G3" s="172"/>
      <c r="H3" s="172"/>
      <c r="I3" s="171" t="s">
        <v>3</v>
      </c>
      <c r="J3" s="171"/>
      <c r="K3" s="171"/>
      <c r="L3" s="171"/>
    </row>
    <row r="4" spans="1:15" x14ac:dyDescent="0.3">
      <c r="A4" s="165"/>
      <c r="B4" s="166"/>
      <c r="C4" s="166"/>
      <c r="D4" s="166"/>
      <c r="E4" s="167"/>
      <c r="F4" s="167"/>
      <c r="G4" s="167"/>
      <c r="H4" s="167"/>
      <c r="I4" s="166"/>
      <c r="J4" s="166"/>
      <c r="K4" s="166"/>
      <c r="L4" s="168"/>
    </row>
    <row r="5" spans="1:15" x14ac:dyDescent="0.3">
      <c r="A5" s="165"/>
      <c r="B5" s="166"/>
      <c r="C5" s="166"/>
      <c r="D5" s="166"/>
      <c r="E5" s="167"/>
      <c r="F5" s="167"/>
      <c r="G5" s="167"/>
      <c r="H5" s="167"/>
      <c r="I5" s="166"/>
      <c r="J5" s="166"/>
      <c r="K5" s="166"/>
      <c r="L5" s="168"/>
    </row>
    <row r="6" spans="1:15" x14ac:dyDescent="0.3">
      <c r="A6" s="165"/>
      <c r="B6" s="166"/>
      <c r="C6" s="166"/>
      <c r="D6" s="166"/>
      <c r="E6" s="167"/>
      <c r="F6" s="167"/>
      <c r="G6" s="167"/>
      <c r="H6" s="167"/>
      <c r="I6" s="166"/>
      <c r="J6" s="166"/>
      <c r="K6" s="166"/>
      <c r="L6" s="168"/>
    </row>
    <row r="7" spans="1:15" ht="16.5" x14ac:dyDescent="0.3">
      <c r="A7" s="165"/>
      <c r="B7" s="166"/>
      <c r="C7" s="166"/>
      <c r="D7" s="166"/>
      <c r="E7" s="167"/>
      <c r="F7" s="167"/>
      <c r="G7" s="167"/>
      <c r="H7" s="167"/>
      <c r="I7" s="166"/>
      <c r="J7" s="166"/>
      <c r="K7" s="166"/>
      <c r="L7" s="168"/>
      <c r="O7"/>
    </row>
    <row r="8" spans="1:15" x14ac:dyDescent="0.3">
      <c r="A8" s="165"/>
      <c r="B8" s="166"/>
      <c r="C8" s="166"/>
      <c r="D8" s="166"/>
      <c r="E8" s="167"/>
      <c r="F8" s="167"/>
      <c r="G8" s="167"/>
      <c r="H8" s="167"/>
      <c r="I8" s="166"/>
      <c r="J8" s="166"/>
      <c r="K8" s="166"/>
      <c r="L8" s="168"/>
    </row>
    <row r="9" spans="1:15" x14ac:dyDescent="0.3">
      <c r="A9" s="165"/>
      <c r="B9" s="166"/>
      <c r="C9" s="166"/>
      <c r="D9" s="166"/>
      <c r="E9" s="167"/>
      <c r="F9" s="167"/>
      <c r="G9" s="167"/>
      <c r="H9" s="167"/>
      <c r="I9" s="166"/>
      <c r="J9" s="166"/>
      <c r="K9" s="166"/>
      <c r="L9" s="168"/>
    </row>
    <row r="10" spans="1:15" x14ac:dyDescent="0.3">
      <c r="A10" s="165"/>
      <c r="B10" s="166"/>
      <c r="C10" s="166"/>
      <c r="D10" s="166"/>
      <c r="E10" s="167"/>
      <c r="F10" s="167"/>
      <c r="G10" s="167"/>
      <c r="H10" s="167"/>
      <c r="I10" s="166"/>
      <c r="J10" s="166"/>
      <c r="K10" s="166"/>
      <c r="L10" s="168"/>
    </row>
    <row r="11" spans="1:15" x14ac:dyDescent="0.3">
      <c r="A11" s="165"/>
      <c r="B11" s="166"/>
      <c r="C11" s="166"/>
      <c r="D11" s="166"/>
      <c r="E11" s="167"/>
      <c r="F11" s="167"/>
      <c r="G11" s="167"/>
      <c r="H11" s="167"/>
      <c r="I11" s="166"/>
      <c r="J11" s="166"/>
      <c r="K11" s="166"/>
      <c r="L11" s="168"/>
    </row>
    <row r="12" spans="1:15" x14ac:dyDescent="0.3">
      <c r="A12" s="165"/>
      <c r="B12" s="166"/>
      <c r="C12" s="166"/>
      <c r="D12" s="166"/>
      <c r="E12" s="167"/>
      <c r="F12" s="167"/>
      <c r="G12" s="167"/>
      <c r="H12" s="167"/>
      <c r="I12" s="166"/>
      <c r="J12" s="166"/>
      <c r="K12" s="166"/>
      <c r="L12" s="168"/>
    </row>
    <row r="13" spans="1:15" x14ac:dyDescent="0.3">
      <c r="A13" s="165"/>
      <c r="B13" s="166"/>
      <c r="C13" s="166"/>
      <c r="D13" s="166"/>
      <c r="E13" s="167"/>
      <c r="F13" s="167"/>
      <c r="G13" s="167"/>
      <c r="H13" s="167"/>
      <c r="I13" s="166"/>
      <c r="J13" s="166"/>
      <c r="K13" s="166"/>
      <c r="L13" s="168"/>
    </row>
    <row r="14" spans="1:15" x14ac:dyDescent="0.3">
      <c r="A14" s="165"/>
      <c r="B14" s="166"/>
      <c r="C14" s="166"/>
      <c r="D14" s="166"/>
      <c r="E14" s="167"/>
      <c r="F14" s="167"/>
      <c r="G14" s="167"/>
      <c r="H14" s="167"/>
      <c r="I14" s="166"/>
      <c r="J14" s="166"/>
      <c r="K14" s="166"/>
      <c r="L14" s="168"/>
    </row>
    <row r="15" spans="1:15" x14ac:dyDescent="0.3">
      <c r="A15" s="165"/>
      <c r="B15" s="166"/>
      <c r="C15" s="166"/>
      <c r="D15" s="166"/>
      <c r="E15" s="167"/>
      <c r="F15" s="167"/>
      <c r="G15" s="167"/>
      <c r="H15" s="167"/>
      <c r="I15" s="166"/>
      <c r="J15" s="166"/>
      <c r="K15" s="166"/>
      <c r="L15" s="168"/>
    </row>
    <row r="16" spans="1:15" x14ac:dyDescent="0.3">
      <c r="A16" s="165"/>
      <c r="B16" s="166"/>
      <c r="C16" s="166"/>
      <c r="D16" s="166"/>
      <c r="E16" s="167"/>
      <c r="F16" s="167"/>
      <c r="G16" s="167"/>
      <c r="H16" s="167"/>
      <c r="I16" s="166"/>
      <c r="J16" s="166"/>
      <c r="K16" s="166"/>
      <c r="L16" s="168"/>
    </row>
    <row r="17" spans="1:12" x14ac:dyDescent="0.3">
      <c r="A17" s="165"/>
      <c r="B17" s="166"/>
      <c r="C17" s="166"/>
      <c r="D17" s="166"/>
      <c r="E17" s="167"/>
      <c r="F17" s="167"/>
      <c r="G17" s="167"/>
      <c r="H17" s="167"/>
      <c r="I17" s="166"/>
      <c r="J17" s="166"/>
      <c r="K17" s="166"/>
      <c r="L17" s="168"/>
    </row>
    <row r="18" spans="1:12" x14ac:dyDescent="0.3">
      <c r="A18" s="165"/>
      <c r="B18" s="166"/>
      <c r="C18" s="166"/>
      <c r="D18" s="166"/>
      <c r="E18" s="167"/>
      <c r="F18" s="167"/>
      <c r="G18" s="167"/>
      <c r="H18" s="167"/>
      <c r="I18" s="166"/>
      <c r="J18" s="166"/>
      <c r="K18" s="166"/>
      <c r="L18" s="168"/>
    </row>
    <row r="19" spans="1:12" x14ac:dyDescent="0.3">
      <c r="A19" s="165"/>
      <c r="B19" s="166"/>
      <c r="C19" s="166"/>
      <c r="D19" s="166"/>
      <c r="E19" s="167"/>
      <c r="F19" s="167"/>
      <c r="G19" s="167"/>
      <c r="H19" s="167"/>
      <c r="I19" s="166"/>
      <c r="J19" s="166"/>
      <c r="K19" s="166"/>
      <c r="L19" s="168"/>
    </row>
    <row r="20" spans="1:12" x14ac:dyDescent="0.3">
      <c r="A20" s="165"/>
      <c r="B20" s="166"/>
      <c r="C20" s="166"/>
      <c r="D20" s="166"/>
      <c r="E20" s="167"/>
      <c r="F20" s="167"/>
      <c r="G20" s="167"/>
      <c r="H20" s="167"/>
      <c r="I20" s="166"/>
      <c r="J20" s="166"/>
      <c r="K20" s="166"/>
      <c r="L20" s="168"/>
    </row>
    <row r="21" spans="1:12" x14ac:dyDescent="0.3">
      <c r="A21" s="165"/>
      <c r="B21" s="166"/>
      <c r="C21" s="166"/>
      <c r="D21" s="166"/>
      <c r="E21" s="167"/>
      <c r="F21" s="167"/>
      <c r="G21" s="167"/>
      <c r="H21" s="167"/>
      <c r="I21" s="166"/>
      <c r="J21" s="166"/>
      <c r="K21" s="166"/>
      <c r="L21" s="168"/>
    </row>
    <row r="22" spans="1:12" x14ac:dyDescent="0.3">
      <c r="A22" s="165"/>
      <c r="B22" s="166"/>
      <c r="C22" s="166"/>
      <c r="D22" s="166"/>
      <c r="E22" s="167"/>
      <c r="F22" s="167"/>
      <c r="G22" s="167"/>
      <c r="H22" s="167"/>
      <c r="I22" s="166"/>
      <c r="J22" s="166"/>
      <c r="K22" s="166"/>
      <c r="L22" s="168"/>
    </row>
    <row r="23" spans="1:12" x14ac:dyDescent="0.3">
      <c r="A23" s="165"/>
      <c r="B23" s="166"/>
      <c r="C23" s="166"/>
      <c r="D23" s="166"/>
      <c r="E23" s="167"/>
      <c r="F23" s="167"/>
      <c r="G23" s="167"/>
      <c r="H23" s="167"/>
      <c r="I23" s="166"/>
      <c r="J23" s="166"/>
      <c r="K23" s="166"/>
      <c r="L23" s="168"/>
    </row>
    <row r="24" spans="1:12" x14ac:dyDescent="0.3">
      <c r="A24" s="165"/>
      <c r="B24" s="166"/>
      <c r="C24" s="166"/>
      <c r="D24" s="166"/>
      <c r="E24" s="167"/>
      <c r="F24" s="167"/>
      <c r="G24" s="167"/>
      <c r="H24" s="167"/>
      <c r="I24" s="166"/>
      <c r="J24" s="166"/>
      <c r="K24" s="166"/>
      <c r="L24" s="168"/>
    </row>
    <row r="25" spans="1:12" x14ac:dyDescent="0.3">
      <c r="A25" s="165"/>
      <c r="B25" s="166"/>
      <c r="C25" s="166"/>
      <c r="D25" s="166"/>
      <c r="E25" s="167"/>
      <c r="F25" s="167"/>
      <c r="G25" s="167"/>
      <c r="H25" s="167"/>
      <c r="I25" s="166"/>
      <c r="J25" s="166"/>
      <c r="K25" s="166"/>
      <c r="L25" s="168"/>
    </row>
    <row r="26" spans="1:12" x14ac:dyDescent="0.3">
      <c r="A26" s="165"/>
      <c r="B26" s="166"/>
      <c r="C26" s="166"/>
      <c r="D26" s="166"/>
      <c r="E26" s="167"/>
      <c r="F26" s="167"/>
      <c r="G26" s="167"/>
      <c r="H26" s="167"/>
      <c r="I26" s="166"/>
      <c r="J26" s="166"/>
      <c r="K26" s="166"/>
      <c r="L26" s="168"/>
    </row>
    <row r="27" spans="1:12" x14ac:dyDescent="0.3">
      <c r="A27" s="165"/>
      <c r="B27" s="166"/>
      <c r="C27" s="166"/>
      <c r="D27" s="166"/>
      <c r="E27" s="167"/>
      <c r="F27" s="167"/>
      <c r="G27" s="167"/>
      <c r="H27" s="167"/>
      <c r="I27" s="166"/>
      <c r="J27" s="166"/>
      <c r="K27" s="166"/>
      <c r="L27" s="168"/>
    </row>
    <row r="28" spans="1:12" x14ac:dyDescent="0.3">
      <c r="A28" s="165"/>
      <c r="B28" s="166"/>
      <c r="C28" s="166"/>
      <c r="D28" s="166"/>
      <c r="E28" s="167"/>
      <c r="F28" s="167"/>
      <c r="G28" s="167"/>
      <c r="H28" s="167"/>
      <c r="I28" s="166"/>
      <c r="J28" s="166"/>
      <c r="K28" s="166"/>
      <c r="L28" s="168"/>
    </row>
    <row r="29" spans="1:12" x14ac:dyDescent="0.3">
      <c r="A29" s="165"/>
      <c r="B29" s="166"/>
      <c r="C29" s="166"/>
      <c r="D29" s="166"/>
      <c r="E29" s="167"/>
      <c r="F29" s="167"/>
      <c r="G29" s="167"/>
      <c r="H29" s="167"/>
      <c r="I29" s="166"/>
      <c r="J29" s="166"/>
      <c r="K29" s="166"/>
      <c r="L29" s="168"/>
    </row>
    <row r="30" spans="1:12" x14ac:dyDescent="0.3">
      <c r="A30" s="165"/>
      <c r="B30" s="166"/>
      <c r="C30" s="166"/>
      <c r="D30" s="166"/>
      <c r="E30" s="167"/>
      <c r="F30" s="167"/>
      <c r="G30" s="167"/>
      <c r="H30" s="167"/>
      <c r="I30" s="166"/>
      <c r="J30" s="166"/>
      <c r="K30" s="166"/>
      <c r="L30" s="168"/>
    </row>
    <row r="31" spans="1:12" x14ac:dyDescent="0.3">
      <c r="A31" s="165"/>
      <c r="B31" s="166"/>
      <c r="C31" s="166"/>
      <c r="D31" s="166"/>
      <c r="E31" s="167"/>
      <c r="F31" s="167"/>
      <c r="G31" s="167"/>
      <c r="H31" s="167"/>
      <c r="I31" s="166"/>
      <c r="J31" s="166"/>
      <c r="K31" s="166"/>
      <c r="L31" s="168"/>
    </row>
    <row r="32" spans="1:12" x14ac:dyDescent="0.3">
      <c r="A32" s="165"/>
      <c r="B32" s="166"/>
      <c r="C32" s="166"/>
      <c r="D32" s="166"/>
      <c r="E32" s="167"/>
      <c r="F32" s="167"/>
      <c r="G32" s="167"/>
      <c r="H32" s="167"/>
      <c r="I32" s="166"/>
      <c r="J32" s="166"/>
      <c r="K32" s="166"/>
      <c r="L32" s="168"/>
    </row>
    <row r="33" spans="1:12" x14ac:dyDescent="0.3">
      <c r="A33" s="165"/>
      <c r="B33" s="166"/>
      <c r="C33" s="166"/>
      <c r="D33" s="166"/>
      <c r="E33" s="167"/>
      <c r="F33" s="167"/>
      <c r="G33" s="167"/>
      <c r="H33" s="167"/>
      <c r="I33" s="166"/>
      <c r="J33" s="166"/>
      <c r="K33" s="166"/>
      <c r="L33" s="168"/>
    </row>
    <row r="34" spans="1:12" x14ac:dyDescent="0.3">
      <c r="A34" s="165"/>
      <c r="B34" s="166"/>
      <c r="C34" s="166"/>
      <c r="D34" s="166"/>
      <c r="E34" s="167"/>
      <c r="F34" s="167"/>
      <c r="G34" s="167"/>
      <c r="H34" s="167"/>
      <c r="I34" s="166"/>
      <c r="J34" s="166"/>
      <c r="K34" s="166"/>
      <c r="L34" s="168"/>
    </row>
    <row r="35" spans="1:12" x14ac:dyDescent="0.3">
      <c r="A35" s="165"/>
      <c r="B35" s="166"/>
      <c r="C35" s="166"/>
      <c r="D35" s="166"/>
      <c r="E35" s="167"/>
      <c r="F35" s="167"/>
      <c r="G35" s="167"/>
      <c r="H35" s="167"/>
      <c r="I35" s="166"/>
      <c r="J35" s="166"/>
      <c r="K35" s="166"/>
      <c r="L35" s="168"/>
    </row>
    <row r="36" spans="1:12" x14ac:dyDescent="0.3">
      <c r="A36" s="165"/>
      <c r="B36" s="166"/>
      <c r="C36" s="166"/>
      <c r="D36" s="166"/>
      <c r="E36" s="167"/>
      <c r="F36" s="167"/>
      <c r="G36" s="167"/>
      <c r="H36" s="167"/>
      <c r="I36" s="166"/>
      <c r="J36" s="166"/>
      <c r="K36" s="166"/>
      <c r="L36" s="168"/>
    </row>
    <row r="37" spans="1:12" x14ac:dyDescent="0.3">
      <c r="A37" s="165"/>
      <c r="B37" s="166"/>
      <c r="C37" s="166"/>
      <c r="D37" s="166"/>
      <c r="E37" s="167"/>
      <c r="F37" s="167"/>
      <c r="G37" s="167"/>
      <c r="H37" s="167"/>
      <c r="I37" s="166"/>
      <c r="J37" s="166"/>
      <c r="K37" s="166"/>
      <c r="L37" s="168"/>
    </row>
    <row r="38" spans="1:12" x14ac:dyDescent="0.3">
      <c r="A38" s="165"/>
      <c r="B38" s="166"/>
      <c r="C38" s="166"/>
      <c r="D38" s="166"/>
      <c r="E38" s="167"/>
      <c r="F38" s="167"/>
      <c r="G38" s="167"/>
      <c r="H38" s="167"/>
      <c r="I38" s="166"/>
      <c r="J38" s="166"/>
      <c r="K38" s="166"/>
      <c r="L38" s="168"/>
    </row>
    <row r="39" spans="1:12" x14ac:dyDescent="0.3">
      <c r="A39" s="165"/>
      <c r="B39" s="166"/>
      <c r="C39" s="166"/>
      <c r="D39" s="166"/>
      <c r="E39" s="167"/>
      <c r="F39" s="167"/>
      <c r="G39" s="167"/>
      <c r="H39" s="167"/>
      <c r="I39" s="166"/>
      <c r="J39" s="166"/>
      <c r="K39" s="166"/>
      <c r="L39" s="168"/>
    </row>
    <row r="40" spans="1:12" x14ac:dyDescent="0.3">
      <c r="A40" s="165"/>
      <c r="B40" s="166"/>
      <c r="C40" s="166"/>
      <c r="D40" s="166"/>
      <c r="E40" s="167"/>
      <c r="F40" s="167"/>
      <c r="G40" s="167"/>
      <c r="H40" s="167"/>
      <c r="I40" s="166"/>
      <c r="J40" s="166"/>
      <c r="K40" s="166"/>
      <c r="L40" s="168"/>
    </row>
    <row r="41" spans="1:12" x14ac:dyDescent="0.3">
      <c r="A41" s="165"/>
      <c r="B41" s="166"/>
      <c r="C41" s="166"/>
      <c r="D41" s="166"/>
      <c r="E41" s="167"/>
      <c r="F41" s="167"/>
      <c r="G41" s="167"/>
      <c r="H41" s="167"/>
      <c r="I41" s="166"/>
      <c r="J41" s="166"/>
      <c r="K41" s="166"/>
      <c r="L41" s="168"/>
    </row>
    <row r="42" spans="1:12" ht="20.100000000000001" customHeight="1" x14ac:dyDescent="0.3">
      <c r="A42" s="165"/>
      <c r="B42" s="166"/>
      <c r="C42" s="166"/>
      <c r="D42" s="166"/>
      <c r="E42" s="167"/>
      <c r="F42" s="167"/>
      <c r="G42" s="167"/>
      <c r="H42" s="167"/>
      <c r="I42" s="166"/>
      <c r="J42" s="166"/>
      <c r="K42" s="166"/>
      <c r="L42" s="168"/>
    </row>
    <row r="43" spans="1:12" ht="20.100000000000001" customHeight="1" x14ac:dyDescent="0.3">
      <c r="A43" s="165"/>
      <c r="B43" s="166"/>
      <c r="C43" s="166"/>
      <c r="D43" s="166"/>
      <c r="E43" s="167"/>
      <c r="F43" s="167"/>
      <c r="G43" s="167"/>
      <c r="H43" s="167"/>
      <c r="I43" s="166"/>
      <c r="J43" s="166"/>
      <c r="K43" s="166"/>
      <c r="L43" s="168"/>
    </row>
    <row r="44" spans="1:12" ht="39.950000000000003" customHeight="1" x14ac:dyDescent="0.3">
      <c r="A44" s="165"/>
      <c r="B44" s="166"/>
      <c r="C44" s="166"/>
      <c r="D44" s="166"/>
      <c r="E44" s="167"/>
      <c r="F44" s="167"/>
      <c r="G44" s="167"/>
      <c r="H44" s="167"/>
      <c r="I44" s="166"/>
      <c r="J44" s="166"/>
      <c r="K44" s="166"/>
      <c r="L44" s="168"/>
    </row>
    <row r="45" spans="1:12" ht="20.100000000000001" customHeight="1" x14ac:dyDescent="0.3">
      <c r="A45" s="165"/>
      <c r="B45" s="166"/>
      <c r="C45" s="166"/>
      <c r="D45" s="166"/>
      <c r="E45" s="167"/>
      <c r="F45" s="167"/>
      <c r="G45" s="167"/>
      <c r="H45" s="167"/>
      <c r="I45" s="166"/>
      <c r="J45" s="166"/>
      <c r="K45" s="166"/>
      <c r="L45" s="168"/>
    </row>
    <row r="46" spans="1:12" ht="38.25" customHeight="1" x14ac:dyDescent="0.3">
      <c r="A46" s="173"/>
      <c r="B46" s="174"/>
      <c r="C46" s="174"/>
      <c r="D46" s="174"/>
      <c r="E46" s="175"/>
      <c r="F46" s="175"/>
      <c r="G46" s="175"/>
      <c r="H46" s="175"/>
      <c r="I46" s="174"/>
      <c r="J46" s="174"/>
      <c r="K46" s="174"/>
      <c r="L46" s="176"/>
    </row>
  </sheetData>
  <mergeCells count="133">
    <mergeCell ref="A45:D45"/>
    <mergeCell ref="E45:H45"/>
    <mergeCell ref="I45:L45"/>
    <mergeCell ref="A46:D46"/>
    <mergeCell ref="E46:H46"/>
    <mergeCell ref="I46:L46"/>
    <mergeCell ref="A43:D43"/>
    <mergeCell ref="E43:H43"/>
    <mergeCell ref="I43:L43"/>
    <mergeCell ref="A44:D44"/>
    <mergeCell ref="E44:H44"/>
    <mergeCell ref="I44:L44"/>
    <mergeCell ref="A41:D41"/>
    <mergeCell ref="E41:H41"/>
    <mergeCell ref="I41:L41"/>
    <mergeCell ref="A42:D42"/>
    <mergeCell ref="E42:H42"/>
    <mergeCell ref="I42:L42"/>
    <mergeCell ref="A39:D39"/>
    <mergeCell ref="E39:H39"/>
    <mergeCell ref="I39:L39"/>
    <mergeCell ref="A40:D40"/>
    <mergeCell ref="E40:H40"/>
    <mergeCell ref="I40:L40"/>
    <mergeCell ref="A37:D37"/>
    <mergeCell ref="E37:H37"/>
    <mergeCell ref="I37:L37"/>
    <mergeCell ref="A38:D38"/>
    <mergeCell ref="E38:H38"/>
    <mergeCell ref="I38:L38"/>
    <mergeCell ref="A35:D35"/>
    <mergeCell ref="E35:H35"/>
    <mergeCell ref="I35:L35"/>
    <mergeCell ref="A36:D36"/>
    <mergeCell ref="E36:H36"/>
    <mergeCell ref="I36:L36"/>
    <mergeCell ref="A33:D33"/>
    <mergeCell ref="E33:H33"/>
    <mergeCell ref="I33:L33"/>
    <mergeCell ref="A34:D34"/>
    <mergeCell ref="E34:H34"/>
    <mergeCell ref="I34:L34"/>
    <mergeCell ref="A31:D31"/>
    <mergeCell ref="E31:H31"/>
    <mergeCell ref="I31:L31"/>
    <mergeCell ref="A32:D32"/>
    <mergeCell ref="E32:H32"/>
    <mergeCell ref="I32:L32"/>
    <mergeCell ref="A29:D29"/>
    <mergeCell ref="E29:H29"/>
    <mergeCell ref="I29:L29"/>
    <mergeCell ref="A30:D30"/>
    <mergeCell ref="E30:H30"/>
    <mergeCell ref="I30:L30"/>
    <mergeCell ref="A27:D27"/>
    <mergeCell ref="E27:H27"/>
    <mergeCell ref="I27:L27"/>
    <mergeCell ref="A28:D28"/>
    <mergeCell ref="E28:H28"/>
    <mergeCell ref="I28:L28"/>
    <mergeCell ref="A25:D25"/>
    <mergeCell ref="E25:H25"/>
    <mergeCell ref="I25:L25"/>
    <mergeCell ref="A26:D26"/>
    <mergeCell ref="E26:H26"/>
    <mergeCell ref="I26:L26"/>
    <mergeCell ref="A23:D23"/>
    <mergeCell ref="E23:H23"/>
    <mergeCell ref="I23:L23"/>
    <mergeCell ref="A24:D24"/>
    <mergeCell ref="E24:H24"/>
    <mergeCell ref="I24:L24"/>
    <mergeCell ref="A21:D21"/>
    <mergeCell ref="E21:H21"/>
    <mergeCell ref="I21:L21"/>
    <mergeCell ref="A22:D22"/>
    <mergeCell ref="E22:H22"/>
    <mergeCell ref="I22:L22"/>
    <mergeCell ref="A19:D19"/>
    <mergeCell ref="E19:H19"/>
    <mergeCell ref="I19:L19"/>
    <mergeCell ref="A20:D20"/>
    <mergeCell ref="E20:H20"/>
    <mergeCell ref="I20:L20"/>
    <mergeCell ref="A17:D17"/>
    <mergeCell ref="E17:H17"/>
    <mergeCell ref="I17:L17"/>
    <mergeCell ref="A18:D18"/>
    <mergeCell ref="E18:H18"/>
    <mergeCell ref="I18:L18"/>
    <mergeCell ref="A15:D15"/>
    <mergeCell ref="E15:H15"/>
    <mergeCell ref="I15:L15"/>
    <mergeCell ref="A16:D16"/>
    <mergeCell ref="E16:H16"/>
    <mergeCell ref="I16:L16"/>
    <mergeCell ref="A13:D13"/>
    <mergeCell ref="E13:H13"/>
    <mergeCell ref="I13:L13"/>
    <mergeCell ref="A14:D14"/>
    <mergeCell ref="E14:H14"/>
    <mergeCell ref="I14:L14"/>
    <mergeCell ref="A11:D11"/>
    <mergeCell ref="E11:H11"/>
    <mergeCell ref="I11:L11"/>
    <mergeCell ref="A12:D12"/>
    <mergeCell ref="E12:H12"/>
    <mergeCell ref="I12:L12"/>
    <mergeCell ref="A9:D9"/>
    <mergeCell ref="E9:H9"/>
    <mergeCell ref="I9:L9"/>
    <mergeCell ref="A10:D10"/>
    <mergeCell ref="E10:H10"/>
    <mergeCell ref="I10:L10"/>
    <mergeCell ref="A7:D7"/>
    <mergeCell ref="E7:H7"/>
    <mergeCell ref="I7:L7"/>
    <mergeCell ref="A8:D8"/>
    <mergeCell ref="E8:H8"/>
    <mergeCell ref="I8:L8"/>
    <mergeCell ref="A5:D5"/>
    <mergeCell ref="E5:H5"/>
    <mergeCell ref="I5:L5"/>
    <mergeCell ref="A6:D6"/>
    <mergeCell ref="E6:H6"/>
    <mergeCell ref="I6:L6"/>
    <mergeCell ref="A1:L1"/>
    <mergeCell ref="A3:D3"/>
    <mergeCell ref="E3:H3"/>
    <mergeCell ref="I3:L3"/>
    <mergeCell ref="A4:D4"/>
    <mergeCell ref="E4:H4"/>
    <mergeCell ref="I4:L4"/>
  </mergeCells>
  <phoneticPr fontId="3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고딕,보통"&amp;9QA-9.4-1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8D0C-89A9-4C75-A665-0A4411EAE0EE}">
  <dimension ref="A2:BC77"/>
  <sheetViews>
    <sheetView showGridLines="0" tabSelected="1" view="pageBreakPreview" topLeftCell="A16" zoomScaleNormal="70" zoomScaleSheetLayoutView="100" zoomScalePageLayoutView="70" workbookViewId="0">
      <selection activeCell="O71" sqref="O71"/>
    </sheetView>
  </sheetViews>
  <sheetFormatPr defaultColWidth="1.625" defaultRowHeight="8.1" customHeight="1" x14ac:dyDescent="0.3"/>
  <cols>
    <col min="1" max="11" width="1.875" style="3" customWidth="1"/>
    <col min="12" max="28" width="2.125" style="3" customWidth="1"/>
    <col min="29" max="29" width="1.75" style="3" customWidth="1"/>
    <col min="30" max="31" width="2.125" style="3" customWidth="1"/>
    <col min="32" max="49" width="1.875" style="3" customWidth="1"/>
    <col min="50" max="16384" width="1.625" style="3"/>
  </cols>
  <sheetData>
    <row r="2" spans="1:43" ht="18.75" customHeight="1" x14ac:dyDescent="0.3">
      <c r="AJ2" s="177"/>
      <c r="AK2" s="178"/>
      <c r="AL2" s="178"/>
      <c r="AM2" s="178"/>
      <c r="AN2" s="178"/>
      <c r="AO2" s="178"/>
      <c r="AP2" s="178"/>
    </row>
    <row r="3" spans="1:43" ht="18.75" customHeight="1" x14ac:dyDescent="0.3">
      <c r="AJ3" s="179"/>
      <c r="AK3" s="178"/>
      <c r="AL3" s="180"/>
      <c r="AM3" s="180"/>
      <c r="AN3" s="180"/>
      <c r="AO3" s="180"/>
      <c r="AP3" s="180"/>
    </row>
    <row r="4" spans="1:43" ht="18.75" customHeight="1" x14ac:dyDescent="0.3">
      <c r="AJ4" s="179"/>
      <c r="AK4" s="178"/>
      <c r="AL4" s="180"/>
      <c r="AM4" s="180"/>
      <c r="AN4" s="180"/>
      <c r="AO4" s="180"/>
      <c r="AP4" s="180"/>
    </row>
    <row r="5" spans="1:43" ht="9.6" customHeight="1" x14ac:dyDescent="0.3">
      <c r="A5" s="4"/>
      <c r="B5" s="4"/>
      <c r="Z5" s="5"/>
      <c r="AA5" s="5"/>
      <c r="AB5" s="5"/>
      <c r="AC5" s="5"/>
      <c r="AD5" s="5"/>
      <c r="AE5" s="5"/>
      <c r="AF5" s="5"/>
      <c r="AG5" s="5"/>
      <c r="AH5" s="5"/>
    </row>
    <row r="6" spans="1:43" ht="9.6" customHeight="1" x14ac:dyDescent="0.3">
      <c r="A6" s="4"/>
      <c r="B6" s="4"/>
      <c r="Z6" s="5"/>
      <c r="AA6" s="5"/>
      <c r="AB6" s="5"/>
      <c r="AC6" s="5"/>
      <c r="AD6" s="5"/>
      <c r="AE6" s="5"/>
      <c r="AF6" s="5"/>
      <c r="AG6" s="5"/>
      <c r="AH6" s="5"/>
    </row>
    <row r="7" spans="1:43" ht="9.6" customHeight="1" x14ac:dyDescent="0.3">
      <c r="C7" s="6"/>
      <c r="Z7" s="5"/>
      <c r="AA7" s="5"/>
      <c r="AB7" s="5"/>
      <c r="AC7" s="5"/>
      <c r="AD7" s="5"/>
      <c r="AE7" s="5"/>
      <c r="AF7" s="5"/>
      <c r="AG7" s="5"/>
      <c r="AH7" s="5"/>
    </row>
    <row r="8" spans="1:43" ht="9.6" customHeight="1" x14ac:dyDescent="0.3">
      <c r="C8" s="6"/>
      <c r="Z8" s="5"/>
      <c r="AA8" s="5"/>
      <c r="AB8" s="5"/>
      <c r="AC8" s="5"/>
      <c r="AD8" s="5"/>
      <c r="AE8" s="5"/>
      <c r="AF8" s="5"/>
      <c r="AG8" s="5"/>
      <c r="AH8" s="5"/>
    </row>
    <row r="9" spans="1:43" ht="7.5" customHeight="1" x14ac:dyDescent="0.3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43" ht="8.1" customHeight="1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43" ht="8.1" customHeight="1" x14ac:dyDescent="0.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43" ht="8.1" customHeight="1" x14ac:dyDescent="0.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43" ht="8.1" customHeight="1" x14ac:dyDescent="0.3">
      <c r="A13" s="181" t="s">
        <v>4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</row>
    <row r="14" spans="1:43" ht="8.1" customHeight="1" x14ac:dyDescent="0.3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</row>
    <row r="15" spans="1:43" ht="8.1" customHeight="1" x14ac:dyDescent="0.3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</row>
    <row r="16" spans="1:43" ht="8.1" customHeight="1" x14ac:dyDescent="0.3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</row>
    <row r="17" spans="1:43" ht="8.1" customHeight="1" x14ac:dyDescent="0.3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</row>
    <row r="18" spans="1:43" ht="8.1" customHeight="1" x14ac:dyDescent="0.3"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43" ht="8.1" customHeight="1" x14ac:dyDescent="0.6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8.1" customHeight="1" x14ac:dyDescent="0.3">
      <c r="A20" s="182" t="s">
        <v>5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</row>
    <row r="21" spans="1:43" ht="8.1" customHeight="1" x14ac:dyDescent="0.3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8.1" customHeight="1" x14ac:dyDescent="0.3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5" spans="1:43" ht="8.1" customHeight="1" x14ac:dyDescent="0.3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3" ht="8.1" customHeight="1" x14ac:dyDescent="0.3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3" ht="8.1" customHeight="1" x14ac:dyDescent="0.3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31" spans="1:43" ht="8.1" customHeight="1" x14ac:dyDescent="0.3"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43" ht="8.1" customHeight="1" x14ac:dyDescent="0.3"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0:55" ht="7.5" customHeight="1" x14ac:dyDescent="0.3"/>
    <row r="34" spans="10:55" ht="18" customHeight="1" x14ac:dyDescent="0.3">
      <c r="J34" s="183" t="s">
        <v>6</v>
      </c>
      <c r="K34" s="184"/>
      <c r="L34" s="189" t="s">
        <v>7</v>
      </c>
      <c r="M34" s="189"/>
      <c r="N34" s="189"/>
      <c r="O34" s="189"/>
      <c r="P34" s="189"/>
      <c r="Q34" s="189" t="s">
        <v>8</v>
      </c>
      <c r="R34" s="189"/>
      <c r="S34" s="189"/>
      <c r="T34" s="189"/>
      <c r="U34" s="189"/>
      <c r="V34" s="189" t="s">
        <v>8</v>
      </c>
      <c r="W34" s="189"/>
      <c r="X34" s="189"/>
      <c r="Y34" s="189"/>
      <c r="Z34" s="189"/>
      <c r="AA34" s="189" t="s">
        <v>3</v>
      </c>
      <c r="AB34" s="189"/>
      <c r="AC34" s="189"/>
      <c r="AD34" s="189"/>
      <c r="AE34" s="189"/>
    </row>
    <row r="35" spans="10:55" ht="9.75" customHeight="1" x14ac:dyDescent="0.3">
      <c r="J35" s="185"/>
      <c r="K35" s="186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</row>
    <row r="36" spans="10:55" ht="18" customHeight="1" x14ac:dyDescent="0.3">
      <c r="J36" s="185"/>
      <c r="K36" s="186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</row>
    <row r="37" spans="10:55" ht="9.9499999999999993" customHeight="1" x14ac:dyDescent="0.3">
      <c r="J37" s="185"/>
      <c r="K37" s="186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</row>
    <row r="38" spans="10:55" ht="9.9499999999999993" customHeight="1" x14ac:dyDescent="0.3">
      <c r="J38" s="185"/>
      <c r="K38" s="186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</row>
    <row r="39" spans="10:55" ht="15" customHeight="1" x14ac:dyDescent="0.3">
      <c r="J39" s="187"/>
      <c r="K39" s="188"/>
      <c r="L39" s="192" t="s">
        <v>9</v>
      </c>
      <c r="M39" s="192"/>
      <c r="N39" s="192"/>
      <c r="O39" s="192"/>
      <c r="P39" s="192"/>
      <c r="Q39" s="192" t="s">
        <v>9</v>
      </c>
      <c r="R39" s="192"/>
      <c r="S39" s="192"/>
      <c r="T39" s="192"/>
      <c r="U39" s="192"/>
      <c r="V39" s="192" t="s">
        <v>9</v>
      </c>
      <c r="W39" s="192"/>
      <c r="X39" s="192"/>
      <c r="Y39" s="192"/>
      <c r="Z39" s="192"/>
      <c r="AA39" s="192" t="s">
        <v>9</v>
      </c>
      <c r="AB39" s="192"/>
      <c r="AC39" s="192"/>
      <c r="AD39" s="192"/>
      <c r="AE39" s="192"/>
      <c r="AW39" s="197"/>
      <c r="AX39" s="197"/>
      <c r="AY39" s="193"/>
      <c r="AZ39" s="193"/>
      <c r="BA39" s="193"/>
      <c r="BB39" s="193"/>
      <c r="BC39" s="193"/>
    </row>
    <row r="40" spans="10:55" ht="18" customHeight="1" x14ac:dyDescent="0.3">
      <c r="J40" s="194" t="s">
        <v>10</v>
      </c>
      <c r="K40" s="194"/>
      <c r="L40" s="195" t="s">
        <v>11</v>
      </c>
      <c r="M40" s="195"/>
      <c r="N40" s="195"/>
      <c r="O40" s="195"/>
      <c r="P40" s="195"/>
      <c r="Q40" s="195" t="s">
        <v>12</v>
      </c>
      <c r="R40" s="195"/>
      <c r="S40" s="195"/>
      <c r="T40" s="195"/>
      <c r="U40" s="195"/>
      <c r="V40" s="195" t="s">
        <v>13</v>
      </c>
      <c r="W40" s="195"/>
      <c r="X40" s="195"/>
      <c r="Y40" s="195"/>
      <c r="Z40" s="195"/>
      <c r="AA40" s="195" t="s">
        <v>13</v>
      </c>
      <c r="AB40" s="195"/>
      <c r="AC40" s="195"/>
      <c r="AD40" s="195"/>
      <c r="AE40" s="195"/>
      <c r="AW40" s="197"/>
      <c r="AX40" s="197"/>
      <c r="AY40" s="196"/>
      <c r="AZ40" s="196"/>
      <c r="BA40" s="196"/>
      <c r="BB40" s="196"/>
      <c r="BC40" s="196"/>
    </row>
    <row r="42" spans="10:55" ht="8.1" customHeight="1" x14ac:dyDescent="0.3">
      <c r="J42" s="198" t="s">
        <v>14</v>
      </c>
      <c r="K42" s="199"/>
      <c r="L42" s="204" t="s">
        <v>15</v>
      </c>
      <c r="M42" s="204"/>
      <c r="N42" s="204"/>
      <c r="O42" s="204"/>
      <c r="P42" s="204"/>
      <c r="Q42" s="204"/>
      <c r="R42" s="204"/>
      <c r="S42" s="204"/>
      <c r="T42" s="204"/>
      <c r="U42" s="204"/>
      <c r="V42" s="204" t="s">
        <v>16</v>
      </c>
      <c r="W42" s="204"/>
      <c r="X42" s="204"/>
      <c r="Y42" s="204"/>
      <c r="Z42" s="204"/>
      <c r="AA42" s="204"/>
      <c r="AB42" s="204"/>
      <c r="AC42" s="204"/>
      <c r="AD42" s="204"/>
      <c r="AE42" s="204"/>
      <c r="AF42" s="10"/>
      <c r="AG42" s="10"/>
      <c r="AH42" s="10"/>
      <c r="AI42" s="10"/>
      <c r="AJ42" s="10"/>
    </row>
    <row r="43" spans="10:55" ht="8.1" customHeight="1" x14ac:dyDescent="0.3">
      <c r="J43" s="200"/>
      <c r="K43" s="201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10"/>
      <c r="AG43" s="10"/>
      <c r="AH43" s="10"/>
      <c r="AI43" s="10"/>
      <c r="AJ43" s="10"/>
    </row>
    <row r="44" spans="10:55" ht="8.1" customHeight="1" x14ac:dyDescent="0.3">
      <c r="J44" s="200"/>
      <c r="K44" s="201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10"/>
      <c r="AG44" s="10"/>
      <c r="AH44" s="10"/>
      <c r="AI44" s="10"/>
      <c r="AJ44" s="10"/>
    </row>
    <row r="45" spans="10:55" ht="8.1" customHeight="1" x14ac:dyDescent="0.3">
      <c r="J45" s="200"/>
      <c r="K45" s="201"/>
      <c r="L45" s="205" t="s">
        <v>17</v>
      </c>
      <c r="M45" s="206"/>
      <c r="N45" s="206"/>
      <c r="O45" s="206"/>
      <c r="P45" s="206"/>
      <c r="Q45" s="206"/>
      <c r="R45" s="206"/>
      <c r="S45" s="206"/>
      <c r="T45" s="206"/>
      <c r="U45" s="207"/>
      <c r="V45" s="204" t="s">
        <v>18</v>
      </c>
      <c r="W45" s="204"/>
      <c r="X45" s="204"/>
      <c r="Y45" s="204"/>
      <c r="Z45" s="204"/>
      <c r="AA45" s="204"/>
      <c r="AB45" s="204"/>
      <c r="AC45" s="204"/>
      <c r="AD45" s="204"/>
      <c r="AE45" s="204"/>
      <c r="AF45" s="10"/>
      <c r="AG45" s="10"/>
      <c r="AH45" s="10"/>
      <c r="AI45" s="10"/>
      <c r="AJ45" s="10"/>
    </row>
    <row r="46" spans="10:55" ht="8.1" customHeight="1" x14ac:dyDescent="0.3">
      <c r="J46" s="200"/>
      <c r="K46" s="201"/>
      <c r="L46" s="208"/>
      <c r="M46" s="209"/>
      <c r="N46" s="209"/>
      <c r="O46" s="209"/>
      <c r="P46" s="209"/>
      <c r="Q46" s="209"/>
      <c r="R46" s="209"/>
      <c r="S46" s="209"/>
      <c r="T46" s="209"/>
      <c r="U46" s="210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10"/>
      <c r="AG46" s="10"/>
      <c r="AH46" s="10"/>
      <c r="AI46" s="10"/>
      <c r="AJ46" s="10"/>
    </row>
    <row r="47" spans="10:55" ht="8.1" customHeight="1" x14ac:dyDescent="0.3">
      <c r="J47" s="200"/>
      <c r="K47" s="201"/>
      <c r="L47" s="211"/>
      <c r="M47" s="212"/>
      <c r="N47" s="212"/>
      <c r="O47" s="212"/>
      <c r="P47" s="212"/>
      <c r="Q47" s="212"/>
      <c r="R47" s="212"/>
      <c r="S47" s="212"/>
      <c r="T47" s="212"/>
      <c r="U47" s="213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10"/>
      <c r="AG47" s="10"/>
      <c r="AH47" s="10"/>
      <c r="AI47" s="10"/>
      <c r="AJ47" s="10"/>
    </row>
    <row r="48" spans="10:55" ht="8.1" customHeight="1" x14ac:dyDescent="0.3">
      <c r="J48" s="200"/>
      <c r="K48" s="201"/>
      <c r="L48" s="205" t="s">
        <v>19</v>
      </c>
      <c r="M48" s="206"/>
      <c r="N48" s="206"/>
      <c r="O48" s="206"/>
      <c r="P48" s="206"/>
      <c r="Q48" s="206"/>
      <c r="R48" s="206"/>
      <c r="S48" s="206"/>
      <c r="T48" s="206"/>
      <c r="U48" s="207"/>
      <c r="V48" s="204" t="s">
        <v>20</v>
      </c>
      <c r="W48" s="204"/>
      <c r="X48" s="204"/>
      <c r="Y48" s="204"/>
      <c r="Z48" s="204"/>
      <c r="AA48" s="204"/>
      <c r="AB48" s="204"/>
      <c r="AC48" s="204"/>
      <c r="AD48" s="204"/>
      <c r="AE48" s="204"/>
      <c r="AF48" s="10"/>
      <c r="AG48" s="10"/>
      <c r="AH48" s="10"/>
      <c r="AI48" s="10"/>
      <c r="AJ48" s="10"/>
    </row>
    <row r="49" spans="10:55" ht="8.1" customHeight="1" x14ac:dyDescent="0.3">
      <c r="J49" s="200"/>
      <c r="K49" s="201"/>
      <c r="L49" s="208"/>
      <c r="M49" s="209"/>
      <c r="N49" s="209"/>
      <c r="O49" s="209"/>
      <c r="P49" s="209"/>
      <c r="Q49" s="209"/>
      <c r="R49" s="209"/>
      <c r="S49" s="209"/>
      <c r="T49" s="209"/>
      <c r="U49" s="210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10"/>
      <c r="AG49" s="10"/>
      <c r="AH49" s="10"/>
      <c r="AI49" s="10"/>
      <c r="AJ49" s="10"/>
    </row>
    <row r="50" spans="10:55" ht="8.1" customHeight="1" x14ac:dyDescent="0.3">
      <c r="J50" s="200"/>
      <c r="K50" s="201"/>
      <c r="L50" s="211"/>
      <c r="M50" s="212"/>
      <c r="N50" s="212"/>
      <c r="O50" s="212"/>
      <c r="P50" s="212"/>
      <c r="Q50" s="212"/>
      <c r="R50" s="212"/>
      <c r="S50" s="212"/>
      <c r="T50" s="212"/>
      <c r="U50" s="213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10"/>
      <c r="AG50" s="10"/>
      <c r="AH50" s="10"/>
      <c r="AI50" s="10"/>
      <c r="AJ50" s="10"/>
    </row>
    <row r="51" spans="10:55" ht="8.1" customHeight="1" x14ac:dyDescent="0.3">
      <c r="J51" s="200"/>
      <c r="K51" s="201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11"/>
      <c r="AG51" s="11"/>
      <c r="AH51" s="11"/>
      <c r="AI51" s="11"/>
      <c r="AJ51" s="11"/>
    </row>
    <row r="52" spans="10:55" ht="8.1" customHeight="1" x14ac:dyDescent="0.3">
      <c r="J52" s="200"/>
      <c r="K52" s="201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11"/>
      <c r="AG52" s="11"/>
      <c r="AH52" s="11"/>
      <c r="AI52" s="11"/>
      <c r="AJ52" s="11"/>
    </row>
    <row r="53" spans="10:55" ht="8.1" customHeight="1" x14ac:dyDescent="0.3">
      <c r="J53" s="202"/>
      <c r="K53" s="203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11"/>
      <c r="AG53" s="11"/>
      <c r="AH53" s="11"/>
      <c r="AI53" s="11"/>
      <c r="AJ53" s="11"/>
      <c r="BC53" s="3" t="s">
        <v>21</v>
      </c>
    </row>
    <row r="55" spans="10:55" ht="8.1" customHeight="1" x14ac:dyDescent="0.3"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0:55" ht="8.1" customHeight="1" x14ac:dyDescent="0.3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0:55" ht="8.1" customHeight="1" x14ac:dyDescent="0.3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0:55" ht="8.1" customHeight="1" x14ac:dyDescent="0.3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0:55" ht="8.1" customHeight="1" x14ac:dyDescent="0.3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0:55" ht="8.1" customHeight="1" x14ac:dyDescent="0.3"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0:55" ht="8.1" customHeight="1" x14ac:dyDescent="0.3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0:55" ht="8.1" customHeight="1" x14ac:dyDescent="0.3"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0:55" ht="8.1" customHeight="1" x14ac:dyDescent="0.3"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0:55" ht="8.1" customHeight="1" x14ac:dyDescent="0.3"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43" ht="8.1" customHeight="1" x14ac:dyDescent="0.3"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43" ht="8.1" customHeight="1" x14ac:dyDescent="0.3"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43" ht="6.75" customHeight="1" x14ac:dyDescent="0.3"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43" ht="6.75" customHeight="1" x14ac:dyDescent="0.3"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43" ht="6.75" customHeight="1" x14ac:dyDescent="0.3"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43" ht="6.75" customHeight="1" x14ac:dyDescent="0.3"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43" ht="13.5" customHeight="1" x14ac:dyDescent="0.3"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43" ht="22.5" customHeight="1" x14ac:dyDescent="0.3"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43" ht="18" customHeight="1" x14ac:dyDescent="0.3">
      <c r="A73" s="214" t="s">
        <v>22</v>
      </c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14"/>
      <c r="AQ73" s="14"/>
    </row>
    <row r="74" spans="1:43" ht="11.25" customHeight="1" x14ac:dyDescent="0.3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</row>
    <row r="75" spans="1:43" ht="18" customHeight="1" x14ac:dyDescent="0.3">
      <c r="A75" s="216" t="s">
        <v>23</v>
      </c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15"/>
      <c r="AQ75" s="15"/>
    </row>
    <row r="76" spans="1:43" ht="21" customHeight="1" x14ac:dyDescent="0.3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16"/>
      <c r="AN76" s="216"/>
      <c r="AO76" s="216"/>
      <c r="AP76" s="15"/>
      <c r="AQ76" s="15"/>
    </row>
    <row r="77" spans="1:43" ht="11.25" customHeight="1" x14ac:dyDescent="0.3"/>
  </sheetData>
  <mergeCells count="42">
    <mergeCell ref="A73:AO73"/>
    <mergeCell ref="A74:AQ74"/>
    <mergeCell ref="A75:AO75"/>
    <mergeCell ref="A76:AO76"/>
    <mergeCell ref="J42:K53"/>
    <mergeCell ref="L42:U44"/>
    <mergeCell ref="V42:AE44"/>
    <mergeCell ref="L45:U47"/>
    <mergeCell ref="V45:AE47"/>
    <mergeCell ref="L48:U50"/>
    <mergeCell ref="V48:AE50"/>
    <mergeCell ref="L51:U53"/>
    <mergeCell ref="V51:AE53"/>
    <mergeCell ref="AY39:BC39"/>
    <mergeCell ref="J40:K40"/>
    <mergeCell ref="L40:P40"/>
    <mergeCell ref="Q40:U40"/>
    <mergeCell ref="V40:Z40"/>
    <mergeCell ref="AA40:AE40"/>
    <mergeCell ref="AY40:BC40"/>
    <mergeCell ref="AW39:AX40"/>
    <mergeCell ref="A13:AQ17"/>
    <mergeCell ref="A20:AQ22"/>
    <mergeCell ref="J34:K39"/>
    <mergeCell ref="L34:P34"/>
    <mergeCell ref="Q34:U34"/>
    <mergeCell ref="V34:Z34"/>
    <mergeCell ref="AA34:AE34"/>
    <mergeCell ref="L35:P38"/>
    <mergeCell ref="Q35:U38"/>
    <mergeCell ref="V35:Z38"/>
    <mergeCell ref="AA35:AE38"/>
    <mergeCell ref="L39:P39"/>
    <mergeCell ref="Q39:U39"/>
    <mergeCell ref="V39:Z39"/>
    <mergeCell ref="AA39:AE39"/>
    <mergeCell ref="AJ2:AK2"/>
    <mergeCell ref="AL2:AP2"/>
    <mergeCell ref="AJ3:AK3"/>
    <mergeCell ref="AL3:AP3"/>
    <mergeCell ref="AJ4:AK4"/>
    <mergeCell ref="AL4:AP4"/>
  </mergeCells>
  <phoneticPr fontId="3" type="noConversion"/>
  <printOptions horizontalCentered="1"/>
  <pageMargins left="0.47244094488188981" right="0.47244094488188981" top="0.59055118110236227" bottom="0.55118110236220474" header="0" footer="0.31496062992125984"/>
  <pageSetup paperSize="9" orientation="portrait" r:id="rId1"/>
  <headerFooter differentFirs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82EA-1DC7-4D29-8ADE-020A636DF23E}">
  <dimension ref="A1:AH58"/>
  <sheetViews>
    <sheetView showGridLines="0" view="pageBreakPreview" zoomScale="70" zoomScaleNormal="70" zoomScaleSheetLayoutView="70" workbookViewId="0">
      <selection activeCell="X26" sqref="X26"/>
    </sheetView>
  </sheetViews>
  <sheetFormatPr defaultRowHeight="16.5" x14ac:dyDescent="0.3"/>
  <cols>
    <col min="1" max="33" width="2.625" customWidth="1"/>
  </cols>
  <sheetData>
    <row r="1" spans="1:34" ht="17.100000000000001" customHeight="1" x14ac:dyDescent="0.3"/>
    <row r="2" spans="1:34" ht="15" customHeight="1" x14ac:dyDescent="0.3"/>
    <row r="3" spans="1:34" ht="15" customHeight="1" x14ac:dyDescent="0.3">
      <c r="AH3" s="16"/>
    </row>
    <row r="4" spans="1:34" ht="15" customHeight="1" x14ac:dyDescent="0.3">
      <c r="AH4" s="16"/>
    </row>
    <row r="5" spans="1:34" ht="24.75" customHeight="1" x14ac:dyDescent="0.3">
      <c r="B5" s="17"/>
    </row>
    <row r="6" spans="1:34" ht="24.75" customHeight="1" x14ac:dyDescent="0.3">
      <c r="C6" s="18"/>
      <c r="P6" s="19" t="s">
        <v>24</v>
      </c>
    </row>
    <row r="7" spans="1:34" ht="24.75" customHeight="1" x14ac:dyDescent="0.3">
      <c r="C7" s="18"/>
    </row>
    <row r="8" spans="1:34" ht="24.75" customHeight="1" x14ac:dyDescent="0.3">
      <c r="A8" s="20"/>
      <c r="B8" s="20"/>
      <c r="C8" s="20"/>
      <c r="D8" s="20"/>
      <c r="E8" s="20"/>
      <c r="F8" s="20"/>
      <c r="G8" s="20"/>
      <c r="H8" s="20"/>
      <c r="I8" s="21" t="s">
        <v>25</v>
      </c>
      <c r="J8" s="22"/>
      <c r="K8" s="22"/>
      <c r="L8" s="23"/>
      <c r="M8" s="23"/>
      <c r="N8" s="20"/>
      <c r="O8" s="20"/>
      <c r="P8" s="23"/>
      <c r="Q8" s="23"/>
      <c r="R8" s="23"/>
      <c r="S8" s="23"/>
      <c r="T8" s="23"/>
      <c r="U8" s="23"/>
      <c r="V8" s="23"/>
      <c r="W8" s="23"/>
      <c r="X8" s="23"/>
      <c r="Y8" s="20"/>
      <c r="Z8" s="20"/>
      <c r="AA8" s="20"/>
      <c r="AB8" s="20"/>
      <c r="AC8" s="20"/>
      <c r="AD8" s="20"/>
      <c r="AE8" s="20"/>
      <c r="AF8" s="20"/>
      <c r="AG8" s="20"/>
    </row>
    <row r="9" spans="1:34" ht="15" customHeight="1" x14ac:dyDescent="0.3">
      <c r="A9" s="20"/>
      <c r="B9" s="20"/>
      <c r="C9" s="20"/>
      <c r="D9" s="20"/>
      <c r="E9" s="20"/>
      <c r="F9" s="20"/>
      <c r="G9" s="20"/>
      <c r="H9" s="20"/>
      <c r="I9" s="22"/>
      <c r="J9" s="22"/>
      <c r="K9" s="22"/>
      <c r="L9" s="23"/>
      <c r="M9" s="23"/>
      <c r="N9" s="20"/>
      <c r="O9" s="20"/>
      <c r="P9" s="23"/>
      <c r="Q9" s="23"/>
      <c r="R9" s="23"/>
      <c r="S9" s="23"/>
      <c r="T9" s="23"/>
      <c r="U9" s="23"/>
      <c r="V9" s="23"/>
      <c r="W9" s="23"/>
      <c r="X9" s="23"/>
      <c r="Y9" s="20"/>
      <c r="Z9" s="20"/>
      <c r="AA9" s="20"/>
      <c r="AB9" s="20"/>
      <c r="AC9" s="20"/>
      <c r="AD9" s="20"/>
      <c r="AE9" s="20"/>
      <c r="AF9" s="20"/>
      <c r="AG9" s="20"/>
    </row>
    <row r="10" spans="1:34" ht="24.75" customHeight="1" x14ac:dyDescent="0.3">
      <c r="A10" s="20"/>
      <c r="B10" s="20"/>
      <c r="C10" s="20"/>
      <c r="D10" s="20"/>
      <c r="E10" s="20"/>
      <c r="F10" s="20"/>
      <c r="G10" s="20"/>
      <c r="H10" s="20"/>
      <c r="I10" s="24" t="s">
        <v>26</v>
      </c>
      <c r="J10" s="22"/>
      <c r="K10" s="22"/>
      <c r="L10" s="23"/>
      <c r="M10" s="23"/>
      <c r="N10" s="20"/>
      <c r="O10" s="20"/>
      <c r="P10" s="23"/>
      <c r="Q10" s="23"/>
      <c r="R10" s="23"/>
      <c r="S10" s="23"/>
      <c r="T10" s="23"/>
      <c r="U10" s="23"/>
      <c r="V10" s="23"/>
      <c r="W10" s="23"/>
      <c r="X10" s="23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4" ht="15" customHeight="1" x14ac:dyDescent="0.3">
      <c r="A11" s="20"/>
      <c r="B11" s="20"/>
      <c r="C11" s="20"/>
      <c r="D11" s="20"/>
      <c r="E11" s="20"/>
      <c r="F11" s="20"/>
      <c r="G11" s="20"/>
      <c r="H11" s="20"/>
      <c r="I11" s="22"/>
      <c r="J11" s="22"/>
      <c r="K11" s="22"/>
      <c r="L11" s="23"/>
      <c r="M11" s="23"/>
      <c r="N11" s="20"/>
      <c r="O11" s="20"/>
      <c r="P11" s="23"/>
      <c r="Q11" s="23"/>
      <c r="R11" s="23"/>
      <c r="S11" s="23"/>
      <c r="T11" s="23"/>
      <c r="U11" s="23"/>
      <c r="V11" s="23"/>
      <c r="W11" s="23"/>
      <c r="X11" s="23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4" ht="24.75" customHeight="1" x14ac:dyDescent="0.3">
      <c r="A12" s="20"/>
      <c r="B12" s="20"/>
      <c r="C12" s="20"/>
      <c r="D12" s="20"/>
      <c r="E12" s="20"/>
      <c r="F12" s="20"/>
      <c r="G12" s="20"/>
      <c r="H12" s="20"/>
      <c r="I12" s="24" t="s">
        <v>27</v>
      </c>
      <c r="J12" s="22"/>
      <c r="K12" s="22"/>
      <c r="L12" s="23"/>
      <c r="M12" s="23"/>
      <c r="N12" s="20"/>
      <c r="O12" s="20"/>
      <c r="P12" s="23"/>
      <c r="Q12" s="23"/>
      <c r="R12" s="23"/>
      <c r="S12" s="23"/>
      <c r="T12" s="23"/>
      <c r="U12" s="23"/>
      <c r="V12" s="23"/>
      <c r="W12" s="23"/>
      <c r="X12" s="23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4" ht="15" customHeight="1" x14ac:dyDescent="0.3">
      <c r="A13" s="20"/>
      <c r="B13" s="20"/>
      <c r="C13" s="20"/>
      <c r="D13" s="20"/>
      <c r="E13" s="20"/>
      <c r="F13" s="20"/>
      <c r="G13" s="20"/>
      <c r="H13" s="20"/>
      <c r="I13" s="22"/>
      <c r="J13" s="22"/>
      <c r="K13" s="22"/>
      <c r="L13" s="23"/>
      <c r="M13" s="23"/>
      <c r="N13" s="20"/>
      <c r="O13" s="20"/>
      <c r="P13" s="23"/>
      <c r="Q13" s="23"/>
      <c r="R13" s="23"/>
      <c r="S13" s="23"/>
      <c r="T13" s="23"/>
      <c r="U13" s="23"/>
      <c r="V13" s="23"/>
      <c r="W13" s="23"/>
      <c r="X13" s="23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4" ht="24.75" customHeight="1" x14ac:dyDescent="0.3">
      <c r="A14" s="20"/>
      <c r="B14" s="20"/>
      <c r="C14" s="20"/>
      <c r="D14" s="20"/>
      <c r="E14" s="20"/>
      <c r="F14" s="20"/>
      <c r="G14" s="20"/>
      <c r="H14" s="23"/>
      <c r="I14" s="24" t="s">
        <v>28</v>
      </c>
      <c r="J14" s="22"/>
      <c r="K14" s="22"/>
      <c r="L14" s="23"/>
      <c r="M14" s="23"/>
      <c r="N14" s="20"/>
      <c r="O14" s="20"/>
      <c r="P14" s="23"/>
      <c r="Q14" s="23"/>
      <c r="R14" s="23"/>
      <c r="S14" s="23"/>
      <c r="T14" s="23"/>
      <c r="U14" s="23"/>
      <c r="V14" s="23"/>
      <c r="W14" s="23"/>
      <c r="X14" s="23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4" ht="1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4" s="27" customFormat="1" ht="24.95" customHeight="1" x14ac:dyDescent="0.3">
      <c r="A16" s="25"/>
      <c r="B16" s="25"/>
      <c r="C16" s="25"/>
      <c r="D16" s="25"/>
      <c r="E16" s="25"/>
      <c r="F16" s="25"/>
      <c r="G16" s="25"/>
      <c r="H16" s="25"/>
      <c r="I16" s="26"/>
      <c r="J16" s="26" t="s">
        <v>29</v>
      </c>
      <c r="K16" s="26"/>
      <c r="N16" s="25"/>
      <c r="O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s="27" customFormat="1" ht="24.95" customHeight="1" x14ac:dyDescent="0.3">
      <c r="A17" s="25"/>
      <c r="B17" s="25"/>
      <c r="C17" s="25"/>
      <c r="D17" s="25"/>
      <c r="E17" s="25"/>
      <c r="F17" s="25"/>
      <c r="G17" s="25"/>
      <c r="H17" s="25"/>
      <c r="I17" s="26"/>
      <c r="J17" s="26"/>
      <c r="K17" s="26" t="s">
        <v>30</v>
      </c>
      <c r="N17" s="25"/>
      <c r="O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spans="1:33" s="27" customFormat="1" ht="24.95" customHeight="1" x14ac:dyDescent="0.3">
      <c r="A18" s="25"/>
      <c r="B18" s="25"/>
      <c r="C18" s="25"/>
      <c r="D18" s="25"/>
      <c r="E18" s="25"/>
      <c r="F18" s="25"/>
      <c r="G18" s="25"/>
      <c r="H18" s="25"/>
      <c r="I18" s="26"/>
      <c r="J18" s="26" t="s">
        <v>31</v>
      </c>
      <c r="K18" s="26"/>
      <c r="N18" s="25"/>
      <c r="O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27" customFormat="1" ht="24.95" customHeight="1" x14ac:dyDescent="0.3">
      <c r="A19" s="25"/>
      <c r="B19" s="25"/>
      <c r="C19" s="25"/>
      <c r="D19" s="25"/>
      <c r="E19" s="25"/>
      <c r="F19" s="25"/>
      <c r="G19" s="25"/>
      <c r="H19" s="25"/>
      <c r="I19" s="26"/>
      <c r="J19" s="26"/>
      <c r="K19" s="26" t="s">
        <v>32</v>
      </c>
      <c r="N19" s="25"/>
      <c r="O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27" customFormat="1" ht="24.95" customHeight="1" x14ac:dyDescent="0.3">
      <c r="A20" s="25"/>
      <c r="B20" s="25"/>
      <c r="C20" s="25"/>
      <c r="D20" s="25"/>
      <c r="E20" s="25"/>
      <c r="F20" s="25"/>
      <c r="G20" s="25"/>
      <c r="H20" s="25"/>
      <c r="I20" s="26"/>
      <c r="K20" s="26" t="s">
        <v>33</v>
      </c>
      <c r="N20" s="25"/>
      <c r="O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s="27" customFormat="1" ht="24.95" customHeight="1" x14ac:dyDescent="0.3">
      <c r="A21" s="25"/>
      <c r="B21" s="25"/>
      <c r="C21" s="25"/>
      <c r="D21" s="25"/>
      <c r="E21" s="25"/>
      <c r="F21" s="25"/>
      <c r="G21" s="25"/>
      <c r="H21" s="25"/>
      <c r="I21" s="26"/>
      <c r="K21" s="26" t="s">
        <v>34</v>
      </c>
      <c r="N21" s="25"/>
      <c r="O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27" customFormat="1" ht="24.95" customHeight="1" x14ac:dyDescent="0.3">
      <c r="A22" s="25"/>
      <c r="B22" s="25"/>
      <c r="C22" s="25"/>
      <c r="D22" s="25"/>
      <c r="E22" s="25"/>
      <c r="F22" s="25"/>
      <c r="G22" s="25"/>
      <c r="H22" s="25"/>
      <c r="I22" s="26"/>
      <c r="K22" s="26" t="s">
        <v>35</v>
      </c>
      <c r="N22" s="25"/>
      <c r="O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27" customFormat="1" ht="24.95" customHeight="1" x14ac:dyDescent="0.3">
      <c r="A23" s="25"/>
      <c r="B23" s="25"/>
      <c r="C23" s="25"/>
      <c r="D23" s="25"/>
      <c r="E23" s="25"/>
      <c r="F23" s="25"/>
      <c r="G23" s="25"/>
      <c r="H23" s="25"/>
      <c r="I23" s="26"/>
      <c r="K23" s="26" t="s">
        <v>36</v>
      </c>
      <c r="N23" s="25"/>
      <c r="O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s="27" customFormat="1" ht="24.95" customHeight="1" x14ac:dyDescent="0.3">
      <c r="A24" s="25"/>
      <c r="B24" s="25"/>
      <c r="C24" s="25"/>
      <c r="D24" s="25"/>
      <c r="E24" s="25"/>
      <c r="F24" s="25"/>
      <c r="G24" s="25"/>
      <c r="H24" s="25"/>
      <c r="I24" s="26"/>
      <c r="K24" s="26" t="s">
        <v>37</v>
      </c>
      <c r="N24" s="25"/>
      <c r="O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s="27" customFormat="1" ht="24.95" customHeight="1" x14ac:dyDescent="0.3">
      <c r="A25" s="25"/>
      <c r="B25" s="25"/>
      <c r="C25" s="25"/>
      <c r="D25" s="25"/>
      <c r="E25" s="25"/>
      <c r="F25" s="25"/>
      <c r="G25" s="25"/>
      <c r="H25" s="25"/>
      <c r="I25" s="26"/>
      <c r="J25" s="26" t="s">
        <v>38</v>
      </c>
      <c r="K25" s="26"/>
      <c r="N25" s="25"/>
      <c r="O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27" customFormat="1" ht="24.95" customHeight="1" x14ac:dyDescent="0.3">
      <c r="A26" s="25"/>
      <c r="B26" s="25"/>
      <c r="C26" s="25"/>
      <c r="D26" s="25"/>
      <c r="E26" s="25"/>
      <c r="F26" s="25"/>
      <c r="G26" s="25"/>
      <c r="H26" s="25"/>
      <c r="I26" s="26"/>
      <c r="J26" s="26"/>
      <c r="K26" s="26" t="s">
        <v>39</v>
      </c>
      <c r="N26" s="25"/>
      <c r="O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s="27" customFormat="1" ht="24.95" customHeight="1" x14ac:dyDescent="0.3">
      <c r="A27" s="25"/>
      <c r="B27" s="25"/>
      <c r="C27" s="25"/>
      <c r="D27" s="25"/>
      <c r="E27" s="25"/>
      <c r="F27" s="25"/>
      <c r="G27" s="25"/>
      <c r="H27" s="25"/>
      <c r="I27" s="26"/>
      <c r="J27" s="26"/>
      <c r="K27" s="26" t="s">
        <v>40</v>
      </c>
      <c r="N27" s="25"/>
      <c r="O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s="27" customFormat="1" ht="24.95" customHeight="1" x14ac:dyDescent="0.3">
      <c r="A28" s="25"/>
      <c r="B28" s="25"/>
      <c r="C28" s="25"/>
      <c r="D28" s="25"/>
      <c r="E28" s="25"/>
      <c r="F28" s="25"/>
      <c r="G28" s="25"/>
      <c r="H28" s="25"/>
      <c r="I28" s="26"/>
      <c r="J28" s="26"/>
      <c r="K28" s="26"/>
      <c r="N28" s="25"/>
      <c r="O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ht="24.75" customHeight="1" x14ac:dyDescent="0.3">
      <c r="A29" s="20"/>
      <c r="B29" s="20"/>
      <c r="C29" s="20"/>
      <c r="D29" s="20"/>
      <c r="E29" s="20"/>
      <c r="F29" s="20"/>
      <c r="G29" s="23"/>
      <c r="H29" s="23"/>
      <c r="I29" s="28" t="s">
        <v>41</v>
      </c>
      <c r="J29" s="29"/>
      <c r="K29" s="29"/>
      <c r="L29" s="23"/>
      <c r="M29" s="23"/>
      <c r="N29" s="20"/>
      <c r="O29" s="20"/>
      <c r="P29" s="23"/>
      <c r="Q29" s="23"/>
      <c r="R29" s="23"/>
      <c r="S29" s="23"/>
      <c r="T29" s="23"/>
      <c r="U29" s="23"/>
      <c r="V29" s="23"/>
      <c r="W29" s="23"/>
      <c r="X29" s="23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24.95" customHeight="1" x14ac:dyDescent="0.3">
      <c r="A30" s="20"/>
      <c r="B30" s="20"/>
      <c r="C30" s="20"/>
      <c r="D30" s="20"/>
      <c r="E30" s="20"/>
      <c r="F30" s="20"/>
      <c r="G30" s="23"/>
      <c r="H30" s="23"/>
      <c r="I30" s="23"/>
      <c r="J30" s="30" t="s">
        <v>42</v>
      </c>
      <c r="K30" s="22"/>
      <c r="L30" s="29"/>
      <c r="M30" s="29"/>
      <c r="N30" s="20"/>
      <c r="O30" s="20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0"/>
      <c r="AA30" s="20"/>
      <c r="AB30" s="20"/>
      <c r="AC30" s="20"/>
      <c r="AD30" s="20"/>
      <c r="AE30" s="20"/>
      <c r="AF30" s="20"/>
      <c r="AG30" s="20"/>
    </row>
    <row r="31" spans="1:33" ht="24.95" customHeight="1" x14ac:dyDescent="0.3">
      <c r="A31" s="20"/>
      <c r="B31" s="20"/>
      <c r="C31" s="20"/>
      <c r="D31" s="20"/>
      <c r="E31" s="20"/>
      <c r="F31" s="20"/>
      <c r="G31" s="23"/>
      <c r="H31" s="23"/>
      <c r="I31" s="23"/>
      <c r="J31" s="30" t="s">
        <v>43</v>
      </c>
      <c r="K31" s="22"/>
      <c r="L31" s="22"/>
      <c r="M31" s="31"/>
      <c r="N31" s="20"/>
      <c r="O31" s="20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20"/>
      <c r="AA31" s="20"/>
      <c r="AB31" s="20"/>
      <c r="AC31" s="20"/>
      <c r="AD31" s="20"/>
      <c r="AE31" s="20"/>
      <c r="AF31" s="20"/>
      <c r="AG31" s="20"/>
    </row>
    <row r="32" spans="1:33" ht="24.95" customHeight="1" x14ac:dyDescent="0.3">
      <c r="A32" s="20"/>
      <c r="B32" s="20"/>
      <c r="C32" s="20"/>
      <c r="D32" s="20"/>
      <c r="E32" s="20"/>
      <c r="F32" s="20"/>
      <c r="G32" s="23"/>
      <c r="H32" s="23"/>
      <c r="I32" s="23"/>
      <c r="J32" s="22"/>
      <c r="K32" s="22"/>
      <c r="L32" s="22"/>
      <c r="M32" s="31"/>
      <c r="N32" s="20"/>
      <c r="O32" s="20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20"/>
      <c r="AA32" s="20"/>
      <c r="AB32" s="20"/>
      <c r="AC32" s="20"/>
      <c r="AD32" s="20"/>
      <c r="AE32" s="20"/>
      <c r="AF32" s="20"/>
      <c r="AG32" s="20"/>
    </row>
    <row r="33" spans="1:34" ht="1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16"/>
    </row>
    <row r="34" spans="1:34" ht="16.5" customHeight="1" x14ac:dyDescent="0.3"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34" ht="16.5" customHeight="1" x14ac:dyDescent="0.3"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34" ht="16.5" customHeight="1" x14ac:dyDescent="0.3"/>
    <row r="37" spans="1:34" ht="16.5" customHeight="1" x14ac:dyDescent="0.3"/>
    <row r="38" spans="1:34" ht="16.5" customHeight="1" x14ac:dyDescent="0.3"/>
    <row r="39" spans="1:34" ht="16.5" customHeight="1" x14ac:dyDescent="0.3"/>
    <row r="40" spans="1:34" ht="16.5" customHeight="1" x14ac:dyDescent="0.3"/>
    <row r="41" spans="1:34" ht="16.5" customHeight="1" x14ac:dyDescent="0.3"/>
    <row r="42" spans="1:34" ht="16.5" customHeight="1" x14ac:dyDescent="0.3"/>
    <row r="43" spans="1:34" ht="16.5" customHeight="1" x14ac:dyDescent="0.3"/>
    <row r="44" spans="1:34" ht="16.5" customHeight="1" x14ac:dyDescent="0.3"/>
    <row r="45" spans="1:34" ht="16.5" customHeight="1" x14ac:dyDescent="0.3"/>
    <row r="46" spans="1:34" ht="16.5" customHeight="1" x14ac:dyDescent="0.3"/>
    <row r="47" spans="1:34" ht="16.5" customHeight="1" x14ac:dyDescent="0.3"/>
    <row r="48" spans="1:34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</sheetData>
  <phoneticPr fontId="3" type="noConversion"/>
  <printOptions horizontalCentered="1"/>
  <pageMargins left="0.39370078740157483" right="0.39370078740157483" top="0.43307086614173229" bottom="0.43307086614173229" header="0" footer="0"/>
  <pageSetup paperSize="9" orientation="portrait" r:id="rId1"/>
  <headerFooter differentFirst="1">
    <oddFooter>&amp;C&amp;10&amp;P/&amp;N</oddFooter>
  </headerFooter>
  <rowBreaks count="1" manualBreakCount="1">
    <brk id="41" max="3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D5F0-27D2-4BBD-9BE2-14C7DE93B21D}">
  <dimension ref="B1:X66"/>
  <sheetViews>
    <sheetView showGridLines="0" view="pageBreakPreview" zoomScale="70" zoomScaleNormal="100" zoomScaleSheetLayoutView="70" workbookViewId="0">
      <selection activeCell="AC36" sqref="AC36"/>
    </sheetView>
  </sheetViews>
  <sheetFormatPr defaultRowHeight="16.5" x14ac:dyDescent="0.3"/>
  <cols>
    <col min="1" max="33" width="2.625" customWidth="1"/>
  </cols>
  <sheetData>
    <row r="1" spans="2:5" ht="15" customHeight="1" x14ac:dyDescent="0.3"/>
    <row r="2" spans="2:5" ht="15" customHeight="1" x14ac:dyDescent="0.3"/>
    <row r="3" spans="2:5" ht="15" customHeight="1" x14ac:dyDescent="0.3"/>
    <row r="4" spans="2:5" ht="20.100000000000001" customHeight="1" x14ac:dyDescent="0.3">
      <c r="B4" s="17" t="s">
        <v>44</v>
      </c>
    </row>
    <row r="5" spans="2:5" ht="15" customHeight="1" x14ac:dyDescent="0.3">
      <c r="B5" s="17"/>
    </row>
    <row r="6" spans="2:5" ht="15" customHeight="1" x14ac:dyDescent="0.3">
      <c r="C6" s="18"/>
    </row>
    <row r="7" spans="2:5" ht="9.9499999999999993" customHeight="1" x14ac:dyDescent="0.3">
      <c r="C7" s="18"/>
    </row>
    <row r="8" spans="2:5" ht="15" customHeight="1" x14ac:dyDescent="0.3"/>
    <row r="9" spans="2:5" ht="9.9499999999999993" customHeight="1" x14ac:dyDescent="0.3"/>
    <row r="10" spans="2:5" ht="15" customHeight="1" x14ac:dyDescent="0.3">
      <c r="E10" s="1"/>
    </row>
    <row r="11" spans="2:5" ht="15" customHeight="1" x14ac:dyDescent="0.3"/>
    <row r="12" spans="2:5" ht="15" customHeight="1" x14ac:dyDescent="0.3"/>
    <row r="13" spans="2:5" ht="15" customHeight="1" x14ac:dyDescent="0.3"/>
    <row r="14" spans="2:5" ht="15" customHeight="1" x14ac:dyDescent="0.3"/>
    <row r="15" spans="2:5" ht="15" customHeight="1" x14ac:dyDescent="0.3"/>
    <row r="16" spans="2:5" ht="15" customHeight="1" x14ac:dyDescent="0.3"/>
    <row r="17" spans="9:24" ht="15" customHeight="1" x14ac:dyDescent="0.3"/>
    <row r="18" spans="9:24" ht="15" customHeight="1" x14ac:dyDescent="0.3"/>
    <row r="19" spans="9:24" ht="15" customHeight="1" x14ac:dyDescent="0.3"/>
    <row r="20" spans="9:24" ht="15" customHeight="1" x14ac:dyDescent="0.3"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9:24" ht="15" customHeight="1" x14ac:dyDescent="0.3"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9:24" ht="15" customHeight="1" x14ac:dyDescent="0.3"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9:24" ht="15" customHeight="1" x14ac:dyDescent="0.3"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9:24" ht="15" customHeight="1" x14ac:dyDescent="0.3"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9:24" ht="15" customHeight="1" x14ac:dyDescent="0.3"/>
    <row r="26" spans="9:24" ht="15" customHeight="1" x14ac:dyDescent="0.3"/>
    <row r="27" spans="9:24" ht="15" customHeight="1" x14ac:dyDescent="0.3"/>
    <row r="28" spans="9:24" ht="15" customHeight="1" x14ac:dyDescent="0.3"/>
    <row r="29" spans="9:24" ht="15" customHeight="1" x14ac:dyDescent="0.3">
      <c r="I29" s="34"/>
      <c r="J29" s="34"/>
      <c r="K29" s="34"/>
      <c r="L29" s="34"/>
      <c r="M29" s="34"/>
      <c r="N29" s="34"/>
    </row>
    <row r="30" spans="9:24" ht="15" customHeight="1" x14ac:dyDescent="0.3">
      <c r="I30" s="34"/>
      <c r="J30" s="34"/>
      <c r="K30" s="34"/>
      <c r="L30" s="34"/>
      <c r="M30" s="34"/>
      <c r="N30" s="34"/>
    </row>
    <row r="31" spans="9:24" ht="15" customHeight="1" x14ac:dyDescent="0.3">
      <c r="I31" s="34"/>
      <c r="J31" s="34"/>
      <c r="K31" s="34"/>
      <c r="L31" s="34"/>
      <c r="M31" s="34"/>
      <c r="N31" s="34"/>
    </row>
    <row r="32" spans="9:24" ht="15" customHeight="1" x14ac:dyDescent="0.3"/>
    <row r="33" s="35" customFormat="1" ht="18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</sheetData>
  <phoneticPr fontId="3" type="noConversion"/>
  <printOptions horizontalCentered="1"/>
  <pageMargins left="0.39370078740157483" right="0.39370078740157483" top="0.43307086614173229" bottom="0.43307086614173229" header="0" footer="0"/>
  <pageSetup paperSize="9" orientation="portrait" r:id="rId1"/>
  <headerFooter differentFirst="1">
    <oddFooter xml:space="preserve">&amp;C&amp;10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A42-6D81-4CF5-A3A1-5467D0979141}">
  <dimension ref="A4:R14"/>
  <sheetViews>
    <sheetView showGridLines="0" view="pageBreakPreview" zoomScale="85" zoomScaleNormal="70" zoomScaleSheetLayoutView="85" workbookViewId="0">
      <selection activeCell="R23" sqref="R23"/>
    </sheetView>
  </sheetViews>
  <sheetFormatPr defaultColWidth="9" defaultRowHeight="13.5" x14ac:dyDescent="0.3"/>
  <cols>
    <col min="1" max="1" width="6.125" style="36" customWidth="1"/>
    <col min="2" max="5" width="6.375" style="36" customWidth="1"/>
    <col min="6" max="9" width="5.625" style="36" customWidth="1"/>
    <col min="10" max="15" width="6.875" style="36" customWidth="1"/>
    <col min="16" max="16" width="11.75" style="36" customWidth="1"/>
    <col min="17" max="17" width="9.125" style="36" customWidth="1"/>
    <col min="18" max="16384" width="9" style="36"/>
  </cols>
  <sheetData>
    <row r="4" spans="1:18" ht="20.25" x14ac:dyDescent="0.3">
      <c r="A4" s="17" t="s">
        <v>26</v>
      </c>
    </row>
    <row r="5" spans="1:18" ht="14.25" thickBot="1" x14ac:dyDescent="0.35"/>
    <row r="6" spans="1:18" ht="24.95" customHeight="1" x14ac:dyDescent="0.3">
      <c r="A6" s="217" t="s">
        <v>45</v>
      </c>
      <c r="B6" s="217" t="s">
        <v>46</v>
      </c>
      <c r="C6" s="217"/>
      <c r="D6" s="217"/>
      <c r="E6" s="217"/>
      <c r="F6" s="217" t="s">
        <v>47</v>
      </c>
      <c r="G6" s="217"/>
      <c r="H6" s="217"/>
      <c r="I6" s="219"/>
      <c r="J6" s="221" t="s">
        <v>48</v>
      </c>
      <c r="K6" s="222"/>
      <c r="L6" s="222"/>
      <c r="M6" s="223"/>
      <c r="N6" s="224" t="s">
        <v>49</v>
      </c>
      <c r="O6" s="217"/>
      <c r="P6" s="217" t="s">
        <v>50</v>
      </c>
      <c r="Q6" s="217"/>
      <c r="R6" s="217"/>
    </row>
    <row r="7" spans="1:18" ht="30" customHeight="1" thickBot="1" x14ac:dyDescent="0.35">
      <c r="A7" s="218"/>
      <c r="B7" s="218"/>
      <c r="C7" s="218"/>
      <c r="D7" s="218"/>
      <c r="E7" s="218"/>
      <c r="F7" s="218"/>
      <c r="G7" s="218"/>
      <c r="H7" s="218"/>
      <c r="I7" s="220"/>
      <c r="J7" s="37" t="s">
        <v>51</v>
      </c>
      <c r="K7" s="38" t="s">
        <v>52</v>
      </c>
      <c r="L7" s="38" t="s">
        <v>53</v>
      </c>
      <c r="M7" s="39" t="s">
        <v>54</v>
      </c>
      <c r="N7" s="225"/>
      <c r="O7" s="218"/>
      <c r="P7" s="218"/>
      <c r="Q7" s="218"/>
      <c r="R7" s="218"/>
    </row>
    <row r="8" spans="1:18" ht="42" customHeight="1" thickTop="1" x14ac:dyDescent="0.3">
      <c r="A8" s="40"/>
      <c r="B8" s="226"/>
      <c r="C8" s="226"/>
      <c r="D8" s="226"/>
      <c r="E8" s="226"/>
      <c r="F8" s="227"/>
      <c r="G8" s="227"/>
      <c r="H8" s="227"/>
      <c r="I8" s="228"/>
      <c r="J8" s="41"/>
      <c r="K8" s="42"/>
      <c r="L8" s="42"/>
      <c r="M8" s="43"/>
      <c r="N8" s="229"/>
      <c r="O8" s="230"/>
      <c r="P8" s="230"/>
      <c r="Q8" s="230"/>
      <c r="R8" s="230"/>
    </row>
    <row r="9" spans="1:18" ht="42" customHeight="1" x14ac:dyDescent="0.3">
      <c r="A9" s="44"/>
      <c r="B9" s="231"/>
      <c r="C9" s="231"/>
      <c r="D9" s="231"/>
      <c r="E9" s="231"/>
      <c r="F9" s="232"/>
      <c r="G9" s="232"/>
      <c r="H9" s="232"/>
      <c r="I9" s="233"/>
      <c r="J9" s="45"/>
      <c r="K9" s="46"/>
      <c r="L9" s="46"/>
      <c r="M9" s="47"/>
      <c r="N9" s="234"/>
      <c r="O9" s="235"/>
      <c r="P9" s="236"/>
      <c r="Q9" s="237"/>
      <c r="R9" s="237"/>
    </row>
    <row r="10" spans="1:18" ht="42" customHeight="1" x14ac:dyDescent="0.3">
      <c r="A10" s="44"/>
      <c r="B10" s="231"/>
      <c r="C10" s="231"/>
      <c r="D10" s="231"/>
      <c r="E10" s="231"/>
      <c r="F10" s="232"/>
      <c r="G10" s="232"/>
      <c r="H10" s="232"/>
      <c r="I10" s="233"/>
      <c r="J10" s="45"/>
      <c r="K10" s="46"/>
      <c r="L10" s="46"/>
      <c r="M10" s="47"/>
      <c r="N10" s="238"/>
      <c r="O10" s="235"/>
      <c r="P10" s="235"/>
      <c r="Q10" s="235"/>
      <c r="R10" s="235"/>
    </row>
    <row r="11" spans="1:18" ht="42" customHeight="1" x14ac:dyDescent="0.3">
      <c r="A11" s="48"/>
      <c r="B11" s="239"/>
      <c r="C11" s="239"/>
      <c r="D11" s="239"/>
      <c r="E11" s="239"/>
      <c r="F11" s="240"/>
      <c r="G11" s="240"/>
      <c r="H11" s="240"/>
      <c r="I11" s="241"/>
      <c r="J11" s="49"/>
      <c r="K11" s="50"/>
      <c r="L11" s="50"/>
      <c r="M11" s="51"/>
      <c r="N11" s="238"/>
      <c r="O11" s="235"/>
      <c r="P11" s="235"/>
      <c r="Q11" s="235"/>
      <c r="R11" s="235"/>
    </row>
    <row r="12" spans="1:18" ht="42" customHeight="1" x14ac:dyDescent="0.3">
      <c r="A12" s="44"/>
      <c r="B12" s="231"/>
      <c r="C12" s="231"/>
      <c r="D12" s="231"/>
      <c r="E12" s="231"/>
      <c r="F12" s="245"/>
      <c r="G12" s="245"/>
      <c r="H12" s="245"/>
      <c r="I12" s="246"/>
      <c r="J12" s="49"/>
      <c r="K12" s="50"/>
      <c r="L12" s="50"/>
      <c r="M12" s="51"/>
      <c r="N12" s="238"/>
      <c r="O12" s="235"/>
      <c r="P12" s="235"/>
      <c r="Q12" s="235"/>
      <c r="R12" s="235"/>
    </row>
    <row r="13" spans="1:18" ht="42" customHeight="1" thickBot="1" x14ac:dyDescent="0.35">
      <c r="A13" s="48"/>
      <c r="B13" s="239"/>
      <c r="C13" s="239"/>
      <c r="D13" s="239"/>
      <c r="E13" s="239"/>
      <c r="F13" s="247"/>
      <c r="G13" s="247"/>
      <c r="H13" s="247"/>
      <c r="I13" s="248"/>
      <c r="J13" s="52"/>
      <c r="K13" s="53"/>
      <c r="L13" s="53"/>
      <c r="M13" s="54"/>
      <c r="N13" s="238"/>
      <c r="O13" s="235"/>
      <c r="P13" s="235"/>
      <c r="Q13" s="235"/>
      <c r="R13" s="235"/>
    </row>
    <row r="14" spans="1:18" ht="69" customHeight="1" x14ac:dyDescent="0.3">
      <c r="A14" s="242" t="s">
        <v>55</v>
      </c>
      <c r="B14" s="243"/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4"/>
    </row>
  </sheetData>
  <mergeCells count="31">
    <mergeCell ref="A14:R14"/>
    <mergeCell ref="B12:E12"/>
    <mergeCell ref="F12:I12"/>
    <mergeCell ref="N12:O12"/>
    <mergeCell ref="P12:R12"/>
    <mergeCell ref="B13:E13"/>
    <mergeCell ref="F13:I13"/>
    <mergeCell ref="N13:O13"/>
    <mergeCell ref="P13:R13"/>
    <mergeCell ref="B10:E10"/>
    <mergeCell ref="F10:I10"/>
    <mergeCell ref="N10:O10"/>
    <mergeCell ref="P10:R10"/>
    <mergeCell ref="B11:E11"/>
    <mergeCell ref="F11:I11"/>
    <mergeCell ref="N11:O11"/>
    <mergeCell ref="P11:R11"/>
    <mergeCell ref="B8:E8"/>
    <mergeCell ref="F8:I8"/>
    <mergeCell ref="N8:O8"/>
    <mergeCell ref="P8:R8"/>
    <mergeCell ref="B9:E9"/>
    <mergeCell ref="F9:I9"/>
    <mergeCell ref="N9:O9"/>
    <mergeCell ref="P9:R9"/>
    <mergeCell ref="P6:R7"/>
    <mergeCell ref="A6:A7"/>
    <mergeCell ref="B6:E7"/>
    <mergeCell ref="F6:I7"/>
    <mergeCell ref="J6:M6"/>
    <mergeCell ref="N6:O7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BD7E-8E43-4125-B1D8-E17C635FC697}">
  <dimension ref="B1:AE43"/>
  <sheetViews>
    <sheetView showGridLines="0" view="pageBreakPreview" zoomScaleNormal="100" zoomScaleSheetLayoutView="100" workbookViewId="0">
      <selection activeCell="AM16" sqref="AM16"/>
    </sheetView>
  </sheetViews>
  <sheetFormatPr defaultRowHeight="16.5" x14ac:dyDescent="0.3"/>
  <cols>
    <col min="1" max="33" width="2.625" customWidth="1"/>
  </cols>
  <sheetData>
    <row r="1" spans="2:31" ht="15" customHeight="1" x14ac:dyDescent="0.3"/>
    <row r="2" spans="2:31" ht="15" customHeight="1" x14ac:dyDescent="0.3"/>
    <row r="3" spans="2:31" ht="15" customHeight="1" x14ac:dyDescent="0.3"/>
    <row r="4" spans="2:31" ht="20.100000000000001" customHeight="1" x14ac:dyDescent="0.3">
      <c r="B4" s="17" t="s">
        <v>27</v>
      </c>
    </row>
    <row r="5" spans="2:31" ht="15" customHeight="1" x14ac:dyDescent="0.3">
      <c r="B5" s="17"/>
    </row>
    <row r="6" spans="2:31" s="1" customFormat="1" ht="30" customHeight="1" x14ac:dyDescent="0.3">
      <c r="C6" s="249" t="s">
        <v>56</v>
      </c>
      <c r="D6" s="249"/>
      <c r="E6" s="249"/>
      <c r="F6" s="249"/>
      <c r="G6" s="249"/>
      <c r="H6" s="249"/>
      <c r="I6" s="250" t="s">
        <v>57</v>
      </c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 t="s">
        <v>58</v>
      </c>
      <c r="X6" s="250"/>
      <c r="Y6" s="250"/>
      <c r="Z6" s="250"/>
      <c r="AA6" s="250"/>
      <c r="AB6" s="250" t="s">
        <v>59</v>
      </c>
      <c r="AC6" s="250"/>
      <c r="AD6" s="250"/>
      <c r="AE6" s="250"/>
    </row>
    <row r="7" spans="2:31" s="1" customFormat="1" ht="30" customHeight="1" x14ac:dyDescent="0.3">
      <c r="C7" s="251" t="s">
        <v>60</v>
      </c>
      <c r="D7" s="252"/>
      <c r="E7" s="252"/>
      <c r="F7" s="252"/>
      <c r="G7" s="252"/>
      <c r="H7" s="253"/>
      <c r="I7" s="257" t="s">
        <v>61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8" t="s">
        <v>62</v>
      </c>
      <c r="X7" s="258"/>
      <c r="Y7" s="258"/>
      <c r="Z7" s="258"/>
      <c r="AA7" s="258"/>
      <c r="AB7" s="258"/>
      <c r="AC7" s="258"/>
      <c r="AD7" s="258"/>
      <c r="AE7" s="258"/>
    </row>
    <row r="8" spans="2:31" s="1" customFormat="1" ht="30" customHeight="1" x14ac:dyDescent="0.3">
      <c r="C8" s="254"/>
      <c r="D8" s="255"/>
      <c r="E8" s="255"/>
      <c r="F8" s="255"/>
      <c r="G8" s="255"/>
      <c r="H8" s="256"/>
      <c r="I8" s="259" t="s">
        <v>63</v>
      </c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60" t="s">
        <v>62</v>
      </c>
      <c r="X8" s="260"/>
      <c r="Y8" s="260"/>
      <c r="Z8" s="260"/>
      <c r="AA8" s="260"/>
      <c r="AB8" s="260"/>
      <c r="AC8" s="260"/>
      <c r="AD8" s="260"/>
      <c r="AE8" s="260"/>
    </row>
    <row r="9" spans="2:31" s="1" customFormat="1" ht="30" customHeight="1" x14ac:dyDescent="0.3">
      <c r="C9" s="251" t="s">
        <v>64</v>
      </c>
      <c r="D9" s="252"/>
      <c r="E9" s="252"/>
      <c r="F9" s="252"/>
      <c r="G9" s="252"/>
      <c r="H9" s="253"/>
      <c r="I9" s="257" t="s">
        <v>65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8" t="s">
        <v>66</v>
      </c>
      <c r="X9" s="258"/>
      <c r="Y9" s="258"/>
      <c r="Z9" s="258"/>
      <c r="AA9" s="258"/>
      <c r="AB9" s="258"/>
      <c r="AC9" s="258"/>
      <c r="AD9" s="258"/>
      <c r="AE9" s="258"/>
    </row>
    <row r="10" spans="2:31" s="1" customFormat="1" ht="30" customHeight="1" x14ac:dyDescent="0.3">
      <c r="C10" s="263"/>
      <c r="D10" s="264"/>
      <c r="E10" s="264"/>
      <c r="F10" s="264"/>
      <c r="G10" s="264"/>
      <c r="H10" s="265"/>
      <c r="I10" s="266" t="s">
        <v>67</v>
      </c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7" t="s">
        <v>66</v>
      </c>
      <c r="X10" s="267"/>
      <c r="Y10" s="267"/>
      <c r="Z10" s="267"/>
      <c r="AA10" s="267"/>
      <c r="AB10" s="267"/>
      <c r="AC10" s="267"/>
      <c r="AD10" s="267"/>
      <c r="AE10" s="267"/>
    </row>
    <row r="11" spans="2:31" s="1" customFormat="1" ht="30" customHeight="1" x14ac:dyDescent="0.3">
      <c r="C11" s="254"/>
      <c r="D11" s="255"/>
      <c r="E11" s="255"/>
      <c r="F11" s="255"/>
      <c r="G11" s="255"/>
      <c r="H11" s="256"/>
      <c r="I11" s="259" t="s">
        <v>68</v>
      </c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60" t="s">
        <v>66</v>
      </c>
      <c r="X11" s="260"/>
      <c r="Y11" s="260"/>
      <c r="Z11" s="260"/>
      <c r="AA11" s="260"/>
      <c r="AB11" s="260"/>
      <c r="AC11" s="260"/>
      <c r="AD11" s="260"/>
      <c r="AE11" s="260"/>
    </row>
    <row r="12" spans="2:31" s="1" customFormat="1" ht="30" customHeight="1" x14ac:dyDescent="0.3">
      <c r="C12" s="261" t="s">
        <v>69</v>
      </c>
      <c r="D12" s="261"/>
      <c r="E12" s="261"/>
      <c r="F12" s="261"/>
      <c r="G12" s="261"/>
      <c r="H12" s="261"/>
      <c r="I12" s="262" t="s">
        <v>70</v>
      </c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1" t="s">
        <v>62</v>
      </c>
      <c r="X12" s="261"/>
      <c r="Y12" s="261"/>
      <c r="Z12" s="261"/>
      <c r="AA12" s="261"/>
      <c r="AB12" s="261"/>
      <c r="AC12" s="261"/>
      <c r="AD12" s="261"/>
      <c r="AE12" s="261"/>
    </row>
    <row r="13" spans="2:31" s="1" customFormat="1" ht="30" customHeight="1" x14ac:dyDescent="0.3">
      <c r="C13" s="251" t="s">
        <v>71</v>
      </c>
      <c r="D13" s="252"/>
      <c r="E13" s="252"/>
      <c r="F13" s="252"/>
      <c r="G13" s="252"/>
      <c r="H13" s="253"/>
      <c r="I13" s="257" t="s">
        <v>72</v>
      </c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8" t="s">
        <v>73</v>
      </c>
      <c r="X13" s="258"/>
      <c r="Y13" s="258"/>
      <c r="Z13" s="258"/>
      <c r="AA13" s="258"/>
      <c r="AB13" s="258" t="s">
        <v>74</v>
      </c>
      <c r="AC13" s="258"/>
      <c r="AD13" s="258"/>
      <c r="AE13" s="258"/>
    </row>
    <row r="14" spans="2:31" s="1" customFormat="1" ht="30" customHeight="1" x14ac:dyDescent="0.3">
      <c r="C14" s="263"/>
      <c r="D14" s="264"/>
      <c r="E14" s="264"/>
      <c r="F14" s="264"/>
      <c r="G14" s="264"/>
      <c r="H14" s="265"/>
      <c r="I14" s="266" t="s">
        <v>75</v>
      </c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7" t="s">
        <v>76</v>
      </c>
      <c r="X14" s="267"/>
      <c r="Y14" s="267"/>
      <c r="Z14" s="267"/>
      <c r="AA14" s="267"/>
      <c r="AB14" s="267"/>
      <c r="AC14" s="267"/>
      <c r="AD14" s="267"/>
      <c r="AE14" s="267"/>
    </row>
    <row r="15" spans="2:31" s="1" customFormat="1" ht="30" customHeight="1" x14ac:dyDescent="0.3">
      <c r="C15" s="263"/>
      <c r="D15" s="264"/>
      <c r="E15" s="264"/>
      <c r="F15" s="264"/>
      <c r="G15" s="264"/>
      <c r="H15" s="265"/>
      <c r="I15" s="266" t="s">
        <v>77</v>
      </c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7" t="s">
        <v>73</v>
      </c>
      <c r="X15" s="267"/>
      <c r="Y15" s="267"/>
      <c r="Z15" s="267"/>
      <c r="AA15" s="267"/>
      <c r="AB15" s="267"/>
      <c r="AC15" s="267"/>
      <c r="AD15" s="267"/>
      <c r="AE15" s="267"/>
    </row>
    <row r="16" spans="2:31" s="1" customFormat="1" ht="30" customHeight="1" x14ac:dyDescent="0.3">
      <c r="C16" s="263"/>
      <c r="D16" s="264"/>
      <c r="E16" s="264"/>
      <c r="F16" s="264"/>
      <c r="G16" s="264"/>
      <c r="H16" s="265"/>
      <c r="I16" s="266" t="s">
        <v>78</v>
      </c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7" t="s">
        <v>73</v>
      </c>
      <c r="X16" s="267"/>
      <c r="Y16" s="267"/>
      <c r="Z16" s="267"/>
      <c r="AA16" s="267"/>
      <c r="AB16" s="267"/>
      <c r="AC16" s="267"/>
      <c r="AD16" s="267"/>
      <c r="AE16" s="267"/>
    </row>
    <row r="17" spans="3:31" s="1" customFormat="1" ht="30" customHeight="1" x14ac:dyDescent="0.3">
      <c r="C17" s="263"/>
      <c r="D17" s="264"/>
      <c r="E17" s="264"/>
      <c r="F17" s="264"/>
      <c r="G17" s="264"/>
      <c r="H17" s="265"/>
      <c r="I17" s="266" t="s">
        <v>79</v>
      </c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7" t="s">
        <v>73</v>
      </c>
      <c r="X17" s="267"/>
      <c r="Y17" s="267"/>
      <c r="Z17" s="267"/>
      <c r="AA17" s="267"/>
      <c r="AB17" s="267"/>
      <c r="AC17" s="267"/>
      <c r="AD17" s="267"/>
      <c r="AE17" s="267"/>
    </row>
    <row r="18" spans="3:31" s="1" customFormat="1" ht="30" customHeight="1" x14ac:dyDescent="0.3">
      <c r="C18" s="254"/>
      <c r="D18" s="255"/>
      <c r="E18" s="255"/>
      <c r="F18" s="255"/>
      <c r="G18" s="255"/>
      <c r="H18" s="256"/>
      <c r="I18" s="259" t="s">
        <v>80</v>
      </c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60" t="s">
        <v>66</v>
      </c>
      <c r="X18" s="260"/>
      <c r="Y18" s="260"/>
      <c r="Z18" s="260"/>
      <c r="AA18" s="260"/>
      <c r="AB18" s="260"/>
      <c r="AC18" s="260"/>
      <c r="AD18" s="260"/>
      <c r="AE18" s="260"/>
    </row>
    <row r="19" spans="3:31" s="1" customFormat="1" ht="30" customHeight="1" x14ac:dyDescent="0.3">
      <c r="C19" s="261" t="s">
        <v>81</v>
      </c>
      <c r="D19" s="261"/>
      <c r="E19" s="261"/>
      <c r="F19" s="261"/>
      <c r="G19" s="261"/>
      <c r="H19" s="261"/>
      <c r="I19" s="262" t="s">
        <v>82</v>
      </c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1" t="s">
        <v>83</v>
      </c>
      <c r="X19" s="261"/>
      <c r="Y19" s="261"/>
      <c r="Z19" s="261"/>
      <c r="AA19" s="261"/>
      <c r="AB19" s="261"/>
      <c r="AC19" s="261"/>
      <c r="AD19" s="261"/>
      <c r="AE19" s="261"/>
    </row>
    <row r="20" spans="3:31" s="1" customFormat="1" ht="30" customHeight="1" x14ac:dyDescent="0.3">
      <c r="C20" s="261" t="s">
        <v>84</v>
      </c>
      <c r="D20" s="261"/>
      <c r="E20" s="261"/>
      <c r="F20" s="261"/>
      <c r="G20" s="261"/>
      <c r="H20" s="261"/>
      <c r="I20" s="262" t="s">
        <v>85</v>
      </c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1" t="s">
        <v>86</v>
      </c>
      <c r="X20" s="261"/>
      <c r="Y20" s="261"/>
      <c r="Z20" s="261"/>
      <c r="AA20" s="261"/>
      <c r="AB20" s="261"/>
      <c r="AC20" s="261"/>
      <c r="AD20" s="261"/>
      <c r="AE20" s="261"/>
    </row>
    <row r="21" spans="3:31" s="1" customFormat="1" ht="30" customHeight="1" x14ac:dyDescent="0.3">
      <c r="C21" s="251" t="s">
        <v>87</v>
      </c>
      <c r="D21" s="252"/>
      <c r="E21" s="252"/>
      <c r="F21" s="252"/>
      <c r="G21" s="252"/>
      <c r="H21" s="253"/>
      <c r="I21" s="257" t="s">
        <v>88</v>
      </c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8" t="s">
        <v>86</v>
      </c>
      <c r="X21" s="258"/>
      <c r="Y21" s="258"/>
      <c r="Z21" s="258"/>
      <c r="AA21" s="258"/>
      <c r="AB21" s="258"/>
      <c r="AC21" s="258"/>
      <c r="AD21" s="258"/>
      <c r="AE21" s="258"/>
    </row>
    <row r="22" spans="3:31" s="1" customFormat="1" ht="30" customHeight="1" x14ac:dyDescent="0.3">
      <c r="C22" s="254"/>
      <c r="D22" s="255"/>
      <c r="E22" s="255"/>
      <c r="F22" s="255"/>
      <c r="G22" s="255"/>
      <c r="H22" s="256"/>
      <c r="I22" s="259" t="s">
        <v>89</v>
      </c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60" t="s">
        <v>86</v>
      </c>
      <c r="X22" s="260"/>
      <c r="Y22" s="260"/>
      <c r="Z22" s="260"/>
      <c r="AA22" s="260"/>
      <c r="AB22" s="260"/>
      <c r="AC22" s="260"/>
      <c r="AD22" s="260"/>
      <c r="AE22" s="260"/>
    </row>
    <row r="23" spans="3:31" s="1" customFormat="1" ht="30" customHeight="1" x14ac:dyDescent="0.3">
      <c r="C23" s="251" t="s">
        <v>90</v>
      </c>
      <c r="D23" s="252"/>
      <c r="E23" s="252"/>
      <c r="F23" s="252"/>
      <c r="G23" s="252"/>
      <c r="H23" s="253"/>
      <c r="I23" s="257" t="s">
        <v>91</v>
      </c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8" t="s">
        <v>76</v>
      </c>
      <c r="X23" s="258"/>
      <c r="Y23" s="258"/>
      <c r="Z23" s="258"/>
      <c r="AA23" s="258"/>
      <c r="AB23" s="258"/>
      <c r="AC23" s="258"/>
      <c r="AD23" s="258"/>
      <c r="AE23" s="258"/>
    </row>
    <row r="24" spans="3:31" s="1" customFormat="1" ht="30" customHeight="1" x14ac:dyDescent="0.3">
      <c r="C24" s="254"/>
      <c r="D24" s="255"/>
      <c r="E24" s="255"/>
      <c r="F24" s="255"/>
      <c r="G24" s="255"/>
      <c r="H24" s="256"/>
      <c r="I24" s="259" t="s">
        <v>92</v>
      </c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60" t="s">
        <v>73</v>
      </c>
      <c r="X24" s="260"/>
      <c r="Y24" s="260"/>
      <c r="Z24" s="260"/>
      <c r="AA24" s="260"/>
      <c r="AB24" s="260"/>
      <c r="AC24" s="260"/>
      <c r="AD24" s="260"/>
      <c r="AE24" s="260"/>
    </row>
    <row r="25" spans="3:31" s="1" customFormat="1" ht="30" customHeight="1" x14ac:dyDescent="0.3">
      <c r="C25" s="261" t="s">
        <v>93</v>
      </c>
      <c r="D25" s="261"/>
      <c r="E25" s="261"/>
      <c r="F25" s="261"/>
      <c r="G25" s="261"/>
      <c r="H25" s="261"/>
      <c r="I25" s="262" t="s">
        <v>94</v>
      </c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1" t="s">
        <v>66</v>
      </c>
      <c r="X25" s="261"/>
      <c r="Y25" s="261"/>
      <c r="Z25" s="261"/>
      <c r="AA25" s="261"/>
      <c r="AB25" s="261"/>
      <c r="AC25" s="261"/>
      <c r="AD25" s="261"/>
      <c r="AE25" s="261"/>
    </row>
    <row r="26" spans="3:31" s="1" customFormat="1" ht="30" customHeight="1" x14ac:dyDescent="0.3">
      <c r="C26" s="261"/>
      <c r="D26" s="261"/>
      <c r="E26" s="261"/>
      <c r="F26" s="261"/>
      <c r="G26" s="261"/>
      <c r="H26" s="261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1"/>
      <c r="X26" s="261"/>
      <c r="Y26" s="261"/>
      <c r="Z26" s="261"/>
      <c r="AA26" s="261"/>
      <c r="AB26" s="261"/>
      <c r="AC26" s="261"/>
      <c r="AD26" s="261"/>
      <c r="AE26" s="261"/>
    </row>
    <row r="27" spans="3:31" s="1" customFormat="1" ht="30" customHeight="1" x14ac:dyDescent="0.3">
      <c r="C27" s="261"/>
      <c r="D27" s="261"/>
      <c r="E27" s="261"/>
      <c r="F27" s="261"/>
      <c r="G27" s="261"/>
      <c r="H27" s="261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1"/>
      <c r="X27" s="261"/>
      <c r="Y27" s="261"/>
      <c r="Z27" s="261"/>
      <c r="AA27" s="261"/>
      <c r="AB27" s="261"/>
      <c r="AC27" s="261"/>
      <c r="AD27" s="261"/>
      <c r="AE27" s="261"/>
    </row>
    <row r="28" spans="3:31" s="1" customFormat="1" ht="15" customHeight="1" x14ac:dyDescent="0.3"/>
    <row r="29" spans="3:31" ht="15" customHeight="1" x14ac:dyDescent="0.3"/>
    <row r="30" spans="3:31" ht="15" customHeight="1" x14ac:dyDescent="0.3"/>
    <row r="31" spans="3:31" ht="15" customHeight="1" x14ac:dyDescent="0.3"/>
    <row r="32" spans="3:31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</sheetData>
  <mergeCells count="78">
    <mergeCell ref="C27:H27"/>
    <mergeCell ref="I27:V27"/>
    <mergeCell ref="W27:AA27"/>
    <mergeCell ref="AB27:AE27"/>
    <mergeCell ref="C25:H25"/>
    <mergeCell ref="I25:V25"/>
    <mergeCell ref="W25:AA25"/>
    <mergeCell ref="AB25:AE25"/>
    <mergeCell ref="C26:H26"/>
    <mergeCell ref="I26:V26"/>
    <mergeCell ref="W26:AA26"/>
    <mergeCell ref="AB26:AE26"/>
    <mergeCell ref="C23:H24"/>
    <mergeCell ref="I23:V23"/>
    <mergeCell ref="W23:AA23"/>
    <mergeCell ref="AB23:AE23"/>
    <mergeCell ref="I24:V24"/>
    <mergeCell ref="W24:AA24"/>
    <mergeCell ref="AB24:AE24"/>
    <mergeCell ref="C20:H20"/>
    <mergeCell ref="I20:V20"/>
    <mergeCell ref="W20:AA20"/>
    <mergeCell ref="AB20:AE20"/>
    <mergeCell ref="C21:H22"/>
    <mergeCell ref="I21:V21"/>
    <mergeCell ref="W21:AA21"/>
    <mergeCell ref="AB21:AE21"/>
    <mergeCell ref="I22:V22"/>
    <mergeCell ref="W22:AA22"/>
    <mergeCell ref="AB22:AE22"/>
    <mergeCell ref="I18:V18"/>
    <mergeCell ref="W18:AA18"/>
    <mergeCell ref="AB18:AE18"/>
    <mergeCell ref="C19:H19"/>
    <mergeCell ref="I19:V19"/>
    <mergeCell ref="W19:AA19"/>
    <mergeCell ref="AB19:AE19"/>
    <mergeCell ref="C13:H18"/>
    <mergeCell ref="I13:V13"/>
    <mergeCell ref="W13:AA13"/>
    <mergeCell ref="AB13:AE13"/>
    <mergeCell ref="I14:V14"/>
    <mergeCell ref="W14:AA14"/>
    <mergeCell ref="AB14:AE14"/>
    <mergeCell ref="W15:AA15"/>
    <mergeCell ref="AB15:AE15"/>
    <mergeCell ref="I17:V17"/>
    <mergeCell ref="W17:AA17"/>
    <mergeCell ref="AB17:AE17"/>
    <mergeCell ref="I16:V16"/>
    <mergeCell ref="W16:AA16"/>
    <mergeCell ref="AB16:AE16"/>
    <mergeCell ref="I15:V15"/>
    <mergeCell ref="AB11:AE11"/>
    <mergeCell ref="C12:H12"/>
    <mergeCell ref="I12:V12"/>
    <mergeCell ref="W12:AA12"/>
    <mergeCell ref="AB12:AE12"/>
    <mergeCell ref="C9:H11"/>
    <mergeCell ref="I9:V9"/>
    <mergeCell ref="W9:AA9"/>
    <mergeCell ref="AB9:AE9"/>
    <mergeCell ref="I10:V10"/>
    <mergeCell ref="W10:AA10"/>
    <mergeCell ref="AB10:AE10"/>
    <mergeCell ref="I11:V11"/>
    <mergeCell ref="W11:AA11"/>
    <mergeCell ref="C6:H6"/>
    <mergeCell ref="I6:V6"/>
    <mergeCell ref="W6:AA6"/>
    <mergeCell ref="AB6:AE6"/>
    <mergeCell ref="C7:H8"/>
    <mergeCell ref="I7:V7"/>
    <mergeCell ref="W7:AA7"/>
    <mergeCell ref="AB7:AE7"/>
    <mergeCell ref="I8:V8"/>
    <mergeCell ref="W8:AA8"/>
    <mergeCell ref="AB8:AE8"/>
  </mergeCells>
  <phoneticPr fontId="3" type="noConversion"/>
  <printOptions horizontalCentered="1"/>
  <pageMargins left="0.39370078740157483" right="0.39370078740157483" top="0.43307086614173229" bottom="0.43307086614173229" header="0" footer="0"/>
  <pageSetup paperSize="9" orientation="portrait" r:id="rId1"/>
  <headerFooter differentFirst="1">
    <oddFooter xml:space="preserve">&amp;C&amp;10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86F1-E8B4-4C8C-845C-BB8349950B3E}">
  <dimension ref="A1:AG130"/>
  <sheetViews>
    <sheetView showGridLines="0" view="pageBreakPreview" zoomScale="85" zoomScaleNormal="100" zoomScaleSheetLayoutView="85" workbookViewId="0">
      <selection activeCell="AK44" sqref="AK44"/>
    </sheetView>
  </sheetViews>
  <sheetFormatPr defaultRowHeight="16.5" x14ac:dyDescent="0.3"/>
  <cols>
    <col min="1" max="3" width="2.125" customWidth="1"/>
    <col min="4" max="4" width="1.625" customWidth="1"/>
    <col min="5" max="33" width="2.625" customWidth="1"/>
  </cols>
  <sheetData>
    <row r="1" spans="1:33" ht="15" customHeight="1" x14ac:dyDescent="0.3"/>
    <row r="2" spans="1:33" ht="15" customHeight="1" x14ac:dyDescent="0.3"/>
    <row r="3" spans="1:33" ht="15" customHeight="1" x14ac:dyDescent="0.3"/>
    <row r="4" spans="1:33" ht="20.100000000000001" customHeight="1" x14ac:dyDescent="0.3">
      <c r="A4" s="17" t="s">
        <v>28</v>
      </c>
    </row>
    <row r="5" spans="1:33" ht="15" customHeight="1" x14ac:dyDescent="0.3">
      <c r="A5" s="17"/>
    </row>
    <row r="6" spans="1:33" ht="20.100000000000001" customHeight="1" x14ac:dyDescent="0.3">
      <c r="A6" s="277" t="s">
        <v>95</v>
      </c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9"/>
    </row>
    <row r="7" spans="1:33" ht="20.100000000000001" customHeight="1" x14ac:dyDescent="0.3">
      <c r="A7" s="280" t="s">
        <v>96</v>
      </c>
      <c r="B7" s="269"/>
      <c r="C7" s="270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6"/>
    </row>
    <row r="8" spans="1:33" ht="20.100000000000001" customHeight="1" x14ac:dyDescent="0.3">
      <c r="A8" s="271"/>
      <c r="B8" s="272"/>
      <c r="C8" s="273"/>
      <c r="D8" s="32"/>
      <c r="E8" s="60" t="s">
        <v>97</v>
      </c>
      <c r="F8" s="61"/>
      <c r="G8" s="61"/>
      <c r="H8" s="61"/>
      <c r="I8" s="61"/>
      <c r="J8" s="6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62"/>
    </row>
    <row r="9" spans="1:33" ht="20.100000000000001" customHeight="1" x14ac:dyDescent="0.3">
      <c r="A9" s="271"/>
      <c r="B9" s="272"/>
      <c r="C9" s="273"/>
      <c r="D9" s="32"/>
      <c r="E9" s="63" t="s">
        <v>98</v>
      </c>
      <c r="F9" s="61"/>
      <c r="G9" s="61"/>
      <c r="H9" s="61"/>
      <c r="I9" s="61"/>
      <c r="J9" s="6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62"/>
    </row>
    <row r="10" spans="1:33" ht="20.100000000000001" customHeight="1" x14ac:dyDescent="0.3">
      <c r="A10" s="271"/>
      <c r="B10" s="272"/>
      <c r="C10" s="273"/>
      <c r="D10" s="64"/>
      <c r="E10" s="63" t="s">
        <v>99</v>
      </c>
      <c r="F10" s="61"/>
      <c r="G10" s="61"/>
      <c r="H10" s="61"/>
      <c r="I10" s="61"/>
      <c r="J10" s="6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62"/>
    </row>
    <row r="11" spans="1:33" ht="20.100000000000001" customHeight="1" x14ac:dyDescent="0.3">
      <c r="A11" s="271"/>
      <c r="B11" s="272"/>
      <c r="C11" s="273"/>
      <c r="D11" s="32"/>
      <c r="E11" s="63" t="s">
        <v>100</v>
      </c>
      <c r="F11" s="61"/>
      <c r="G11" s="61"/>
      <c r="H11" s="61"/>
      <c r="I11" s="61"/>
      <c r="J11" s="6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62"/>
    </row>
    <row r="12" spans="1:33" ht="20.100000000000001" customHeight="1" x14ac:dyDescent="0.3">
      <c r="A12" s="271"/>
      <c r="B12" s="272"/>
      <c r="C12" s="273"/>
      <c r="D12" s="32"/>
      <c r="E12" s="63" t="s">
        <v>101</v>
      </c>
      <c r="F12" s="61"/>
      <c r="G12" s="61"/>
      <c r="H12" s="61"/>
      <c r="I12" s="61"/>
      <c r="J12" s="6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62"/>
    </row>
    <row r="13" spans="1:33" ht="20.100000000000001" customHeight="1" x14ac:dyDescent="0.3">
      <c r="A13" s="271"/>
      <c r="B13" s="272"/>
      <c r="C13" s="273"/>
      <c r="D13" s="32"/>
      <c r="E13" s="63" t="s">
        <v>102</v>
      </c>
      <c r="F13" s="61"/>
      <c r="G13" s="61"/>
      <c r="H13" s="61"/>
      <c r="I13" s="61"/>
      <c r="J13" s="6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62"/>
    </row>
    <row r="14" spans="1:33" ht="20.100000000000001" customHeight="1" x14ac:dyDescent="0.3">
      <c r="A14" s="271"/>
      <c r="B14" s="272"/>
      <c r="C14" s="273"/>
      <c r="D14" s="32"/>
      <c r="E14" s="65" t="s">
        <v>103</v>
      </c>
      <c r="F14" s="61"/>
      <c r="G14" s="61"/>
      <c r="H14" s="61"/>
      <c r="I14" s="61"/>
      <c r="J14" s="6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62"/>
    </row>
    <row r="15" spans="1:33" ht="20.100000000000001" customHeight="1" x14ac:dyDescent="0.3">
      <c r="A15" s="271"/>
      <c r="B15" s="272"/>
      <c r="C15" s="273"/>
      <c r="D15" s="32"/>
      <c r="E15" s="63" t="s">
        <v>104</v>
      </c>
      <c r="F15" s="61"/>
      <c r="G15" s="61"/>
      <c r="H15" s="61"/>
      <c r="I15" s="61"/>
      <c r="J15" s="6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62"/>
    </row>
    <row r="16" spans="1:33" ht="20.100000000000001" customHeight="1" x14ac:dyDescent="0.3">
      <c r="A16" s="271"/>
      <c r="B16" s="272"/>
      <c r="C16" s="273"/>
      <c r="D16" s="32"/>
      <c r="E16" s="63" t="s">
        <v>105</v>
      </c>
      <c r="F16" s="61"/>
      <c r="G16" s="61"/>
      <c r="H16" s="61"/>
      <c r="I16" s="61"/>
      <c r="J16" s="6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62"/>
    </row>
    <row r="17" spans="1:33" ht="20.100000000000001" customHeight="1" x14ac:dyDescent="0.3">
      <c r="A17" s="271"/>
      <c r="B17" s="272"/>
      <c r="C17" s="273"/>
      <c r="D17" s="32"/>
      <c r="E17" s="65" t="s">
        <v>106</v>
      </c>
      <c r="F17" s="61"/>
      <c r="G17" s="61"/>
      <c r="H17" s="61"/>
      <c r="I17" s="61"/>
      <c r="J17" s="6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62"/>
    </row>
    <row r="18" spans="1:33" ht="20.100000000000001" customHeight="1" x14ac:dyDescent="0.3">
      <c r="A18" s="271"/>
      <c r="B18" s="272"/>
      <c r="C18" s="273"/>
      <c r="D18" s="32"/>
      <c r="E18" s="65"/>
      <c r="F18" s="61"/>
      <c r="G18" s="61"/>
      <c r="H18" s="66"/>
      <c r="I18" s="66"/>
      <c r="J18" s="66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2"/>
      <c r="AA18" s="32"/>
      <c r="AB18" s="32"/>
      <c r="AC18" s="32"/>
      <c r="AD18" s="32"/>
      <c r="AE18" s="32"/>
      <c r="AF18" s="32"/>
      <c r="AG18" s="62"/>
    </row>
    <row r="19" spans="1:33" ht="20.100000000000001" customHeight="1" x14ac:dyDescent="0.3">
      <c r="A19" s="271"/>
      <c r="B19" s="272"/>
      <c r="C19" s="273"/>
      <c r="D19" s="32"/>
      <c r="E19" s="67" t="s">
        <v>107</v>
      </c>
      <c r="F19" s="61"/>
      <c r="G19" s="61"/>
      <c r="H19" s="61"/>
      <c r="I19" s="61"/>
      <c r="J19" s="6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62"/>
    </row>
    <row r="20" spans="1:33" ht="20.100000000000001" customHeight="1" x14ac:dyDescent="0.3">
      <c r="A20" s="271"/>
      <c r="B20" s="272"/>
      <c r="C20" s="273"/>
      <c r="D20" s="32"/>
      <c r="E20" s="68" t="s">
        <v>108</v>
      </c>
      <c r="F20" s="61"/>
      <c r="G20" s="61"/>
      <c r="H20" s="61"/>
      <c r="I20" s="61"/>
      <c r="J20" s="6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62"/>
    </row>
    <row r="21" spans="1:33" ht="20.100000000000001" customHeight="1" x14ac:dyDescent="0.3">
      <c r="A21" s="271"/>
      <c r="B21" s="272"/>
      <c r="C21" s="273"/>
      <c r="D21" s="32"/>
      <c r="E21" s="69" t="s">
        <v>109</v>
      </c>
      <c r="F21" s="61"/>
      <c r="G21" s="61"/>
      <c r="H21" s="61"/>
      <c r="I21" s="61"/>
      <c r="J21" s="6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62"/>
    </row>
    <row r="22" spans="1:33" ht="20.100000000000001" customHeight="1" x14ac:dyDescent="0.3">
      <c r="A22" s="271"/>
      <c r="B22" s="272"/>
      <c r="C22" s="273"/>
      <c r="D22" s="32"/>
      <c r="E22" s="69" t="s">
        <v>110</v>
      </c>
      <c r="F22" s="61"/>
      <c r="G22" s="61"/>
      <c r="H22" s="61"/>
      <c r="I22" s="61"/>
      <c r="J22" s="6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62"/>
    </row>
    <row r="23" spans="1:33" ht="20.100000000000001" customHeight="1" x14ac:dyDescent="0.3">
      <c r="A23" s="271"/>
      <c r="B23" s="272"/>
      <c r="C23" s="273"/>
      <c r="D23" s="32"/>
      <c r="E23" s="69" t="s">
        <v>111</v>
      </c>
      <c r="F23" s="61"/>
      <c r="G23" s="61"/>
      <c r="H23" s="61"/>
      <c r="I23" s="61"/>
      <c r="J23" s="6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62"/>
    </row>
    <row r="24" spans="1:33" ht="20.100000000000001" customHeight="1" x14ac:dyDescent="0.3">
      <c r="A24" s="271"/>
      <c r="B24" s="272"/>
      <c r="C24" s="273"/>
      <c r="D24" s="32"/>
      <c r="E24" s="63" t="s">
        <v>112</v>
      </c>
      <c r="F24" s="61"/>
      <c r="G24" s="61"/>
      <c r="H24" s="61"/>
      <c r="I24" s="61"/>
      <c r="J24" s="6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62"/>
    </row>
    <row r="25" spans="1:33" ht="20.100000000000001" customHeight="1" x14ac:dyDescent="0.3">
      <c r="A25" s="271"/>
      <c r="B25" s="272"/>
      <c r="C25" s="273"/>
      <c r="D25" s="32"/>
      <c r="E25" s="63" t="s">
        <v>113</v>
      </c>
      <c r="F25" s="61"/>
      <c r="G25" s="61"/>
      <c r="H25" s="61"/>
      <c r="I25" s="61"/>
      <c r="J25" s="6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62"/>
    </row>
    <row r="26" spans="1:33" ht="20.100000000000001" customHeight="1" x14ac:dyDescent="0.3">
      <c r="A26" s="271"/>
      <c r="B26" s="272"/>
      <c r="C26" s="273"/>
      <c r="D26" s="32"/>
      <c r="E26" s="68"/>
      <c r="F26" s="61"/>
      <c r="G26" s="61"/>
      <c r="H26" s="66"/>
      <c r="I26" s="66"/>
      <c r="J26" s="66"/>
      <c r="K26" s="33"/>
      <c r="L26" s="33"/>
      <c r="M26" s="33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62"/>
    </row>
    <row r="27" spans="1:33" s="36" customFormat="1" ht="20.100000000000001" customHeight="1" x14ac:dyDescent="0.3">
      <c r="A27" s="57"/>
      <c r="B27" s="58"/>
      <c r="C27" s="59"/>
      <c r="D27" s="76"/>
      <c r="E27" s="81" t="s">
        <v>265</v>
      </c>
      <c r="F27" s="77"/>
      <c r="G27" s="77"/>
      <c r="H27" s="77"/>
      <c r="I27" s="77"/>
      <c r="J27" s="77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80"/>
    </row>
    <row r="28" spans="1:33" s="36" customFormat="1" ht="20.100000000000001" customHeight="1" x14ac:dyDescent="0.3">
      <c r="A28" s="57"/>
      <c r="B28" s="58"/>
      <c r="C28" s="59"/>
      <c r="D28" s="76"/>
      <c r="E28" s="77"/>
      <c r="F28" s="77"/>
      <c r="G28" s="77"/>
      <c r="H28" s="77"/>
      <c r="I28" s="77"/>
      <c r="J28" s="77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80"/>
    </row>
    <row r="29" spans="1:33" s="36" customFormat="1" ht="20.100000000000001" customHeight="1" x14ac:dyDescent="0.3">
      <c r="A29" s="57"/>
      <c r="B29" s="58"/>
      <c r="C29" s="59"/>
      <c r="D29" s="76"/>
      <c r="E29" s="77"/>
      <c r="F29" s="77"/>
      <c r="G29" s="77"/>
      <c r="H29" s="77"/>
      <c r="I29" s="77"/>
      <c r="J29" s="77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80"/>
    </row>
    <row r="30" spans="1:33" s="36" customFormat="1" ht="20.100000000000001" customHeight="1" x14ac:dyDescent="0.3">
      <c r="A30" s="57"/>
      <c r="B30" s="58"/>
      <c r="C30" s="59"/>
      <c r="D30" s="76"/>
      <c r="E30" s="77"/>
      <c r="F30" s="77"/>
      <c r="G30" s="77"/>
      <c r="H30" s="77"/>
      <c r="I30" s="77"/>
      <c r="J30" s="77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80"/>
    </row>
    <row r="31" spans="1:33" s="36" customFormat="1" ht="20.100000000000001" customHeight="1" x14ac:dyDescent="0.3">
      <c r="A31" s="57"/>
      <c r="B31" s="58"/>
      <c r="C31" s="59"/>
      <c r="D31" s="76"/>
      <c r="E31" s="81" t="s">
        <v>266</v>
      </c>
      <c r="F31" s="81" t="s">
        <v>267</v>
      </c>
      <c r="G31" s="81"/>
      <c r="H31" s="81"/>
      <c r="I31" s="81"/>
      <c r="J31" s="81"/>
      <c r="K31" s="156"/>
      <c r="L31" s="156"/>
      <c r="M31" s="156"/>
      <c r="N31" s="15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80"/>
    </row>
    <row r="32" spans="1:33" s="36" customFormat="1" ht="20.100000000000001" customHeight="1" x14ac:dyDescent="0.3">
      <c r="A32" s="57"/>
      <c r="B32" s="58"/>
      <c r="C32" s="59"/>
      <c r="D32" s="76"/>
      <c r="E32" s="81"/>
      <c r="F32" s="77"/>
      <c r="G32" s="77"/>
      <c r="H32" s="77"/>
      <c r="I32" s="77"/>
      <c r="J32" s="77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80"/>
    </row>
    <row r="33" spans="1:33" s="36" customFormat="1" ht="20.100000000000001" customHeight="1" x14ac:dyDescent="0.3">
      <c r="A33" s="158"/>
      <c r="B33" s="159"/>
      <c r="C33" s="160"/>
      <c r="D33" s="76"/>
      <c r="E33" s="81"/>
      <c r="F33" s="77"/>
      <c r="G33" s="77"/>
      <c r="H33" s="77"/>
      <c r="I33" s="77"/>
      <c r="J33" s="77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80"/>
    </row>
    <row r="34" spans="1:33" s="36" customFormat="1" ht="20.100000000000001" customHeight="1" x14ac:dyDescent="0.3">
      <c r="A34" s="158"/>
      <c r="B34" s="159"/>
      <c r="C34" s="160"/>
      <c r="D34" s="157"/>
      <c r="E34" s="77"/>
      <c r="F34" s="77"/>
      <c r="G34" s="77"/>
      <c r="H34" s="77"/>
      <c r="I34" s="77"/>
      <c r="J34" s="77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80"/>
    </row>
    <row r="35" spans="1:33" s="36" customFormat="1" ht="20.100000000000001" customHeight="1" x14ac:dyDescent="0.3">
      <c r="A35" s="158"/>
      <c r="B35" s="159"/>
      <c r="C35" s="160"/>
      <c r="D35" s="76"/>
      <c r="E35" s="81" t="s">
        <v>261</v>
      </c>
      <c r="F35" s="77"/>
      <c r="G35" s="77"/>
      <c r="H35" s="77"/>
      <c r="I35" s="77"/>
      <c r="J35" s="77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80"/>
    </row>
    <row r="36" spans="1:33" s="36" customFormat="1" ht="20.100000000000001" customHeight="1" x14ac:dyDescent="0.3">
      <c r="A36" s="158"/>
      <c r="B36" s="159"/>
      <c r="C36" s="160"/>
      <c r="D36" s="76"/>
      <c r="E36" s="81"/>
      <c r="F36" s="77"/>
      <c r="G36" s="77"/>
      <c r="H36" s="77"/>
      <c r="I36" s="77"/>
      <c r="J36" s="77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80"/>
    </row>
    <row r="37" spans="1:33" s="36" customFormat="1" ht="20.100000000000001" customHeight="1" x14ac:dyDescent="0.3">
      <c r="A37" s="158"/>
      <c r="B37" s="159"/>
      <c r="C37" s="160"/>
      <c r="D37" s="76"/>
      <c r="E37" s="81"/>
      <c r="F37" s="77"/>
      <c r="G37" s="77"/>
      <c r="H37" s="77"/>
      <c r="I37" s="77"/>
      <c r="J37" s="77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80"/>
    </row>
    <row r="38" spans="1:33" s="36" customFormat="1" ht="20.100000000000001" customHeight="1" x14ac:dyDescent="0.3">
      <c r="A38" s="158"/>
      <c r="B38" s="159"/>
      <c r="C38" s="160"/>
      <c r="D38" s="76"/>
      <c r="E38" s="77"/>
      <c r="F38" s="77"/>
      <c r="G38" s="77"/>
      <c r="H38" s="77"/>
      <c r="I38" s="77"/>
      <c r="J38" s="77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80"/>
    </row>
    <row r="39" spans="1:33" s="36" customFormat="1" ht="20.100000000000001" customHeight="1" x14ac:dyDescent="0.3">
      <c r="A39" s="161"/>
      <c r="B39" s="162"/>
      <c r="C39" s="163"/>
      <c r="D39" s="82"/>
      <c r="E39" s="83"/>
      <c r="F39" s="83"/>
      <c r="G39" s="83"/>
      <c r="H39" s="83"/>
      <c r="I39" s="83"/>
      <c r="J39" s="8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4"/>
    </row>
    <row r="40" spans="1:33" s="36" customFormat="1" ht="20.100000000000001" customHeight="1" x14ac:dyDescent="0.3">
      <c r="A40" s="268" t="s">
        <v>114</v>
      </c>
      <c r="B40" s="269"/>
      <c r="C40" s="270"/>
      <c r="D40" s="70"/>
      <c r="E40" s="71"/>
      <c r="F40" s="72"/>
      <c r="G40" s="72"/>
      <c r="H40" s="73"/>
      <c r="I40" s="73"/>
      <c r="J40" s="73"/>
      <c r="K40" s="74"/>
      <c r="L40" s="74"/>
      <c r="M40" s="74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5"/>
    </row>
    <row r="41" spans="1:33" s="36" customFormat="1" ht="20.100000000000001" customHeight="1" x14ac:dyDescent="0.3">
      <c r="A41" s="271"/>
      <c r="B41" s="272"/>
      <c r="C41" s="273"/>
      <c r="D41" s="76"/>
      <c r="E41" s="67" t="s">
        <v>115</v>
      </c>
      <c r="F41" s="77"/>
      <c r="G41" s="77"/>
      <c r="H41" s="78"/>
      <c r="I41" s="78"/>
      <c r="J41" s="78"/>
      <c r="K41" s="79"/>
      <c r="L41" s="79"/>
      <c r="M41" s="79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80"/>
    </row>
    <row r="42" spans="1:33" s="36" customFormat="1" ht="20.100000000000001" customHeight="1" x14ac:dyDescent="0.3">
      <c r="A42" s="271"/>
      <c r="B42" s="272"/>
      <c r="C42" s="273"/>
      <c r="D42" s="76"/>
      <c r="E42" s="68" t="s">
        <v>116</v>
      </c>
      <c r="F42" s="77"/>
      <c r="G42" s="77"/>
      <c r="H42" s="77"/>
      <c r="I42" s="77"/>
      <c r="J42" s="77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80"/>
    </row>
    <row r="43" spans="1:33" s="36" customFormat="1" ht="20.100000000000001" customHeight="1" x14ac:dyDescent="0.3">
      <c r="A43" s="271"/>
      <c r="B43" s="272"/>
      <c r="C43" s="273"/>
      <c r="D43" s="76"/>
      <c r="E43" s="69" t="s">
        <v>117</v>
      </c>
      <c r="F43" s="77"/>
      <c r="G43" s="77"/>
      <c r="H43" s="77"/>
      <c r="I43" s="77"/>
      <c r="J43" s="77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80"/>
    </row>
    <row r="44" spans="1:33" s="36" customFormat="1" ht="20.100000000000001" customHeight="1" x14ac:dyDescent="0.3">
      <c r="A44" s="271"/>
      <c r="B44" s="272"/>
      <c r="C44" s="273"/>
      <c r="D44" s="76"/>
      <c r="E44" s="69" t="s">
        <v>118</v>
      </c>
      <c r="F44" s="77"/>
      <c r="G44" s="77"/>
      <c r="H44" s="77"/>
      <c r="I44" s="77"/>
      <c r="J44" s="77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80"/>
    </row>
    <row r="45" spans="1:33" s="36" customFormat="1" ht="20.100000000000001" customHeight="1" x14ac:dyDescent="0.3">
      <c r="A45" s="271"/>
      <c r="B45" s="272"/>
      <c r="C45" s="273"/>
      <c r="D45" s="76"/>
      <c r="E45" s="63" t="s">
        <v>119</v>
      </c>
      <c r="F45" s="77"/>
      <c r="G45" s="77"/>
      <c r="H45" s="77"/>
      <c r="I45" s="77"/>
      <c r="J45" s="77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80"/>
    </row>
    <row r="46" spans="1:33" s="36" customFormat="1" ht="20.100000000000001" customHeight="1" x14ac:dyDescent="0.3">
      <c r="A46" s="271"/>
      <c r="B46" s="272"/>
      <c r="C46" s="273"/>
      <c r="D46" s="76"/>
      <c r="E46" s="77"/>
      <c r="F46" s="77"/>
      <c r="G46" s="77"/>
      <c r="H46" s="77"/>
      <c r="I46" s="77"/>
      <c r="J46" s="77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80"/>
    </row>
    <row r="47" spans="1:33" s="36" customFormat="1" ht="20.100000000000001" customHeight="1" x14ac:dyDescent="0.3">
      <c r="A47" s="271"/>
      <c r="B47" s="272"/>
      <c r="C47" s="273"/>
      <c r="D47" s="76"/>
      <c r="E47" s="81" t="s">
        <v>268</v>
      </c>
      <c r="F47" s="77"/>
      <c r="G47" s="77"/>
      <c r="H47" s="77"/>
      <c r="I47" s="77"/>
      <c r="J47" s="77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80"/>
    </row>
    <row r="48" spans="1:33" s="36" customFormat="1" ht="20.100000000000001" customHeight="1" x14ac:dyDescent="0.3">
      <c r="A48" s="271"/>
      <c r="B48" s="272"/>
      <c r="C48" s="273"/>
      <c r="D48" s="76"/>
      <c r="E48" s="81"/>
      <c r="F48" s="77"/>
      <c r="G48" s="77"/>
      <c r="H48" s="77"/>
      <c r="I48" s="77"/>
      <c r="J48" s="77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80"/>
    </row>
    <row r="49" spans="1:33" s="36" customFormat="1" ht="20.100000000000001" customHeight="1" x14ac:dyDescent="0.3">
      <c r="A49" s="274"/>
      <c r="B49" s="275"/>
      <c r="C49" s="276"/>
      <c r="D49" s="82"/>
      <c r="E49" s="83"/>
      <c r="F49" s="83"/>
      <c r="G49" s="83"/>
      <c r="H49" s="83"/>
      <c r="I49" s="83"/>
      <c r="J49" s="8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4"/>
    </row>
    <row r="50" spans="1:33" s="36" customFormat="1" ht="20.100000000000001" customHeight="1" x14ac:dyDescent="0.3">
      <c r="A50" s="268" t="s">
        <v>120</v>
      </c>
      <c r="B50" s="269"/>
      <c r="C50" s="270"/>
      <c r="D50" s="70"/>
      <c r="E50" s="72"/>
      <c r="F50" s="72"/>
      <c r="G50" s="72"/>
      <c r="H50" s="72"/>
      <c r="I50" s="72"/>
      <c r="J50" s="72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5"/>
    </row>
    <row r="51" spans="1:33" s="36" customFormat="1" ht="20.100000000000001" customHeight="1" x14ac:dyDescent="0.3">
      <c r="A51" s="271"/>
      <c r="B51" s="272"/>
      <c r="C51" s="273"/>
      <c r="D51" s="76"/>
      <c r="E51" s="77" t="s">
        <v>121</v>
      </c>
      <c r="F51" s="77"/>
      <c r="G51" s="77"/>
      <c r="H51" s="77"/>
      <c r="I51" s="77"/>
      <c r="J51" s="77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80"/>
    </row>
    <row r="52" spans="1:33" s="36" customFormat="1" ht="20.100000000000001" customHeight="1" x14ac:dyDescent="0.3">
      <c r="A52" s="271"/>
      <c r="B52" s="272"/>
      <c r="C52" s="273"/>
      <c r="D52" s="76"/>
      <c r="E52" s="77" t="s">
        <v>122</v>
      </c>
      <c r="F52" s="77"/>
      <c r="G52" s="77"/>
      <c r="H52" s="77"/>
      <c r="I52" s="77"/>
      <c r="J52" s="77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80"/>
    </row>
    <row r="53" spans="1:33" s="36" customFormat="1" ht="20.100000000000001" customHeight="1" x14ac:dyDescent="0.3">
      <c r="A53" s="274"/>
      <c r="B53" s="275"/>
      <c r="C53" s="276"/>
      <c r="D53" s="82"/>
      <c r="E53" s="83"/>
      <c r="F53" s="83"/>
      <c r="G53" s="83"/>
      <c r="H53" s="83"/>
      <c r="I53" s="83"/>
      <c r="J53" s="8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4"/>
    </row>
    <row r="54" spans="1:33" s="36" customFormat="1" ht="20.100000000000001" customHeight="1" x14ac:dyDescent="0.3">
      <c r="A54" s="282" t="s">
        <v>123</v>
      </c>
      <c r="B54" s="283"/>
      <c r="C54" s="284"/>
      <c r="D54" s="70"/>
      <c r="E54" s="72"/>
      <c r="F54" s="72"/>
      <c r="G54" s="72"/>
      <c r="H54" s="72"/>
      <c r="I54" s="72"/>
      <c r="J54" s="72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5"/>
    </row>
    <row r="55" spans="1:33" s="36" customFormat="1" ht="20.100000000000001" customHeight="1" x14ac:dyDescent="0.3">
      <c r="A55" s="282"/>
      <c r="B55" s="283"/>
      <c r="C55" s="284"/>
      <c r="D55" s="76"/>
      <c r="E55" s="81" t="s">
        <v>270</v>
      </c>
      <c r="F55" s="77"/>
      <c r="G55" s="77"/>
      <c r="H55" s="77"/>
      <c r="I55" s="77"/>
      <c r="J55" s="77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80"/>
    </row>
    <row r="56" spans="1:33" s="36" customFormat="1" ht="20.100000000000001" customHeight="1" x14ac:dyDescent="0.3">
      <c r="A56" s="282"/>
      <c r="B56" s="283"/>
      <c r="C56" s="284"/>
      <c r="D56" s="76"/>
      <c r="E56" s="77"/>
      <c r="F56" s="77"/>
      <c r="G56" s="77"/>
      <c r="H56" s="77"/>
      <c r="I56" s="77"/>
      <c r="J56" s="77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80"/>
    </row>
    <row r="57" spans="1:33" s="36" customFormat="1" ht="20.100000000000001" customHeight="1" x14ac:dyDescent="0.3">
      <c r="A57" s="282"/>
      <c r="B57" s="283"/>
      <c r="C57" s="284"/>
      <c r="D57" s="76"/>
      <c r="E57" s="77"/>
      <c r="F57" s="77"/>
      <c r="G57" s="77"/>
      <c r="H57" s="77"/>
      <c r="I57" s="77"/>
      <c r="J57" s="77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80"/>
    </row>
    <row r="58" spans="1:33" s="36" customFormat="1" ht="20.100000000000001" customHeight="1" x14ac:dyDescent="0.3">
      <c r="A58" s="282"/>
      <c r="B58" s="283"/>
      <c r="C58" s="284"/>
      <c r="D58" s="76"/>
      <c r="E58" s="81" t="s">
        <v>269</v>
      </c>
      <c r="F58" s="77"/>
      <c r="G58" s="77"/>
      <c r="H58" s="77"/>
      <c r="I58" s="77"/>
      <c r="J58" s="77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80"/>
    </row>
    <row r="59" spans="1:33" s="36" customFormat="1" ht="20.100000000000001" customHeight="1" x14ac:dyDescent="0.3">
      <c r="A59" s="282"/>
      <c r="B59" s="283"/>
      <c r="C59" s="284"/>
      <c r="D59" s="76"/>
      <c r="E59" s="85"/>
      <c r="F59" s="77"/>
      <c r="G59" s="77"/>
      <c r="H59" s="77"/>
      <c r="I59" s="77"/>
      <c r="J59" s="77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80"/>
    </row>
    <row r="60" spans="1:33" s="36" customFormat="1" ht="20.100000000000001" customHeight="1" x14ac:dyDescent="0.3">
      <c r="A60" s="282"/>
      <c r="B60" s="283"/>
      <c r="C60" s="284"/>
      <c r="D60" s="76"/>
      <c r="E60" s="77"/>
      <c r="F60" s="77"/>
      <c r="G60" s="77"/>
      <c r="H60" s="77"/>
      <c r="I60" s="77"/>
      <c r="J60" s="77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80"/>
    </row>
    <row r="61" spans="1:33" s="36" customFormat="1" ht="20.100000000000001" customHeight="1" x14ac:dyDescent="0.3">
      <c r="A61" s="282"/>
      <c r="B61" s="283"/>
      <c r="C61" s="284"/>
      <c r="D61" s="76"/>
      <c r="E61" s="81" t="s">
        <v>275</v>
      </c>
      <c r="F61" s="77"/>
      <c r="G61" s="77"/>
      <c r="H61" s="77"/>
      <c r="I61" s="77"/>
      <c r="J61" s="77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80"/>
    </row>
    <row r="62" spans="1:33" s="36" customFormat="1" ht="20.100000000000001" customHeight="1" x14ac:dyDescent="0.3">
      <c r="A62" s="282"/>
      <c r="B62" s="283"/>
      <c r="C62" s="284"/>
      <c r="D62" s="76"/>
      <c r="E62" s="85" t="s">
        <v>276</v>
      </c>
      <c r="F62" s="77"/>
      <c r="G62" s="77"/>
      <c r="H62" s="77"/>
      <c r="I62" s="77"/>
      <c r="J62" s="77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80"/>
    </row>
    <row r="63" spans="1:33" s="36" customFormat="1" ht="20.100000000000001" customHeight="1" x14ac:dyDescent="0.3">
      <c r="A63" s="282"/>
      <c r="B63" s="283"/>
      <c r="C63" s="284"/>
      <c r="D63" s="76"/>
      <c r="E63" s="86" t="s">
        <v>124</v>
      </c>
      <c r="F63" s="77"/>
      <c r="G63" s="77"/>
      <c r="H63" s="77"/>
      <c r="I63" s="77"/>
      <c r="J63" s="77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80"/>
    </row>
    <row r="64" spans="1:33" s="36" customFormat="1" ht="20.100000000000001" customHeight="1" x14ac:dyDescent="0.3">
      <c r="A64" s="282"/>
      <c r="B64" s="283"/>
      <c r="C64" s="284"/>
      <c r="D64" s="76"/>
      <c r="E64" s="85" t="s">
        <v>125</v>
      </c>
      <c r="F64" s="77"/>
      <c r="G64" s="77"/>
      <c r="H64" s="77"/>
      <c r="I64" s="77"/>
      <c r="J64" s="77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80"/>
    </row>
    <row r="65" spans="1:33" s="36" customFormat="1" ht="20.100000000000001" customHeight="1" x14ac:dyDescent="0.3">
      <c r="A65" s="282"/>
      <c r="B65" s="283"/>
      <c r="C65" s="284"/>
      <c r="D65" s="76"/>
      <c r="E65" s="77"/>
      <c r="F65" s="77"/>
      <c r="G65" s="77"/>
      <c r="H65" s="77"/>
      <c r="I65" s="77"/>
      <c r="J65" s="77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80"/>
    </row>
    <row r="66" spans="1:33" s="36" customFormat="1" ht="20.100000000000001" customHeight="1" x14ac:dyDescent="0.3">
      <c r="A66" s="282"/>
      <c r="B66" s="283"/>
      <c r="C66" s="284"/>
      <c r="D66" s="76"/>
      <c r="E66" s="81" t="s">
        <v>271</v>
      </c>
      <c r="F66" s="77"/>
      <c r="G66" s="77"/>
      <c r="H66" s="77"/>
      <c r="I66" s="77"/>
      <c r="J66" s="77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80"/>
    </row>
    <row r="67" spans="1:33" s="36" customFormat="1" ht="20.100000000000001" customHeight="1" x14ac:dyDescent="0.3">
      <c r="A67" s="282"/>
      <c r="B67" s="283"/>
      <c r="C67" s="284"/>
      <c r="D67" s="76"/>
      <c r="E67" s="77" t="s">
        <v>273</v>
      </c>
      <c r="F67" s="77"/>
      <c r="G67" s="77"/>
      <c r="H67" s="77"/>
      <c r="I67" s="77"/>
      <c r="J67" s="77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80"/>
    </row>
    <row r="68" spans="1:33" s="36" customFormat="1" ht="20.100000000000001" customHeight="1" x14ac:dyDescent="0.3">
      <c r="A68" s="282"/>
      <c r="B68" s="283"/>
      <c r="C68" s="284"/>
      <c r="D68" s="76"/>
      <c r="E68" s="77" t="s">
        <v>274</v>
      </c>
      <c r="F68" s="77"/>
      <c r="G68" s="77"/>
      <c r="H68" s="77"/>
      <c r="I68" s="77"/>
      <c r="J68" s="77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80"/>
    </row>
    <row r="69" spans="1:33" s="36" customFormat="1" ht="20.100000000000001" customHeight="1" x14ac:dyDescent="0.3">
      <c r="A69" s="282"/>
      <c r="B69" s="283"/>
      <c r="C69" s="284"/>
      <c r="D69" s="76"/>
      <c r="E69" s="77"/>
      <c r="F69" s="77"/>
      <c r="G69" s="77"/>
      <c r="H69" s="77"/>
      <c r="I69" s="77"/>
      <c r="J69" s="77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80"/>
    </row>
    <row r="70" spans="1:33" s="36" customFormat="1" ht="20.100000000000001" customHeight="1" x14ac:dyDescent="0.3">
      <c r="A70" s="282"/>
      <c r="B70" s="283"/>
      <c r="C70" s="284"/>
      <c r="D70" s="76"/>
      <c r="E70" s="81" t="s">
        <v>272</v>
      </c>
      <c r="F70" s="77"/>
      <c r="G70" s="77"/>
      <c r="H70" s="77"/>
      <c r="I70" s="77"/>
      <c r="J70" s="77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80"/>
    </row>
    <row r="71" spans="1:33" s="36" customFormat="1" ht="20.100000000000001" customHeight="1" x14ac:dyDescent="0.3">
      <c r="A71" s="282"/>
      <c r="B71" s="283"/>
      <c r="C71" s="284"/>
      <c r="D71" s="76"/>
      <c r="E71" s="81"/>
      <c r="F71" s="77"/>
      <c r="G71" s="77"/>
      <c r="H71" s="77"/>
      <c r="I71" s="77"/>
      <c r="J71" s="77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80"/>
    </row>
    <row r="72" spans="1:33" s="36" customFormat="1" ht="20.100000000000001" customHeight="1" x14ac:dyDescent="0.3">
      <c r="A72" s="282"/>
      <c r="B72" s="283"/>
      <c r="C72" s="284"/>
      <c r="D72" s="82"/>
      <c r="E72" s="164"/>
      <c r="F72" s="83"/>
      <c r="G72" s="83"/>
      <c r="H72" s="83"/>
      <c r="I72" s="83"/>
      <c r="J72" s="8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4"/>
    </row>
    <row r="73" spans="1:33" s="36" customFormat="1" ht="20.100000000000001" customHeight="1" x14ac:dyDescent="0.3">
      <c r="A73" s="274" t="s">
        <v>123</v>
      </c>
      <c r="B73" s="275"/>
      <c r="C73" s="276"/>
      <c r="D73" s="76"/>
      <c r="E73" s="81" t="s">
        <v>126</v>
      </c>
      <c r="F73" s="77"/>
      <c r="G73" s="77"/>
      <c r="H73" s="77"/>
      <c r="I73" s="77"/>
      <c r="J73" s="77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80"/>
    </row>
    <row r="74" spans="1:33" s="36" customFormat="1" ht="19.5" customHeight="1" x14ac:dyDescent="0.3">
      <c r="A74" s="282"/>
      <c r="B74" s="283"/>
      <c r="C74" s="284"/>
      <c r="D74" s="76"/>
      <c r="E74" s="81"/>
      <c r="F74" s="77"/>
      <c r="G74" s="77"/>
      <c r="H74" s="77"/>
      <c r="I74" s="77"/>
      <c r="J74" s="77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80"/>
    </row>
    <row r="75" spans="1:33" s="36" customFormat="1" ht="19.5" customHeight="1" x14ac:dyDescent="0.3">
      <c r="A75" s="282"/>
      <c r="B75" s="283"/>
      <c r="C75" s="284"/>
      <c r="D75" s="76"/>
      <c r="E75" s="81"/>
      <c r="F75" s="77"/>
      <c r="G75" s="77"/>
      <c r="H75" s="77"/>
      <c r="I75" s="77"/>
      <c r="J75" s="77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0"/>
    </row>
    <row r="76" spans="1:33" s="36" customFormat="1" ht="20.100000000000001" customHeight="1" x14ac:dyDescent="0.3">
      <c r="A76" s="282"/>
      <c r="B76" s="283"/>
      <c r="C76" s="284"/>
      <c r="D76" s="82"/>
      <c r="E76" s="83"/>
      <c r="F76" s="83"/>
      <c r="G76" s="83"/>
      <c r="H76" s="83"/>
      <c r="I76" s="83"/>
      <c r="J76" s="8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4"/>
    </row>
    <row r="77" spans="1:33" s="36" customFormat="1" ht="20.100000000000001" customHeight="1" x14ac:dyDescent="0.3">
      <c r="A77" s="268" t="s">
        <v>127</v>
      </c>
      <c r="B77" s="269"/>
      <c r="C77" s="270"/>
      <c r="D77" s="70"/>
      <c r="E77" s="72"/>
      <c r="F77" s="72"/>
      <c r="G77" s="72"/>
      <c r="H77" s="72"/>
      <c r="I77" s="72"/>
      <c r="J77" s="72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5"/>
    </row>
    <row r="78" spans="1:33" s="36" customFormat="1" ht="20.100000000000001" customHeight="1" x14ac:dyDescent="0.3">
      <c r="A78" s="271"/>
      <c r="B78" s="272"/>
      <c r="C78" s="273"/>
      <c r="D78" s="76"/>
      <c r="E78" s="81" t="s">
        <v>128</v>
      </c>
      <c r="F78" s="77"/>
      <c r="G78" s="77"/>
      <c r="H78" s="77"/>
      <c r="I78" s="77"/>
      <c r="J78" s="77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80"/>
    </row>
    <row r="79" spans="1:33" s="36" customFormat="1" ht="20.100000000000001" customHeight="1" x14ac:dyDescent="0.3">
      <c r="A79" s="271"/>
      <c r="B79" s="272"/>
      <c r="C79" s="273"/>
      <c r="D79" s="76"/>
      <c r="E79" s="87" t="s">
        <v>129</v>
      </c>
      <c r="F79" s="77"/>
      <c r="G79" s="77"/>
      <c r="H79" s="77"/>
      <c r="I79" s="77"/>
      <c r="J79" s="77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0"/>
    </row>
    <row r="80" spans="1:33" s="36" customFormat="1" ht="20.100000000000001" customHeight="1" x14ac:dyDescent="0.3">
      <c r="A80" s="271"/>
      <c r="B80" s="272"/>
      <c r="C80" s="273"/>
      <c r="D80" s="76"/>
      <c r="E80" s="86" t="s">
        <v>130</v>
      </c>
      <c r="F80" s="77"/>
      <c r="G80" s="77"/>
      <c r="H80" s="77"/>
      <c r="I80" s="77"/>
      <c r="J80" s="77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80"/>
    </row>
    <row r="81" spans="1:33" s="36" customFormat="1" ht="20.100000000000001" customHeight="1" x14ac:dyDescent="0.3">
      <c r="A81" s="271"/>
      <c r="B81" s="272"/>
      <c r="C81" s="273"/>
      <c r="D81" s="76"/>
      <c r="E81" s="86"/>
      <c r="F81" s="77"/>
      <c r="G81" s="77"/>
      <c r="H81" s="77"/>
      <c r="I81" s="77"/>
      <c r="J81" s="77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80"/>
    </row>
    <row r="82" spans="1:33" s="36" customFormat="1" ht="20.100000000000001" customHeight="1" x14ac:dyDescent="0.3">
      <c r="A82" s="274"/>
      <c r="B82" s="275"/>
      <c r="C82" s="276"/>
      <c r="D82" s="82"/>
      <c r="E82" s="83"/>
      <c r="F82" s="83"/>
      <c r="G82" s="83"/>
      <c r="H82" s="83"/>
      <c r="I82" s="83"/>
      <c r="J82" s="8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4"/>
    </row>
    <row r="83" spans="1:33" s="36" customFormat="1" ht="20.100000000000001" customHeight="1" x14ac:dyDescent="0.3">
      <c r="A83" s="268" t="s">
        <v>131</v>
      </c>
      <c r="B83" s="269"/>
      <c r="C83" s="270"/>
      <c r="D83" s="70"/>
      <c r="E83" s="72"/>
      <c r="F83" s="72"/>
      <c r="G83" s="72"/>
      <c r="H83" s="72"/>
      <c r="I83" s="72"/>
      <c r="J83" s="72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5"/>
    </row>
    <row r="84" spans="1:33" s="36" customFormat="1" ht="20.100000000000001" customHeight="1" x14ac:dyDescent="0.3">
      <c r="A84" s="271"/>
      <c r="B84" s="272"/>
      <c r="C84" s="273"/>
      <c r="D84" s="76"/>
      <c r="E84" s="77"/>
      <c r="F84" s="77"/>
      <c r="G84" s="77"/>
      <c r="H84" s="77"/>
      <c r="I84" s="77"/>
      <c r="J84" s="77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80"/>
    </row>
    <row r="85" spans="1:33" s="36" customFormat="1" ht="20.100000000000001" customHeight="1" x14ac:dyDescent="0.3">
      <c r="A85" s="271"/>
      <c r="B85" s="272"/>
      <c r="C85" s="273"/>
      <c r="D85" s="76"/>
      <c r="E85" s="86"/>
      <c r="F85" s="77"/>
      <c r="G85" s="77"/>
      <c r="H85" s="77"/>
      <c r="I85" s="77"/>
      <c r="J85" s="77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80"/>
    </row>
    <row r="86" spans="1:33" s="36" customFormat="1" ht="20.100000000000001" customHeight="1" x14ac:dyDescent="0.3">
      <c r="A86" s="274"/>
      <c r="B86" s="275"/>
      <c r="C86" s="276"/>
      <c r="D86" s="82"/>
      <c r="E86" s="83"/>
      <c r="F86" s="83"/>
      <c r="G86" s="83"/>
      <c r="H86" s="83"/>
      <c r="I86" s="83"/>
      <c r="J86" s="8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4"/>
    </row>
    <row r="87" spans="1:33" s="36" customFormat="1" ht="20.100000000000001" customHeight="1" x14ac:dyDescent="0.3">
      <c r="A87" s="268" t="s">
        <v>132</v>
      </c>
      <c r="B87" s="269"/>
      <c r="C87" s="270"/>
      <c r="D87" s="70"/>
      <c r="E87" s="72"/>
      <c r="F87" s="72"/>
      <c r="G87" s="72"/>
      <c r="H87" s="72"/>
      <c r="I87" s="72"/>
      <c r="J87" s="72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5"/>
    </row>
    <row r="88" spans="1:33" s="36" customFormat="1" ht="20.100000000000001" customHeight="1" x14ac:dyDescent="0.3">
      <c r="A88" s="271"/>
      <c r="B88" s="272"/>
      <c r="C88" s="273"/>
      <c r="D88" s="76"/>
      <c r="E88" s="81" t="s">
        <v>133</v>
      </c>
      <c r="F88" s="77"/>
      <c r="G88" s="77"/>
      <c r="H88" s="77"/>
      <c r="I88" s="77"/>
      <c r="J88" s="77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80"/>
    </row>
    <row r="89" spans="1:33" s="36" customFormat="1" ht="20.100000000000001" customHeight="1" x14ac:dyDescent="0.3">
      <c r="A89" s="271"/>
      <c r="B89" s="272"/>
      <c r="C89" s="273"/>
      <c r="D89" s="76"/>
      <c r="E89" s="281" t="s">
        <v>134</v>
      </c>
      <c r="F89" s="281"/>
      <c r="G89" s="281"/>
      <c r="H89" s="281"/>
      <c r="I89" s="261" t="s">
        <v>135</v>
      </c>
      <c r="J89" s="261"/>
      <c r="K89" s="261"/>
      <c r="L89" s="261"/>
      <c r="M89" s="261"/>
      <c r="N89" s="261"/>
      <c r="O89" s="261" t="s">
        <v>136</v>
      </c>
      <c r="P89" s="261"/>
      <c r="Q89" s="261"/>
      <c r="R89" s="261"/>
      <c r="S89" s="261"/>
      <c r="T89" s="261"/>
      <c r="U89" s="261" t="s">
        <v>137</v>
      </c>
      <c r="V89" s="261"/>
      <c r="W89" s="261"/>
      <c r="X89" s="261"/>
      <c r="Y89" s="261"/>
      <c r="Z89" s="261"/>
      <c r="AA89" s="261" t="s">
        <v>138</v>
      </c>
      <c r="AB89" s="261"/>
      <c r="AC89" s="261"/>
      <c r="AD89" s="261"/>
      <c r="AE89" s="261"/>
      <c r="AF89" s="261"/>
      <c r="AG89" s="80"/>
    </row>
    <row r="90" spans="1:33" s="36" customFormat="1" ht="28.5" customHeight="1" x14ac:dyDescent="0.3">
      <c r="A90" s="271"/>
      <c r="B90" s="272"/>
      <c r="C90" s="273"/>
      <c r="D90" s="76"/>
      <c r="E90" s="281" t="s">
        <v>139</v>
      </c>
      <c r="F90" s="281"/>
      <c r="G90" s="281"/>
      <c r="H90" s="281"/>
      <c r="I90" s="261">
        <v>181</v>
      </c>
      <c r="J90" s="261"/>
      <c r="K90" s="261"/>
      <c r="L90" s="261"/>
      <c r="M90" s="261"/>
      <c r="N90" s="261"/>
      <c r="O90" s="261">
        <v>135</v>
      </c>
      <c r="P90" s="261"/>
      <c r="Q90" s="261"/>
      <c r="R90" s="261"/>
      <c r="S90" s="261"/>
      <c r="T90" s="261"/>
      <c r="U90" s="261">
        <v>24</v>
      </c>
      <c r="V90" s="261"/>
      <c r="W90" s="261"/>
      <c r="X90" s="261"/>
      <c r="Y90" s="261"/>
      <c r="Z90" s="261"/>
      <c r="AA90" s="261">
        <v>22</v>
      </c>
      <c r="AB90" s="261"/>
      <c r="AC90" s="261"/>
      <c r="AD90" s="261"/>
      <c r="AE90" s="261"/>
      <c r="AF90" s="261"/>
      <c r="AG90" s="80"/>
    </row>
    <row r="91" spans="1:33" s="36" customFormat="1" ht="20.100000000000001" customHeight="1" x14ac:dyDescent="0.3">
      <c r="A91" s="271"/>
      <c r="B91" s="272"/>
      <c r="C91" s="273"/>
      <c r="D91" s="76"/>
      <c r="E91" s="77"/>
      <c r="F91" s="77"/>
      <c r="G91" s="77"/>
      <c r="H91" s="77"/>
      <c r="I91" s="77"/>
      <c r="J91" s="77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80"/>
    </row>
    <row r="92" spans="1:33" s="36" customFormat="1" ht="20.100000000000001" customHeight="1" x14ac:dyDescent="0.3">
      <c r="A92" s="271"/>
      <c r="B92" s="272"/>
      <c r="C92" s="273"/>
      <c r="D92" s="76"/>
      <c r="E92" s="81" t="s">
        <v>140</v>
      </c>
      <c r="F92" s="77"/>
      <c r="G92" s="77"/>
      <c r="H92" s="77"/>
      <c r="I92" s="77"/>
      <c r="J92" s="77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80"/>
    </row>
    <row r="93" spans="1:33" s="36" customFormat="1" ht="20.100000000000001" customHeight="1" x14ac:dyDescent="0.3">
      <c r="A93" s="271"/>
      <c r="B93" s="272"/>
      <c r="C93" s="273"/>
      <c r="D93" s="76"/>
      <c r="E93" s="81"/>
      <c r="F93" s="77"/>
      <c r="G93" s="77"/>
      <c r="H93" s="77"/>
      <c r="I93" s="77"/>
      <c r="J93" s="77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80"/>
    </row>
    <row r="94" spans="1:33" s="36" customFormat="1" ht="20.100000000000001" customHeight="1" x14ac:dyDescent="0.3">
      <c r="A94" s="271"/>
      <c r="B94" s="272"/>
      <c r="C94" s="273"/>
      <c r="D94" s="76"/>
      <c r="E94" s="77"/>
      <c r="F94" s="77"/>
      <c r="G94" s="77"/>
      <c r="H94" s="77"/>
      <c r="I94" s="77"/>
      <c r="J94" s="77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80"/>
    </row>
    <row r="95" spans="1:33" s="36" customFormat="1" ht="20.100000000000001" customHeight="1" x14ac:dyDescent="0.3">
      <c r="A95" s="271"/>
      <c r="B95" s="272"/>
      <c r="C95" s="273"/>
      <c r="D95" s="76"/>
      <c r="E95" s="77"/>
      <c r="F95" s="77"/>
      <c r="G95" s="77"/>
      <c r="H95" s="77"/>
      <c r="I95" s="77"/>
      <c r="J95" s="77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80"/>
    </row>
    <row r="96" spans="1:33" s="36" customFormat="1" ht="20.100000000000001" customHeight="1" x14ac:dyDescent="0.3">
      <c r="A96" s="274"/>
      <c r="B96" s="275"/>
      <c r="C96" s="276"/>
      <c r="D96" s="82"/>
      <c r="E96" s="83"/>
      <c r="F96" s="83"/>
      <c r="G96" s="83"/>
      <c r="H96" s="83"/>
      <c r="I96" s="83"/>
      <c r="J96" s="8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4"/>
    </row>
    <row r="97" spans="1:33" s="36" customFormat="1" ht="20.100000000000001" customHeight="1" x14ac:dyDescent="0.3">
      <c r="A97" s="268" t="s">
        <v>141</v>
      </c>
      <c r="B97" s="269"/>
      <c r="C97" s="270"/>
      <c r="D97" s="70"/>
      <c r="E97" s="72"/>
      <c r="F97" s="72"/>
      <c r="G97" s="72"/>
      <c r="H97" s="72"/>
      <c r="I97" s="72"/>
      <c r="J97" s="72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5"/>
    </row>
    <row r="98" spans="1:33" s="36" customFormat="1" ht="20.100000000000001" customHeight="1" x14ac:dyDescent="0.3">
      <c r="A98" s="271"/>
      <c r="B98" s="272"/>
      <c r="C98" s="273"/>
      <c r="D98" s="76"/>
      <c r="E98" s="81" t="s">
        <v>142</v>
      </c>
      <c r="F98" s="77"/>
      <c r="G98" s="77"/>
      <c r="H98" s="77"/>
      <c r="I98" s="77"/>
      <c r="J98" s="77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80"/>
    </row>
    <row r="99" spans="1:33" s="36" customFormat="1" ht="20.100000000000001" customHeight="1" x14ac:dyDescent="0.3">
      <c r="A99" s="271"/>
      <c r="B99" s="272"/>
      <c r="C99" s="273"/>
      <c r="D99" s="76"/>
      <c r="E99" s="77" t="s">
        <v>143</v>
      </c>
      <c r="F99" s="77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80"/>
    </row>
    <row r="100" spans="1:33" s="36" customFormat="1" ht="20.100000000000001" customHeight="1" x14ac:dyDescent="0.3">
      <c r="A100" s="271"/>
      <c r="B100" s="272"/>
      <c r="C100" s="273"/>
      <c r="D100" s="76"/>
      <c r="E100" s="77" t="s">
        <v>144</v>
      </c>
      <c r="F100" s="77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80"/>
    </row>
    <row r="101" spans="1:33" s="36" customFormat="1" ht="20.100000000000001" customHeight="1" x14ac:dyDescent="0.3">
      <c r="A101" s="271"/>
      <c r="B101" s="272"/>
      <c r="C101" s="273"/>
      <c r="D101" s="76"/>
      <c r="E101" s="88" t="s">
        <v>145</v>
      </c>
      <c r="F101" s="77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80"/>
    </row>
    <row r="102" spans="1:33" s="36" customFormat="1" ht="20.100000000000001" customHeight="1" x14ac:dyDescent="0.3">
      <c r="A102" s="271"/>
      <c r="B102" s="272"/>
      <c r="C102" s="273"/>
      <c r="D102" s="76"/>
      <c r="E102" s="85" t="s">
        <v>146</v>
      </c>
      <c r="F102" s="77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80"/>
    </row>
    <row r="103" spans="1:33" s="36" customFormat="1" ht="20.100000000000001" customHeight="1" x14ac:dyDescent="0.3">
      <c r="A103" s="271"/>
      <c r="B103" s="272"/>
      <c r="C103" s="273"/>
      <c r="D103" s="76"/>
      <c r="E103" s="86" t="s">
        <v>147</v>
      </c>
      <c r="F103" s="77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80"/>
    </row>
    <row r="104" spans="1:33" s="36" customFormat="1" ht="20.100000000000001" customHeight="1" x14ac:dyDescent="0.3">
      <c r="A104" s="271"/>
      <c r="B104" s="272"/>
      <c r="C104" s="273"/>
      <c r="D104" s="76"/>
      <c r="E104" s="85" t="s">
        <v>148</v>
      </c>
      <c r="F104" s="77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80"/>
    </row>
    <row r="105" spans="1:33" s="36" customFormat="1" ht="20.100000000000001" customHeight="1" x14ac:dyDescent="0.3">
      <c r="A105" s="274"/>
      <c r="B105" s="275"/>
      <c r="C105" s="276"/>
      <c r="D105" s="82"/>
      <c r="E105" s="89"/>
      <c r="F105" s="83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4"/>
    </row>
    <row r="106" spans="1:33" s="36" customFormat="1" ht="20.100000000000001" customHeight="1" x14ac:dyDescent="0.3">
      <c r="A106" s="268" t="s">
        <v>149</v>
      </c>
      <c r="B106" s="269"/>
      <c r="C106" s="270"/>
      <c r="D106" s="70"/>
      <c r="E106" s="72"/>
      <c r="F106" s="77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80"/>
    </row>
    <row r="107" spans="1:33" s="36" customFormat="1" ht="20.100000000000001" customHeight="1" x14ac:dyDescent="0.3">
      <c r="A107" s="271"/>
      <c r="B107" s="272"/>
      <c r="C107" s="273"/>
      <c r="D107" s="76"/>
      <c r="E107" s="81" t="s">
        <v>150</v>
      </c>
      <c r="F107" s="77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80"/>
    </row>
    <row r="108" spans="1:33" s="36" customFormat="1" ht="20.100000000000001" customHeight="1" x14ac:dyDescent="0.3">
      <c r="A108" s="271"/>
      <c r="B108" s="272"/>
      <c r="C108" s="273"/>
      <c r="D108" s="76"/>
      <c r="E108" s="85"/>
      <c r="F108" s="77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80"/>
    </row>
    <row r="109" spans="1:33" s="36" customFormat="1" ht="20.100000000000001" customHeight="1" x14ac:dyDescent="0.3">
      <c r="A109" s="271"/>
      <c r="B109" s="272"/>
      <c r="C109" s="273"/>
      <c r="D109" s="76"/>
      <c r="E109" s="85"/>
      <c r="F109" s="77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80"/>
    </row>
    <row r="110" spans="1:33" s="36" customFormat="1" ht="20.100000000000001" customHeight="1" x14ac:dyDescent="0.3">
      <c r="A110" s="271"/>
      <c r="B110" s="272"/>
      <c r="C110" s="273"/>
      <c r="D110" s="76"/>
      <c r="E110" s="85"/>
      <c r="F110" s="77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80"/>
    </row>
    <row r="111" spans="1:33" s="36" customFormat="1" ht="20.100000000000001" customHeight="1" x14ac:dyDescent="0.3">
      <c r="A111" s="271"/>
      <c r="B111" s="272"/>
      <c r="C111" s="273"/>
      <c r="D111" s="76"/>
      <c r="E111" s="85"/>
      <c r="F111" s="77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80"/>
    </row>
    <row r="112" spans="1:33" s="36" customFormat="1" ht="20.100000000000001" customHeight="1" x14ac:dyDescent="0.3">
      <c r="A112" s="271"/>
      <c r="B112" s="272"/>
      <c r="C112" s="273"/>
      <c r="D112" s="76"/>
      <c r="E112" s="85"/>
      <c r="F112" s="77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80"/>
    </row>
    <row r="113" spans="1:33" s="36" customFormat="1" ht="20.100000000000001" customHeight="1" x14ac:dyDescent="0.3">
      <c r="A113" s="271"/>
      <c r="B113" s="272"/>
      <c r="C113" s="273"/>
      <c r="D113" s="76"/>
      <c r="E113" s="85"/>
      <c r="F113" s="77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80"/>
    </row>
    <row r="114" spans="1:33" s="36" customFormat="1" ht="20.100000000000001" customHeight="1" x14ac:dyDescent="0.3">
      <c r="A114" s="271"/>
      <c r="B114" s="272"/>
      <c r="C114" s="273"/>
      <c r="D114" s="76"/>
      <c r="E114" s="85"/>
      <c r="F114" s="77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80"/>
    </row>
    <row r="115" spans="1:33" s="36" customFormat="1" ht="20.100000000000001" customHeight="1" x14ac:dyDescent="0.3">
      <c r="A115" s="274"/>
      <c r="B115" s="275"/>
      <c r="C115" s="276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4"/>
    </row>
    <row r="116" spans="1:33" s="36" customFormat="1" ht="20.100000000000001" customHeight="1" x14ac:dyDescent="0.3">
      <c r="A116" s="268" t="s">
        <v>278</v>
      </c>
      <c r="B116" s="269"/>
      <c r="C116" s="270"/>
      <c r="D116" s="70"/>
      <c r="E116" s="72"/>
      <c r="F116" s="77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80"/>
    </row>
    <row r="117" spans="1:33" s="36" customFormat="1" ht="20.100000000000001" customHeight="1" x14ac:dyDescent="0.3">
      <c r="A117" s="271"/>
      <c r="B117" s="272"/>
      <c r="C117" s="273"/>
      <c r="D117" s="76"/>
      <c r="E117" s="81" t="s">
        <v>279</v>
      </c>
      <c r="F117" s="77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80"/>
    </row>
    <row r="118" spans="1:33" s="36" customFormat="1" ht="20.100000000000001" customHeight="1" x14ac:dyDescent="0.3">
      <c r="A118" s="271"/>
      <c r="B118" s="272"/>
      <c r="C118" s="273"/>
      <c r="D118" s="76"/>
      <c r="E118" s="85"/>
      <c r="F118" s="77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80"/>
    </row>
    <row r="119" spans="1:33" s="36" customFormat="1" ht="20.100000000000001" customHeight="1" x14ac:dyDescent="0.3">
      <c r="A119" s="271"/>
      <c r="B119" s="272"/>
      <c r="C119" s="273"/>
      <c r="D119" s="76"/>
      <c r="E119" s="85"/>
      <c r="F119" s="77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80"/>
    </row>
    <row r="120" spans="1:33" s="36" customFormat="1" ht="20.100000000000001" customHeight="1" x14ac:dyDescent="0.3">
      <c r="A120" s="271"/>
      <c r="B120" s="272"/>
      <c r="C120" s="273"/>
      <c r="D120" s="76"/>
      <c r="E120" s="85"/>
      <c r="F120" s="77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80"/>
    </row>
    <row r="121" spans="1:33" s="36" customFormat="1" ht="20.100000000000001" customHeight="1" x14ac:dyDescent="0.3">
      <c r="A121" s="271"/>
      <c r="B121" s="272"/>
      <c r="C121" s="273"/>
      <c r="D121" s="76"/>
      <c r="E121" s="85"/>
      <c r="F121" s="77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80"/>
    </row>
    <row r="122" spans="1:33" s="36" customFormat="1" ht="20.100000000000001" customHeight="1" x14ac:dyDescent="0.3">
      <c r="A122" s="271"/>
      <c r="B122" s="272"/>
      <c r="C122" s="273"/>
      <c r="D122" s="76"/>
      <c r="E122" s="85"/>
      <c r="F122" s="77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80"/>
    </row>
    <row r="123" spans="1:33" s="36" customFormat="1" ht="20.100000000000001" customHeight="1" x14ac:dyDescent="0.3">
      <c r="A123" s="271"/>
      <c r="B123" s="272"/>
      <c r="C123" s="273"/>
      <c r="D123" s="76"/>
      <c r="E123" s="85"/>
      <c r="F123" s="77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80"/>
    </row>
    <row r="124" spans="1:33" s="36" customFormat="1" ht="20.100000000000001" customHeight="1" x14ac:dyDescent="0.3">
      <c r="A124" s="271"/>
      <c r="B124" s="272"/>
      <c r="C124" s="273"/>
      <c r="D124" s="76"/>
      <c r="E124" s="85"/>
      <c r="F124" s="77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80"/>
    </row>
    <row r="125" spans="1:33" s="36" customFormat="1" ht="20.100000000000001" customHeight="1" x14ac:dyDescent="0.3">
      <c r="A125" s="274"/>
      <c r="B125" s="275"/>
      <c r="C125" s="276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4"/>
    </row>
    <row r="126" spans="1:33" ht="15" customHeight="1" x14ac:dyDescent="0.3"/>
    <row r="127" spans="1:33" ht="15" customHeight="1" x14ac:dyDescent="0.3"/>
    <row r="128" spans="1:33" ht="15" customHeight="1" x14ac:dyDescent="0.3"/>
    <row r="129" ht="15" customHeight="1" x14ac:dyDescent="0.3"/>
    <row r="130" ht="15" customHeight="1" x14ac:dyDescent="0.3"/>
  </sheetData>
  <mergeCells count="22">
    <mergeCell ref="A73:C76"/>
    <mergeCell ref="A54:C72"/>
    <mergeCell ref="I90:N90"/>
    <mergeCell ref="O90:T90"/>
    <mergeCell ref="U90:Z90"/>
    <mergeCell ref="E90:H90"/>
    <mergeCell ref="AA90:AF90"/>
    <mergeCell ref="U89:Z89"/>
    <mergeCell ref="A77:C82"/>
    <mergeCell ref="A116:C125"/>
    <mergeCell ref="A6:AG6"/>
    <mergeCell ref="A7:C26"/>
    <mergeCell ref="A40:C49"/>
    <mergeCell ref="A50:C53"/>
    <mergeCell ref="A83:C86"/>
    <mergeCell ref="A87:C96"/>
    <mergeCell ref="E89:H89"/>
    <mergeCell ref="I89:N89"/>
    <mergeCell ref="O89:T89"/>
    <mergeCell ref="A97:C105"/>
    <mergeCell ref="A106:C115"/>
    <mergeCell ref="AA89:AF89"/>
  </mergeCells>
  <phoneticPr fontId="3" type="noConversion"/>
  <printOptions horizontalCentered="1"/>
  <pageMargins left="0.39370078740157483" right="0.39370078740157483" top="0.43307086614173229" bottom="0.43307086614173229" header="0" footer="0"/>
  <pageSetup paperSize="9" orientation="portrait" r:id="rId1"/>
  <headerFooter differentFirst="1">
    <oddFooter xml:space="preserve">&amp;C&amp;10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EF23-0F17-4BB8-BF36-3D2E49000C70}">
  <dimension ref="B4:L22"/>
  <sheetViews>
    <sheetView showGridLines="0" zoomScaleNormal="100" workbookViewId="0">
      <selection activeCell="L26" sqref="L26"/>
    </sheetView>
  </sheetViews>
  <sheetFormatPr defaultColWidth="9" defaultRowHeight="13.5" x14ac:dyDescent="0.3"/>
  <cols>
    <col min="1" max="1" width="2.125" style="91" customWidth="1"/>
    <col min="2" max="2" width="11.125" style="91" customWidth="1"/>
    <col min="3" max="11" width="10.875" style="91" customWidth="1"/>
    <col min="12" max="12" width="10.625" style="91" customWidth="1"/>
    <col min="13" max="13" width="2.125" style="91" customWidth="1"/>
    <col min="14" max="16" width="6.875" style="91" customWidth="1"/>
    <col min="17" max="17" width="14.625" style="91" customWidth="1"/>
    <col min="18" max="18" width="1.625" style="91" customWidth="1"/>
    <col min="19" max="16384" width="9" style="91"/>
  </cols>
  <sheetData>
    <row r="4" spans="2:12" ht="17.25" x14ac:dyDescent="0.3">
      <c r="B4" s="90" t="s">
        <v>151</v>
      </c>
    </row>
    <row r="6" spans="2:12" ht="20.100000000000001" customHeight="1" x14ac:dyDescent="0.3">
      <c r="B6" s="294" t="s">
        <v>152</v>
      </c>
      <c r="C6" s="294" t="s">
        <v>153</v>
      </c>
      <c r="D6" s="297" t="s">
        <v>154</v>
      </c>
      <c r="E6" s="298"/>
      <c r="F6" s="298"/>
      <c r="G6" s="298"/>
      <c r="H6" s="298"/>
      <c r="I6" s="298"/>
      <c r="J6" s="298"/>
      <c r="K6" s="299"/>
      <c r="L6" s="294" t="s">
        <v>155</v>
      </c>
    </row>
    <row r="7" spans="2:12" ht="20.100000000000001" customHeight="1" thickBot="1" x14ac:dyDescent="0.35">
      <c r="B7" s="295"/>
      <c r="C7" s="295"/>
      <c r="D7" s="300" t="s">
        <v>156</v>
      </c>
      <c r="E7" s="302" t="s">
        <v>157</v>
      </c>
      <c r="F7" s="303"/>
      <c r="G7" s="303"/>
      <c r="H7" s="304"/>
      <c r="I7" s="305" t="s">
        <v>158</v>
      </c>
      <c r="J7" s="294" t="s">
        <v>159</v>
      </c>
      <c r="K7" s="92" t="s">
        <v>159</v>
      </c>
      <c r="L7" s="295"/>
    </row>
    <row r="8" spans="2:12" ht="20.100000000000001" customHeight="1" x14ac:dyDescent="0.3">
      <c r="B8" s="296"/>
      <c r="C8" s="296"/>
      <c r="D8" s="301"/>
      <c r="E8" s="93" t="s">
        <v>160</v>
      </c>
      <c r="F8" s="94" t="s">
        <v>161</v>
      </c>
      <c r="G8" s="95" t="s">
        <v>162</v>
      </c>
      <c r="H8" s="96" t="s">
        <v>163</v>
      </c>
      <c r="I8" s="306"/>
      <c r="J8" s="296"/>
      <c r="K8" s="97" t="s">
        <v>164</v>
      </c>
      <c r="L8" s="296"/>
    </row>
    <row r="9" spans="2:12" ht="30.95" customHeight="1" x14ac:dyDescent="0.3">
      <c r="B9" s="98" t="s">
        <v>165</v>
      </c>
      <c r="C9" s="99">
        <v>3347</v>
      </c>
      <c r="D9" s="99">
        <v>1921</v>
      </c>
      <c r="E9" s="100">
        <v>1426</v>
      </c>
      <c r="F9" s="98" t="s">
        <v>166</v>
      </c>
      <c r="G9" s="101" t="s">
        <v>166</v>
      </c>
      <c r="H9" s="102" t="s">
        <v>166</v>
      </c>
      <c r="I9" s="103">
        <v>1426</v>
      </c>
      <c r="J9" s="98" t="s">
        <v>166</v>
      </c>
      <c r="K9" s="98" t="s">
        <v>166</v>
      </c>
      <c r="L9" s="104"/>
    </row>
    <row r="10" spans="2:12" ht="30.95" customHeight="1" x14ac:dyDescent="0.3">
      <c r="B10" s="98" t="s">
        <v>167</v>
      </c>
      <c r="C10" s="99">
        <v>3347</v>
      </c>
      <c r="D10" s="98" t="s">
        <v>166</v>
      </c>
      <c r="E10" s="105" t="s">
        <v>166</v>
      </c>
      <c r="F10" s="98">
        <v>50</v>
      </c>
      <c r="G10" s="101">
        <v>28</v>
      </c>
      <c r="H10" s="102">
        <v>46</v>
      </c>
      <c r="I10" s="106">
        <v>124</v>
      </c>
      <c r="J10" s="99">
        <v>1382</v>
      </c>
      <c r="K10" s="99">
        <v>1841</v>
      </c>
      <c r="L10" s="104"/>
    </row>
    <row r="11" spans="2:12" ht="30.95" customHeight="1" x14ac:dyDescent="0.3">
      <c r="B11" s="98" t="s">
        <v>168</v>
      </c>
      <c r="C11" s="99">
        <v>3347</v>
      </c>
      <c r="D11" s="98" t="s">
        <v>166</v>
      </c>
      <c r="E11" s="105" t="s">
        <v>166</v>
      </c>
      <c r="F11" s="98">
        <v>330</v>
      </c>
      <c r="G11" s="101" t="s">
        <v>166</v>
      </c>
      <c r="H11" s="102" t="s">
        <v>166</v>
      </c>
      <c r="I11" s="106">
        <v>330</v>
      </c>
      <c r="J11" s="98">
        <v>965</v>
      </c>
      <c r="K11" s="99">
        <v>2052</v>
      </c>
      <c r="L11" s="107"/>
    </row>
    <row r="12" spans="2:12" ht="30.95" customHeight="1" x14ac:dyDescent="0.3">
      <c r="B12" s="98" t="s">
        <v>169</v>
      </c>
      <c r="C12" s="99">
        <v>2745</v>
      </c>
      <c r="D12" s="98" t="s">
        <v>166</v>
      </c>
      <c r="E12" s="105" t="s">
        <v>166</v>
      </c>
      <c r="F12" s="98">
        <v>41</v>
      </c>
      <c r="G12" s="101">
        <v>23</v>
      </c>
      <c r="H12" s="102">
        <v>37</v>
      </c>
      <c r="I12" s="106">
        <v>101</v>
      </c>
      <c r="J12" s="99">
        <v>1134</v>
      </c>
      <c r="K12" s="99">
        <v>1510</v>
      </c>
      <c r="L12" s="104"/>
    </row>
    <row r="13" spans="2:12" ht="30.95" customHeight="1" x14ac:dyDescent="0.3">
      <c r="B13" s="108" t="s">
        <v>170</v>
      </c>
      <c r="C13" s="108">
        <v>602</v>
      </c>
      <c r="D13" s="108" t="s">
        <v>166</v>
      </c>
      <c r="E13" s="109" t="s">
        <v>166</v>
      </c>
      <c r="F13" s="108">
        <v>9</v>
      </c>
      <c r="G13" s="110">
        <v>5</v>
      </c>
      <c r="H13" s="111">
        <v>9</v>
      </c>
      <c r="I13" s="106">
        <v>23</v>
      </c>
      <c r="J13" s="108">
        <v>248</v>
      </c>
      <c r="K13" s="108">
        <v>331</v>
      </c>
      <c r="L13" s="112"/>
    </row>
    <row r="14" spans="2:12" ht="30.95" customHeight="1" x14ac:dyDescent="0.3">
      <c r="B14" s="98" t="s">
        <v>171</v>
      </c>
      <c r="C14" s="113">
        <v>0.82</v>
      </c>
      <c r="D14" s="98" t="s">
        <v>172</v>
      </c>
      <c r="E14" s="105" t="s">
        <v>172</v>
      </c>
      <c r="F14" s="113">
        <v>0.82</v>
      </c>
      <c r="G14" s="114">
        <v>0.82</v>
      </c>
      <c r="H14" s="115">
        <v>0.82</v>
      </c>
      <c r="I14" s="116">
        <v>0.82</v>
      </c>
      <c r="J14" s="113">
        <v>0.82</v>
      </c>
      <c r="K14" s="113">
        <v>0.82</v>
      </c>
      <c r="L14" s="104"/>
    </row>
    <row r="15" spans="2:12" ht="30.95" customHeight="1" x14ac:dyDescent="0.3">
      <c r="B15" s="285" t="s">
        <v>173</v>
      </c>
      <c r="C15" s="98" t="s">
        <v>174</v>
      </c>
      <c r="D15" s="98" t="s">
        <v>166</v>
      </c>
      <c r="E15" s="105" t="s">
        <v>166</v>
      </c>
      <c r="F15" s="98" t="s">
        <v>175</v>
      </c>
      <c r="G15" s="117" t="s">
        <v>176</v>
      </c>
      <c r="H15" s="118" t="s">
        <v>177</v>
      </c>
      <c r="I15" s="106" t="s">
        <v>178</v>
      </c>
      <c r="J15" s="119" t="s">
        <v>179</v>
      </c>
      <c r="K15" s="98" t="s">
        <v>180</v>
      </c>
      <c r="L15" s="107"/>
    </row>
    <row r="16" spans="2:12" ht="30.95" customHeight="1" x14ac:dyDescent="0.3">
      <c r="B16" s="286"/>
      <c r="C16" s="98" t="s">
        <v>181</v>
      </c>
      <c r="D16" s="98" t="s">
        <v>166</v>
      </c>
      <c r="E16" s="105" t="s">
        <v>166</v>
      </c>
      <c r="F16" s="98" t="s">
        <v>175</v>
      </c>
      <c r="G16" s="101" t="s">
        <v>182</v>
      </c>
      <c r="H16" s="102" t="s">
        <v>178</v>
      </c>
      <c r="I16" s="106" t="s">
        <v>178</v>
      </c>
      <c r="J16" s="98" t="s">
        <v>183</v>
      </c>
      <c r="K16" s="98" t="s">
        <v>184</v>
      </c>
      <c r="L16" s="107"/>
    </row>
    <row r="17" spans="2:12" ht="30.95" customHeight="1" x14ac:dyDescent="0.3">
      <c r="B17" s="285" t="s">
        <v>185</v>
      </c>
      <c r="C17" s="98" t="s">
        <v>186</v>
      </c>
      <c r="D17" s="113">
        <v>0</v>
      </c>
      <c r="E17" s="120">
        <v>0</v>
      </c>
      <c r="F17" s="113">
        <v>1.4999999999999999E-2</v>
      </c>
      <c r="G17" s="114">
        <v>8.0000000000000002E-3</v>
      </c>
      <c r="H17" s="115">
        <v>1.4E-2</v>
      </c>
      <c r="I17" s="116">
        <v>3.6999999999999998E-2</v>
      </c>
      <c r="J17" s="113">
        <v>0.41299999999999998</v>
      </c>
      <c r="K17" s="113">
        <v>0.55000000000000004</v>
      </c>
      <c r="L17" s="104"/>
    </row>
    <row r="18" spans="2:12" ht="30.95" customHeight="1" thickBot="1" x14ac:dyDescent="0.35">
      <c r="B18" s="286"/>
      <c r="C18" s="98" t="s">
        <v>187</v>
      </c>
      <c r="D18" s="113">
        <v>0</v>
      </c>
      <c r="E18" s="120">
        <v>0</v>
      </c>
      <c r="F18" s="113">
        <v>1.4999999999999999E-2</v>
      </c>
      <c r="G18" s="114">
        <v>2.3E-2</v>
      </c>
      <c r="H18" s="121">
        <v>3.6999999999999998E-2</v>
      </c>
      <c r="I18" s="116">
        <v>3.6999999999999998E-2</v>
      </c>
      <c r="J18" s="113">
        <v>0.45</v>
      </c>
      <c r="K18" s="122">
        <v>1</v>
      </c>
      <c r="L18" s="104"/>
    </row>
    <row r="19" spans="2:12" ht="18.95" customHeight="1" x14ac:dyDescent="0.3">
      <c r="B19" s="285" t="s">
        <v>188</v>
      </c>
      <c r="C19" s="288"/>
      <c r="D19" s="289"/>
      <c r="E19" s="289"/>
      <c r="F19" s="289"/>
      <c r="G19" s="289"/>
      <c r="H19" s="289"/>
      <c r="I19" s="289"/>
      <c r="J19" s="289"/>
      <c r="K19" s="289"/>
      <c r="L19" s="290"/>
    </row>
    <row r="20" spans="2:12" ht="18.95" customHeight="1" x14ac:dyDescent="0.3">
      <c r="B20" s="287"/>
      <c r="C20" s="288"/>
      <c r="D20" s="289"/>
      <c r="E20" s="289"/>
      <c r="F20" s="289"/>
      <c r="G20" s="289"/>
      <c r="H20" s="289"/>
      <c r="I20" s="289"/>
      <c r="J20" s="289"/>
      <c r="K20" s="289"/>
      <c r="L20" s="290"/>
    </row>
    <row r="21" spans="2:12" ht="18.95" customHeight="1" x14ac:dyDescent="0.3">
      <c r="B21" s="286"/>
      <c r="C21" s="291"/>
      <c r="D21" s="292"/>
      <c r="E21" s="292"/>
      <c r="F21" s="292"/>
      <c r="G21" s="292"/>
      <c r="H21" s="292"/>
      <c r="I21" s="292"/>
      <c r="J21" s="292"/>
      <c r="K21" s="292"/>
      <c r="L21" s="293"/>
    </row>
    <row r="22" spans="2:12" ht="9" customHeight="1" x14ac:dyDescent="0.3"/>
  </sheetData>
  <mergeCells count="12">
    <mergeCell ref="B15:B16"/>
    <mergeCell ref="B17:B18"/>
    <mergeCell ref="B19:B21"/>
    <mergeCell ref="C19:L21"/>
    <mergeCell ref="B6:B8"/>
    <mergeCell ref="C6:C8"/>
    <mergeCell ref="D6:K6"/>
    <mergeCell ref="L6:L8"/>
    <mergeCell ref="D7:D8"/>
    <mergeCell ref="E7:H7"/>
    <mergeCell ref="I7:I8"/>
    <mergeCell ref="J7:J8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D248-EFD5-41DD-9097-F45C0CA3FB9F}">
  <dimension ref="B4:N31"/>
  <sheetViews>
    <sheetView showGridLines="0" zoomScale="70" zoomScaleNormal="70" workbookViewId="0">
      <selection activeCell="I47" sqref="I47"/>
    </sheetView>
  </sheetViews>
  <sheetFormatPr defaultColWidth="9" defaultRowHeight="13.5" x14ac:dyDescent="0.3"/>
  <cols>
    <col min="1" max="1" width="2.125" style="91" customWidth="1"/>
    <col min="2" max="2" width="11.125" style="91" customWidth="1"/>
    <col min="3" max="14" width="9.125" style="91" customWidth="1"/>
    <col min="15" max="15" width="2.125" style="91" customWidth="1"/>
    <col min="16" max="16" width="6.875" style="91" customWidth="1"/>
    <col min="17" max="17" width="14.625" style="91" customWidth="1"/>
    <col min="18" max="18" width="1.625" style="91" customWidth="1"/>
    <col min="19" max="16384" width="9" style="91"/>
  </cols>
  <sheetData>
    <row r="4" spans="2:14" ht="17.25" x14ac:dyDescent="0.3">
      <c r="B4" s="90" t="s">
        <v>189</v>
      </c>
    </row>
    <row r="6" spans="2:14" ht="20.100000000000001" customHeight="1" x14ac:dyDescent="0.3">
      <c r="B6" s="123" t="s">
        <v>190</v>
      </c>
      <c r="C6" s="307" t="s">
        <v>191</v>
      </c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</row>
    <row r="7" spans="2:14" ht="20.100000000000001" customHeight="1" x14ac:dyDescent="0.3">
      <c r="B7" s="123" t="s">
        <v>192</v>
      </c>
      <c r="C7" s="123" t="s">
        <v>193</v>
      </c>
      <c r="D7" s="123" t="s">
        <v>194</v>
      </c>
      <c r="E7" s="123" t="s">
        <v>195</v>
      </c>
      <c r="F7" s="123" t="s">
        <v>196</v>
      </c>
      <c r="G7" s="123" t="s">
        <v>197</v>
      </c>
      <c r="H7" s="123" t="s">
        <v>198</v>
      </c>
      <c r="I7" s="123" t="s">
        <v>199</v>
      </c>
      <c r="J7" s="123" t="s">
        <v>200</v>
      </c>
      <c r="K7" s="123" t="s">
        <v>201</v>
      </c>
      <c r="L7" s="123" t="s">
        <v>202</v>
      </c>
      <c r="M7" s="123" t="s">
        <v>203</v>
      </c>
      <c r="N7" s="123" t="s">
        <v>204</v>
      </c>
    </row>
    <row r="8" spans="2:14" ht="24.95" customHeight="1" x14ac:dyDescent="0.3">
      <c r="B8" s="124" t="s">
        <v>205</v>
      </c>
      <c r="C8" s="124">
        <v>1.76</v>
      </c>
      <c r="D8" s="124">
        <v>2.79</v>
      </c>
      <c r="E8" s="124">
        <v>4.08</v>
      </c>
      <c r="F8" s="124">
        <v>5.37</v>
      </c>
      <c r="G8" s="124">
        <v>7.21</v>
      </c>
      <c r="H8" s="124">
        <v>9.0500000000000007</v>
      </c>
      <c r="I8" s="125">
        <v>9.9</v>
      </c>
      <c r="J8" s="125">
        <v>10.75</v>
      </c>
      <c r="K8" s="125">
        <v>11.7</v>
      </c>
      <c r="L8" s="125">
        <v>12.65</v>
      </c>
      <c r="M8" s="125">
        <v>13.63</v>
      </c>
      <c r="N8" s="125">
        <v>14.61</v>
      </c>
    </row>
    <row r="9" spans="2:14" ht="24.95" customHeight="1" x14ac:dyDescent="0.3">
      <c r="B9" s="124" t="s">
        <v>206</v>
      </c>
      <c r="C9" s="124">
        <v>0</v>
      </c>
      <c r="D9" s="124">
        <v>0</v>
      </c>
      <c r="E9" s="124">
        <v>2.79</v>
      </c>
      <c r="F9" s="124">
        <v>2.79</v>
      </c>
      <c r="G9" s="124">
        <v>5.37</v>
      </c>
      <c r="H9" s="124">
        <v>5.37</v>
      </c>
      <c r="I9" s="125">
        <v>9.0500000000000007</v>
      </c>
      <c r="J9" s="125">
        <v>10.75</v>
      </c>
      <c r="K9" s="125">
        <v>11.97</v>
      </c>
      <c r="L9" s="125">
        <v>11.97</v>
      </c>
      <c r="M9" s="125">
        <v>11.97</v>
      </c>
      <c r="N9" s="125">
        <v>13.2</v>
      </c>
    </row>
    <row r="10" spans="2:14" ht="24.95" customHeight="1" x14ac:dyDescent="0.3">
      <c r="B10" s="124" t="s">
        <v>207</v>
      </c>
      <c r="C10" s="126">
        <f t="shared" ref="C10:N10" si="0">C9/C8</f>
        <v>0</v>
      </c>
      <c r="D10" s="126">
        <f t="shared" si="0"/>
        <v>0</v>
      </c>
      <c r="E10" s="126">
        <f t="shared" si="0"/>
        <v>0.68382352941176472</v>
      </c>
      <c r="F10" s="126">
        <f t="shared" si="0"/>
        <v>0.51955307262569828</v>
      </c>
      <c r="G10" s="126">
        <f t="shared" si="0"/>
        <v>0.74479889042995839</v>
      </c>
      <c r="H10" s="126">
        <f t="shared" si="0"/>
        <v>0.59337016574585633</v>
      </c>
      <c r="I10" s="126">
        <f t="shared" si="0"/>
        <v>0.91414141414141414</v>
      </c>
      <c r="J10" s="126">
        <f t="shared" si="0"/>
        <v>1</v>
      </c>
      <c r="K10" s="126">
        <f t="shared" si="0"/>
        <v>1.0230769230769232</v>
      </c>
      <c r="L10" s="126">
        <f t="shared" si="0"/>
        <v>0.94624505928853753</v>
      </c>
      <c r="M10" s="126">
        <f t="shared" si="0"/>
        <v>0.87820983125458552</v>
      </c>
      <c r="N10" s="126">
        <f t="shared" si="0"/>
        <v>0.90349075975359339</v>
      </c>
    </row>
    <row r="11" spans="2:14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spans="2:14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</row>
    <row r="13" spans="2:14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</row>
    <row r="14" spans="2:14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</row>
    <row r="15" spans="2:14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</row>
    <row r="16" spans="2:14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spans="2:14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</row>
    <row r="18" spans="2:14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</row>
    <row r="19" spans="2:14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</row>
    <row r="20" spans="2:14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</row>
    <row r="21" spans="2:14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</row>
    <row r="22" spans="2:14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</row>
    <row r="23" spans="2:14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spans="2:14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</row>
    <row r="25" spans="2:14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</row>
    <row r="26" spans="2:14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</row>
    <row r="27" spans="2:14" x14ac:dyDescent="0.25"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</row>
    <row r="28" spans="2:14" x14ac:dyDescent="0.2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</row>
    <row r="29" spans="2:14" x14ac:dyDescent="0.25"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  <row r="30" spans="2:14" x14ac:dyDescent="0.25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</row>
    <row r="31" spans="2:14" x14ac:dyDescent="0.25"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</row>
  </sheetData>
  <mergeCells count="1">
    <mergeCell ref="C6:N6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95EE-A91A-4FAF-8A94-3A8292562E14}">
  <dimension ref="B4:O28"/>
  <sheetViews>
    <sheetView showGridLines="0" zoomScale="70" zoomScaleNormal="70" workbookViewId="0">
      <selection activeCell="O53" sqref="O53"/>
    </sheetView>
  </sheetViews>
  <sheetFormatPr defaultColWidth="9" defaultRowHeight="13.5" x14ac:dyDescent="0.3"/>
  <cols>
    <col min="1" max="1" width="2.125" style="91" customWidth="1"/>
    <col min="2" max="15" width="8.625" style="91" customWidth="1"/>
    <col min="16" max="16" width="2.125" style="91" customWidth="1"/>
    <col min="17" max="17" width="6.875" style="91" customWidth="1"/>
    <col min="18" max="18" width="14.625" style="91" customWidth="1"/>
    <col min="19" max="19" width="1.625" style="91" customWidth="1"/>
    <col min="20" max="16384" width="9" style="91"/>
  </cols>
  <sheetData>
    <row r="4" spans="2:15" ht="17.25" x14ac:dyDescent="0.3">
      <c r="B4" s="90" t="s">
        <v>208</v>
      </c>
    </row>
    <row r="6" spans="2:15" ht="20.100000000000001" customHeight="1" x14ac:dyDescent="0.3">
      <c r="B6" s="128" t="s">
        <v>192</v>
      </c>
      <c r="C6" s="128" t="s">
        <v>193</v>
      </c>
      <c r="D6" s="128" t="s">
        <v>209</v>
      </c>
      <c r="E6" s="128" t="s">
        <v>210</v>
      </c>
      <c r="F6" s="128" t="s">
        <v>211</v>
      </c>
      <c r="G6" s="128" t="s">
        <v>212</v>
      </c>
      <c r="H6" s="128" t="s">
        <v>213</v>
      </c>
      <c r="I6" s="128" t="s">
        <v>199</v>
      </c>
      <c r="J6" s="128" t="s">
        <v>200</v>
      </c>
      <c r="K6" s="128" t="s">
        <v>201</v>
      </c>
      <c r="L6" s="128" t="s">
        <v>202</v>
      </c>
      <c r="M6" s="128" t="s">
        <v>203</v>
      </c>
      <c r="N6" s="128" t="s">
        <v>204</v>
      </c>
      <c r="O6" s="128" t="s">
        <v>214</v>
      </c>
    </row>
    <row r="7" spans="2:15" ht="24.95" customHeight="1" x14ac:dyDescent="0.3">
      <c r="B7" s="129" t="s">
        <v>215</v>
      </c>
      <c r="C7" s="130">
        <v>0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0</v>
      </c>
      <c r="J7" s="130">
        <v>0</v>
      </c>
      <c r="K7" s="130">
        <v>0</v>
      </c>
      <c r="L7" s="130">
        <v>0</v>
      </c>
      <c r="M7" s="130">
        <v>0</v>
      </c>
      <c r="N7" s="130">
        <v>0</v>
      </c>
      <c r="O7" s="130">
        <f>SUM(C7:N7)</f>
        <v>0</v>
      </c>
    </row>
    <row r="8" spans="2:15" x14ac:dyDescent="0.25"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2:15" x14ac:dyDescent="0.25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15" x14ac:dyDescent="0.2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1" spans="2:15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</row>
    <row r="12" spans="2:15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2:15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2:15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</row>
    <row r="16" spans="2:15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2:15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2:15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  <row r="19" spans="2:15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2:15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2:15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2:15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</row>
    <row r="24" spans="2:15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</row>
    <row r="25" spans="2:15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spans="2:15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</row>
    <row r="27" spans="2:15" x14ac:dyDescent="0.25"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 spans="2:15" x14ac:dyDescent="0.2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</sheetData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019E-D03E-4DE0-B2B3-419EEC224E9D}">
  <dimension ref="A4:M33"/>
  <sheetViews>
    <sheetView showGridLines="0" view="pageBreakPreview" zoomScale="85" zoomScaleNormal="70" zoomScaleSheetLayoutView="85" workbookViewId="0">
      <selection activeCell="Q21" sqref="Q21"/>
    </sheetView>
  </sheetViews>
  <sheetFormatPr defaultColWidth="9" defaultRowHeight="13.5" x14ac:dyDescent="0.3"/>
  <cols>
    <col min="1" max="1" width="13.625" style="91" customWidth="1"/>
    <col min="2" max="13" width="9.625" style="91" customWidth="1"/>
    <col min="14" max="14" width="6.875" style="91" customWidth="1"/>
    <col min="15" max="15" width="14.625" style="91" customWidth="1"/>
    <col min="16" max="16" width="1.625" style="91" customWidth="1"/>
    <col min="17" max="16384" width="9" style="91"/>
  </cols>
  <sheetData>
    <row r="4" spans="1:13" ht="17.25" x14ac:dyDescent="0.3">
      <c r="A4" s="90" t="s">
        <v>277</v>
      </c>
    </row>
    <row r="6" spans="1:13" ht="24.95" customHeight="1" x14ac:dyDescent="0.3">
      <c r="A6" s="312" t="s">
        <v>216</v>
      </c>
      <c r="B6" s="308" t="s">
        <v>217</v>
      </c>
      <c r="C6" s="309"/>
      <c r="D6" s="308" t="s">
        <v>218</v>
      </c>
      <c r="E6" s="309"/>
      <c r="F6" s="308" t="s">
        <v>219</v>
      </c>
      <c r="G6" s="309"/>
      <c r="H6" s="308" t="s">
        <v>220</v>
      </c>
      <c r="I6" s="309"/>
      <c r="J6" s="308" t="s">
        <v>264</v>
      </c>
      <c r="K6" s="309"/>
      <c r="L6" s="308" t="s">
        <v>221</v>
      </c>
      <c r="M6" s="309"/>
    </row>
    <row r="7" spans="1:13" ht="24.95" customHeight="1" x14ac:dyDescent="0.3">
      <c r="A7" s="313"/>
      <c r="B7" s="131" t="s">
        <v>222</v>
      </c>
      <c r="C7" s="132" t="s">
        <v>223</v>
      </c>
      <c r="D7" s="131" t="s">
        <v>222</v>
      </c>
      <c r="E7" s="132" t="s">
        <v>223</v>
      </c>
      <c r="F7" s="131" t="s">
        <v>222</v>
      </c>
      <c r="G7" s="132" t="s">
        <v>223</v>
      </c>
      <c r="H7" s="131" t="s">
        <v>222</v>
      </c>
      <c r="I7" s="132" t="s">
        <v>223</v>
      </c>
      <c r="J7" s="131" t="s">
        <v>263</v>
      </c>
      <c r="K7" s="132" t="s">
        <v>262</v>
      </c>
      <c r="L7" s="131" t="s">
        <v>222</v>
      </c>
      <c r="M7" s="132" t="s">
        <v>223</v>
      </c>
    </row>
    <row r="8" spans="1:13" ht="14.1" customHeight="1" x14ac:dyDescent="0.3">
      <c r="A8" s="314" t="s">
        <v>193</v>
      </c>
      <c r="B8" s="133"/>
      <c r="C8" s="134"/>
      <c r="D8" s="133"/>
      <c r="E8" s="134"/>
      <c r="F8" s="133"/>
      <c r="G8" s="134"/>
      <c r="H8" s="133"/>
      <c r="I8" s="134"/>
      <c r="J8" s="133"/>
      <c r="K8" s="134"/>
      <c r="L8" s="133">
        <f>SUM(B8,D8,F8,H8)</f>
        <v>0</v>
      </c>
      <c r="M8" s="134">
        <f>SUM(C8,E8,G8,I8)</f>
        <v>0</v>
      </c>
    </row>
    <row r="9" spans="1:13" ht="14.1" customHeight="1" x14ac:dyDescent="0.3">
      <c r="A9" s="314"/>
      <c r="B9" s="310" t="e">
        <f>C8/B8</f>
        <v>#DIV/0!</v>
      </c>
      <c r="C9" s="311"/>
      <c r="D9" s="310" t="e">
        <f>E8/D8</f>
        <v>#DIV/0!</v>
      </c>
      <c r="E9" s="311"/>
      <c r="F9" s="310" t="e">
        <f>G8/F8</f>
        <v>#DIV/0!</v>
      </c>
      <c r="G9" s="311"/>
      <c r="H9" s="310" t="e">
        <f>I8/H8</f>
        <v>#DIV/0!</v>
      </c>
      <c r="I9" s="311"/>
      <c r="J9" s="310" t="e">
        <f>K8/J8</f>
        <v>#DIV/0!</v>
      </c>
      <c r="K9" s="311"/>
      <c r="L9" s="310" t="e">
        <f>M8/L8</f>
        <v>#DIV/0!</v>
      </c>
      <c r="M9" s="311"/>
    </row>
    <row r="10" spans="1:13" ht="14.1" customHeight="1" x14ac:dyDescent="0.3">
      <c r="A10" s="314" t="s">
        <v>209</v>
      </c>
      <c r="B10" s="133"/>
      <c r="C10" s="134"/>
      <c r="D10" s="133"/>
      <c r="E10" s="134"/>
      <c r="F10" s="133"/>
      <c r="G10" s="134"/>
      <c r="H10" s="133"/>
      <c r="I10" s="134"/>
      <c r="J10" s="133"/>
      <c r="K10" s="134"/>
      <c r="L10" s="133">
        <f>SUM(B10,D10,F10,H10)</f>
        <v>0</v>
      </c>
      <c r="M10" s="134">
        <f>SUM(C10,E10,G10,I10)</f>
        <v>0</v>
      </c>
    </row>
    <row r="11" spans="1:13" ht="14.1" customHeight="1" x14ac:dyDescent="0.3">
      <c r="A11" s="314"/>
      <c r="B11" s="310" t="e">
        <f>C10/B10</f>
        <v>#DIV/0!</v>
      </c>
      <c r="C11" s="311"/>
      <c r="D11" s="310" t="e">
        <f>E10/D10</f>
        <v>#DIV/0!</v>
      </c>
      <c r="E11" s="311"/>
      <c r="F11" s="310" t="e">
        <f>G10/F10</f>
        <v>#DIV/0!</v>
      </c>
      <c r="G11" s="311"/>
      <c r="H11" s="310" t="e">
        <f>I10/H10</f>
        <v>#DIV/0!</v>
      </c>
      <c r="I11" s="311"/>
      <c r="J11" s="310" t="e">
        <f>K10/J10</f>
        <v>#DIV/0!</v>
      </c>
      <c r="K11" s="311"/>
      <c r="L11" s="310" t="e">
        <f>M10/L10</f>
        <v>#DIV/0!</v>
      </c>
      <c r="M11" s="311"/>
    </row>
    <row r="12" spans="1:13" ht="14.1" customHeight="1" x14ac:dyDescent="0.3">
      <c r="A12" s="314" t="s">
        <v>210</v>
      </c>
      <c r="B12" s="133"/>
      <c r="C12" s="134"/>
      <c r="D12" s="133"/>
      <c r="E12" s="134"/>
      <c r="F12" s="133"/>
      <c r="G12" s="134"/>
      <c r="H12" s="133"/>
      <c r="I12" s="134"/>
      <c r="J12" s="133"/>
      <c r="K12" s="134"/>
      <c r="L12" s="133">
        <f>SUM(B12,D12,F12,H12)</f>
        <v>0</v>
      </c>
      <c r="M12" s="134">
        <f>SUM(C12,E12,G12,I12)</f>
        <v>0</v>
      </c>
    </row>
    <row r="13" spans="1:13" ht="14.1" customHeight="1" x14ac:dyDescent="0.3">
      <c r="A13" s="314"/>
      <c r="B13" s="310" t="e">
        <f>C12/B12</f>
        <v>#DIV/0!</v>
      </c>
      <c r="C13" s="311"/>
      <c r="D13" s="310" t="e">
        <f>E12/D12</f>
        <v>#DIV/0!</v>
      </c>
      <c r="E13" s="311"/>
      <c r="F13" s="310" t="e">
        <f>G12/F12</f>
        <v>#DIV/0!</v>
      </c>
      <c r="G13" s="311"/>
      <c r="H13" s="310" t="e">
        <f>I12/H12</f>
        <v>#DIV/0!</v>
      </c>
      <c r="I13" s="311"/>
      <c r="J13" s="310" t="e">
        <f>K12/J12</f>
        <v>#DIV/0!</v>
      </c>
      <c r="K13" s="311"/>
      <c r="L13" s="310" t="e">
        <f>M12/L12</f>
        <v>#DIV/0!</v>
      </c>
      <c r="M13" s="311"/>
    </row>
    <row r="14" spans="1:13" ht="14.1" customHeight="1" x14ac:dyDescent="0.3">
      <c r="A14" s="314" t="s">
        <v>211</v>
      </c>
      <c r="B14" s="133"/>
      <c r="C14" s="134"/>
      <c r="D14" s="133"/>
      <c r="E14" s="134"/>
      <c r="F14" s="133"/>
      <c r="G14" s="134"/>
      <c r="H14" s="133"/>
      <c r="I14" s="134"/>
      <c r="J14" s="133"/>
      <c r="K14" s="134"/>
      <c r="L14" s="133">
        <f>SUM(B14,D14,F14,H14)</f>
        <v>0</v>
      </c>
      <c r="M14" s="134">
        <f>SUM(C14,E14,G14,I14)</f>
        <v>0</v>
      </c>
    </row>
    <row r="15" spans="1:13" ht="14.1" customHeight="1" x14ac:dyDescent="0.3">
      <c r="A15" s="314"/>
      <c r="B15" s="310" t="e">
        <f>C14/B14</f>
        <v>#DIV/0!</v>
      </c>
      <c r="C15" s="311"/>
      <c r="D15" s="310" t="e">
        <f>E14/D14</f>
        <v>#DIV/0!</v>
      </c>
      <c r="E15" s="311"/>
      <c r="F15" s="310" t="e">
        <f>G14/F14</f>
        <v>#DIV/0!</v>
      </c>
      <c r="G15" s="311"/>
      <c r="H15" s="310" t="e">
        <f>I14/H14</f>
        <v>#DIV/0!</v>
      </c>
      <c r="I15" s="311"/>
      <c r="J15" s="310" t="e">
        <f>K14/J14</f>
        <v>#DIV/0!</v>
      </c>
      <c r="K15" s="311"/>
      <c r="L15" s="310" t="e">
        <f>M14/L14</f>
        <v>#DIV/0!</v>
      </c>
      <c r="M15" s="311"/>
    </row>
    <row r="16" spans="1:13" ht="14.1" customHeight="1" x14ac:dyDescent="0.3">
      <c r="A16" s="314" t="s">
        <v>212</v>
      </c>
      <c r="B16" s="133"/>
      <c r="C16" s="134"/>
      <c r="D16" s="133"/>
      <c r="E16" s="134"/>
      <c r="F16" s="133"/>
      <c r="G16" s="134"/>
      <c r="H16" s="133"/>
      <c r="I16" s="134"/>
      <c r="J16" s="133"/>
      <c r="K16" s="134"/>
      <c r="L16" s="133">
        <f>SUM(B16,D16,F16,H16)</f>
        <v>0</v>
      </c>
      <c r="M16" s="134">
        <f>SUM(C16,E16,G16,I16)</f>
        <v>0</v>
      </c>
    </row>
    <row r="17" spans="1:13" ht="14.1" customHeight="1" x14ac:dyDescent="0.3">
      <c r="A17" s="314"/>
      <c r="B17" s="310" t="e">
        <f>C16/B16</f>
        <v>#DIV/0!</v>
      </c>
      <c r="C17" s="311"/>
      <c r="D17" s="310" t="e">
        <f>E16/D16</f>
        <v>#DIV/0!</v>
      </c>
      <c r="E17" s="311"/>
      <c r="F17" s="310" t="e">
        <f>G16/F16</f>
        <v>#DIV/0!</v>
      </c>
      <c r="G17" s="311"/>
      <c r="H17" s="310" t="e">
        <f>I16/H16</f>
        <v>#DIV/0!</v>
      </c>
      <c r="I17" s="311"/>
      <c r="J17" s="310" t="e">
        <f>K16/J16</f>
        <v>#DIV/0!</v>
      </c>
      <c r="K17" s="311"/>
      <c r="L17" s="310" t="e">
        <f>M16/L16</f>
        <v>#DIV/0!</v>
      </c>
      <c r="M17" s="311"/>
    </row>
    <row r="18" spans="1:13" ht="14.1" customHeight="1" x14ac:dyDescent="0.3">
      <c r="A18" s="314" t="s">
        <v>213</v>
      </c>
      <c r="B18" s="133"/>
      <c r="C18" s="134"/>
      <c r="D18" s="133"/>
      <c r="E18" s="134"/>
      <c r="F18" s="133"/>
      <c r="G18" s="134"/>
      <c r="H18" s="133"/>
      <c r="I18" s="134"/>
      <c r="J18" s="133"/>
      <c r="K18" s="134"/>
      <c r="L18" s="133">
        <f>SUM(B18,D18,F18,H18)</f>
        <v>0</v>
      </c>
      <c r="M18" s="134">
        <f>SUM(C18,E18,G18,I18)</f>
        <v>0</v>
      </c>
    </row>
    <row r="19" spans="1:13" ht="14.1" customHeight="1" x14ac:dyDescent="0.3">
      <c r="A19" s="314"/>
      <c r="B19" s="310" t="e">
        <f>C18/B18</f>
        <v>#DIV/0!</v>
      </c>
      <c r="C19" s="311"/>
      <c r="D19" s="310" t="e">
        <f>E18/D18</f>
        <v>#DIV/0!</v>
      </c>
      <c r="E19" s="311"/>
      <c r="F19" s="310" t="e">
        <f>G18/F18</f>
        <v>#DIV/0!</v>
      </c>
      <c r="G19" s="311"/>
      <c r="H19" s="310" t="e">
        <f>I18/H18</f>
        <v>#DIV/0!</v>
      </c>
      <c r="I19" s="311"/>
      <c r="J19" s="310" t="e">
        <f>K18/J18</f>
        <v>#DIV/0!</v>
      </c>
      <c r="K19" s="311"/>
      <c r="L19" s="310" t="e">
        <f>M18/L18</f>
        <v>#DIV/0!</v>
      </c>
      <c r="M19" s="311"/>
    </row>
    <row r="20" spans="1:13" ht="14.1" customHeight="1" x14ac:dyDescent="0.3">
      <c r="A20" s="314" t="s">
        <v>224</v>
      </c>
      <c r="B20" s="133"/>
      <c r="C20" s="134"/>
      <c r="D20" s="133"/>
      <c r="E20" s="134"/>
      <c r="F20" s="133"/>
      <c r="G20" s="134"/>
      <c r="H20" s="133"/>
      <c r="I20" s="134"/>
      <c r="J20" s="133"/>
      <c r="K20" s="134"/>
      <c r="L20" s="133">
        <f>SUM(B20,D20,F20,H20)</f>
        <v>0</v>
      </c>
      <c r="M20" s="134">
        <f>SUM(C20,E20,G20,I20)</f>
        <v>0</v>
      </c>
    </row>
    <row r="21" spans="1:13" ht="14.1" customHeight="1" x14ac:dyDescent="0.3">
      <c r="A21" s="314"/>
      <c r="B21" s="310" t="e">
        <f>C20/B20</f>
        <v>#DIV/0!</v>
      </c>
      <c r="C21" s="311"/>
      <c r="D21" s="310" t="e">
        <f>E20/D20</f>
        <v>#DIV/0!</v>
      </c>
      <c r="E21" s="311"/>
      <c r="F21" s="310" t="e">
        <f>G20/F20</f>
        <v>#DIV/0!</v>
      </c>
      <c r="G21" s="311"/>
      <c r="H21" s="310" t="e">
        <f>I20/H20</f>
        <v>#DIV/0!</v>
      </c>
      <c r="I21" s="311"/>
      <c r="J21" s="310" t="e">
        <f>K20/J20</f>
        <v>#DIV/0!</v>
      </c>
      <c r="K21" s="311"/>
      <c r="L21" s="310" t="e">
        <f>M20/L20</f>
        <v>#DIV/0!</v>
      </c>
      <c r="M21" s="311"/>
    </row>
    <row r="22" spans="1:13" ht="14.1" customHeight="1" x14ac:dyDescent="0.3">
      <c r="A22" s="314" t="s">
        <v>225</v>
      </c>
      <c r="B22" s="133"/>
      <c r="C22" s="134"/>
      <c r="D22" s="133"/>
      <c r="E22" s="134"/>
      <c r="F22" s="133"/>
      <c r="G22" s="134"/>
      <c r="H22" s="133"/>
      <c r="I22" s="134">
        <v>0</v>
      </c>
      <c r="J22" s="133"/>
      <c r="K22" s="134">
        <v>0</v>
      </c>
      <c r="L22" s="133">
        <f>SUM(B22,D22,F22,H22)</f>
        <v>0</v>
      </c>
      <c r="M22" s="134">
        <f>SUM(C22,E22,G22,I22)</f>
        <v>0</v>
      </c>
    </row>
    <row r="23" spans="1:13" ht="14.1" customHeight="1" x14ac:dyDescent="0.3">
      <c r="A23" s="314"/>
      <c r="B23" s="310" t="e">
        <f>C22/B22</f>
        <v>#DIV/0!</v>
      </c>
      <c r="C23" s="311"/>
      <c r="D23" s="310" t="e">
        <f>E22/D22</f>
        <v>#DIV/0!</v>
      </c>
      <c r="E23" s="311"/>
      <c r="F23" s="310" t="e">
        <f>G22/F22</f>
        <v>#DIV/0!</v>
      </c>
      <c r="G23" s="311"/>
      <c r="H23" s="310" t="e">
        <f>I22/H22</f>
        <v>#DIV/0!</v>
      </c>
      <c r="I23" s="311"/>
      <c r="J23" s="310" t="e">
        <f>K22/J22</f>
        <v>#DIV/0!</v>
      </c>
      <c r="K23" s="311"/>
      <c r="L23" s="310" t="e">
        <f>M22/L22</f>
        <v>#DIV/0!</v>
      </c>
      <c r="M23" s="311"/>
    </row>
    <row r="24" spans="1:13" ht="14.1" customHeight="1" x14ac:dyDescent="0.3">
      <c r="A24" s="314" t="s">
        <v>226</v>
      </c>
      <c r="B24" s="133"/>
      <c r="C24" s="134"/>
      <c r="D24" s="133"/>
      <c r="E24" s="134"/>
      <c r="F24" s="133"/>
      <c r="G24" s="134"/>
      <c r="H24" s="133"/>
      <c r="I24" s="134">
        <v>0</v>
      </c>
      <c r="J24" s="133"/>
      <c r="K24" s="134">
        <v>0</v>
      </c>
      <c r="L24" s="133">
        <f>SUM(B24,D24,F24,H24)</f>
        <v>0</v>
      </c>
      <c r="M24" s="134">
        <f>SUM(C24,E24,G24,I24)</f>
        <v>0</v>
      </c>
    </row>
    <row r="25" spans="1:13" ht="14.1" customHeight="1" x14ac:dyDescent="0.3">
      <c r="A25" s="314"/>
      <c r="B25" s="310" t="e">
        <f>C24/B24</f>
        <v>#DIV/0!</v>
      </c>
      <c r="C25" s="311"/>
      <c r="D25" s="310" t="e">
        <f>E24/D24</f>
        <v>#DIV/0!</v>
      </c>
      <c r="E25" s="311"/>
      <c r="F25" s="310" t="e">
        <f>G24/F24</f>
        <v>#DIV/0!</v>
      </c>
      <c r="G25" s="311"/>
      <c r="H25" s="310" t="e">
        <f>I24/H24</f>
        <v>#DIV/0!</v>
      </c>
      <c r="I25" s="311"/>
      <c r="J25" s="310" t="e">
        <f>K24/J24</f>
        <v>#DIV/0!</v>
      </c>
      <c r="K25" s="311"/>
      <c r="L25" s="310" t="e">
        <f>M24/L24</f>
        <v>#DIV/0!</v>
      </c>
      <c r="M25" s="311"/>
    </row>
    <row r="26" spans="1:13" ht="14.1" customHeight="1" x14ac:dyDescent="0.3">
      <c r="A26" s="314" t="s">
        <v>161</v>
      </c>
      <c r="B26" s="133"/>
      <c r="C26" s="134"/>
      <c r="D26" s="133"/>
      <c r="E26" s="134"/>
      <c r="F26" s="133"/>
      <c r="G26" s="134"/>
      <c r="H26" s="133"/>
      <c r="I26" s="134">
        <v>0</v>
      </c>
      <c r="J26" s="133"/>
      <c r="K26" s="134">
        <v>0</v>
      </c>
      <c r="L26" s="133">
        <f>SUM(B26,D26,F26,H26)</f>
        <v>0</v>
      </c>
      <c r="M26" s="134">
        <f>SUM(C26,E26,G26,I26)</f>
        <v>0</v>
      </c>
    </row>
    <row r="27" spans="1:13" ht="14.1" customHeight="1" x14ac:dyDescent="0.3">
      <c r="A27" s="314"/>
      <c r="B27" s="310" t="e">
        <f>C26/B26</f>
        <v>#DIV/0!</v>
      </c>
      <c r="C27" s="311"/>
      <c r="D27" s="310" t="e">
        <f>E26/D26</f>
        <v>#DIV/0!</v>
      </c>
      <c r="E27" s="311"/>
      <c r="F27" s="310" t="e">
        <f>G26/F26</f>
        <v>#DIV/0!</v>
      </c>
      <c r="G27" s="311"/>
      <c r="H27" s="310" t="e">
        <f>I26/H26</f>
        <v>#DIV/0!</v>
      </c>
      <c r="I27" s="311"/>
      <c r="J27" s="310" t="e">
        <f>K26/J26</f>
        <v>#DIV/0!</v>
      </c>
      <c r="K27" s="311"/>
      <c r="L27" s="310" t="e">
        <f>M26/L26</f>
        <v>#DIV/0!</v>
      </c>
      <c r="M27" s="311"/>
    </row>
    <row r="28" spans="1:13" ht="14.1" customHeight="1" x14ac:dyDescent="0.3">
      <c r="A28" s="314" t="s">
        <v>162</v>
      </c>
      <c r="B28" s="133"/>
      <c r="C28" s="134"/>
      <c r="D28" s="133"/>
      <c r="E28" s="134"/>
      <c r="F28" s="133"/>
      <c r="G28" s="134"/>
      <c r="H28" s="133"/>
      <c r="I28" s="134">
        <v>0</v>
      </c>
      <c r="J28" s="133"/>
      <c r="K28" s="134">
        <v>0</v>
      </c>
      <c r="L28" s="133">
        <f>SUM(B28,D28,F28,H28)</f>
        <v>0</v>
      </c>
      <c r="M28" s="134">
        <f>SUM(C28,E28,G28,I28)</f>
        <v>0</v>
      </c>
    </row>
    <row r="29" spans="1:13" ht="14.1" customHeight="1" x14ac:dyDescent="0.3">
      <c r="A29" s="314"/>
      <c r="B29" s="310" t="e">
        <f>C28/B28</f>
        <v>#DIV/0!</v>
      </c>
      <c r="C29" s="311"/>
      <c r="D29" s="310" t="e">
        <f>E28/D28</f>
        <v>#DIV/0!</v>
      </c>
      <c r="E29" s="311"/>
      <c r="F29" s="310" t="e">
        <f>G28/F28</f>
        <v>#DIV/0!</v>
      </c>
      <c r="G29" s="311"/>
      <c r="H29" s="310" t="e">
        <f>I28/H28</f>
        <v>#DIV/0!</v>
      </c>
      <c r="I29" s="311"/>
      <c r="J29" s="310" t="e">
        <f>K28/J28</f>
        <v>#DIV/0!</v>
      </c>
      <c r="K29" s="311"/>
      <c r="L29" s="310" t="e">
        <f>M28/L28</f>
        <v>#DIV/0!</v>
      </c>
      <c r="M29" s="311"/>
    </row>
    <row r="30" spans="1:13" ht="14.1" customHeight="1" x14ac:dyDescent="0.3">
      <c r="A30" s="314" t="s">
        <v>163</v>
      </c>
      <c r="B30" s="133"/>
      <c r="C30" s="134"/>
      <c r="D30" s="133"/>
      <c r="E30" s="134"/>
      <c r="F30" s="133"/>
      <c r="G30" s="134"/>
      <c r="H30" s="133"/>
      <c r="I30" s="134">
        <v>0</v>
      </c>
      <c r="J30" s="133"/>
      <c r="K30" s="134">
        <v>0</v>
      </c>
      <c r="L30" s="133">
        <f>SUM(B30,D30,F30,H30)</f>
        <v>0</v>
      </c>
      <c r="M30" s="134">
        <f>SUM(C30,E30,G30,I30)</f>
        <v>0</v>
      </c>
    </row>
    <row r="31" spans="1:13" ht="14.1" customHeight="1" x14ac:dyDescent="0.3">
      <c r="A31" s="314"/>
      <c r="B31" s="310" t="e">
        <f>C30/B30</f>
        <v>#DIV/0!</v>
      </c>
      <c r="C31" s="311"/>
      <c r="D31" s="310" t="e">
        <f>E30/D30</f>
        <v>#DIV/0!</v>
      </c>
      <c r="E31" s="311"/>
      <c r="F31" s="310" t="e">
        <f>G30/F30</f>
        <v>#DIV/0!</v>
      </c>
      <c r="G31" s="311"/>
      <c r="H31" s="310" t="e">
        <f>I30/H30</f>
        <v>#DIV/0!</v>
      </c>
      <c r="I31" s="311"/>
      <c r="J31" s="310" t="e">
        <f>K30/J30</f>
        <v>#DIV/0!</v>
      </c>
      <c r="K31" s="311"/>
      <c r="L31" s="310" t="e">
        <f>M30/L30</f>
        <v>#DIV/0!</v>
      </c>
      <c r="M31" s="311"/>
    </row>
    <row r="32" spans="1:13" ht="14.1" customHeight="1" x14ac:dyDescent="0.3">
      <c r="A32" s="135" t="s">
        <v>227</v>
      </c>
      <c r="B32" s="133">
        <f t="shared" ref="B32:M32" si="0">SUM(B8,B10,B12,B14,B16,B18,B20,B22,B24,B26,B28,B30)</f>
        <v>0</v>
      </c>
      <c r="C32" s="134">
        <f t="shared" si="0"/>
        <v>0</v>
      </c>
      <c r="D32" s="133">
        <f t="shared" si="0"/>
        <v>0</v>
      </c>
      <c r="E32" s="134">
        <f t="shared" si="0"/>
        <v>0</v>
      </c>
      <c r="F32" s="133">
        <f t="shared" si="0"/>
        <v>0</v>
      </c>
      <c r="G32" s="134">
        <f t="shared" si="0"/>
        <v>0</v>
      </c>
      <c r="H32" s="133">
        <f t="shared" si="0"/>
        <v>0</v>
      </c>
      <c r="I32" s="134">
        <f t="shared" si="0"/>
        <v>0</v>
      </c>
      <c r="J32" s="133">
        <f t="shared" ref="J32:K32" si="1">SUM(J8,J10,J12,J14,J16,J18,J20,J22,J24,J26,J28,J30)</f>
        <v>0</v>
      </c>
      <c r="K32" s="134">
        <f t="shared" si="1"/>
        <v>0</v>
      </c>
      <c r="L32" s="133">
        <f t="shared" si="0"/>
        <v>0</v>
      </c>
      <c r="M32" s="134">
        <f t="shared" si="0"/>
        <v>0</v>
      </c>
    </row>
    <row r="33" spans="1:13" ht="14.1" customHeight="1" x14ac:dyDescent="0.3">
      <c r="A33" s="136" t="s">
        <v>215</v>
      </c>
      <c r="B33" s="310" t="e">
        <f>C32/B32</f>
        <v>#DIV/0!</v>
      </c>
      <c r="C33" s="311"/>
      <c r="D33" s="310" t="e">
        <f>E32/D32</f>
        <v>#DIV/0!</v>
      </c>
      <c r="E33" s="311"/>
      <c r="F33" s="310" t="e">
        <f>G32/F32</f>
        <v>#DIV/0!</v>
      </c>
      <c r="G33" s="311"/>
      <c r="H33" s="310" t="e">
        <f>I32/H32</f>
        <v>#DIV/0!</v>
      </c>
      <c r="I33" s="311"/>
      <c r="J33" s="310" t="e">
        <f>K32/J32</f>
        <v>#DIV/0!</v>
      </c>
      <c r="K33" s="311"/>
      <c r="L33" s="310" t="e">
        <f>M32/L32</f>
        <v>#DIV/0!</v>
      </c>
      <c r="M33" s="311"/>
    </row>
  </sheetData>
  <mergeCells count="97">
    <mergeCell ref="B33:C33"/>
    <mergeCell ref="D33:E33"/>
    <mergeCell ref="F33:G33"/>
    <mergeCell ref="H33:I33"/>
    <mergeCell ref="L33:M33"/>
    <mergeCell ref="J33:K33"/>
    <mergeCell ref="L31:M31"/>
    <mergeCell ref="A28:A29"/>
    <mergeCell ref="B29:C29"/>
    <mergeCell ref="D29:E29"/>
    <mergeCell ref="F29:G29"/>
    <mergeCell ref="H29:I29"/>
    <mergeCell ref="L29:M29"/>
    <mergeCell ref="J29:K29"/>
    <mergeCell ref="J31:K31"/>
    <mergeCell ref="A30:A31"/>
    <mergeCell ref="B31:C31"/>
    <mergeCell ref="D31:E31"/>
    <mergeCell ref="F31:G31"/>
    <mergeCell ref="H31:I31"/>
    <mergeCell ref="L27:M27"/>
    <mergeCell ref="A24:A25"/>
    <mergeCell ref="B25:C25"/>
    <mergeCell ref="D25:E25"/>
    <mergeCell ref="F25:G25"/>
    <mergeCell ref="H25:I25"/>
    <mergeCell ref="L25:M25"/>
    <mergeCell ref="J25:K25"/>
    <mergeCell ref="J27:K27"/>
    <mergeCell ref="A26:A27"/>
    <mergeCell ref="B27:C27"/>
    <mergeCell ref="D27:E27"/>
    <mergeCell ref="F27:G27"/>
    <mergeCell ref="H27:I27"/>
    <mergeCell ref="L23:M23"/>
    <mergeCell ref="A20:A21"/>
    <mergeCell ref="B21:C21"/>
    <mergeCell ref="D21:E21"/>
    <mergeCell ref="F21:G21"/>
    <mergeCell ref="H21:I21"/>
    <mergeCell ref="L21:M21"/>
    <mergeCell ref="J21:K21"/>
    <mergeCell ref="J23:K23"/>
    <mergeCell ref="A22:A23"/>
    <mergeCell ref="B23:C23"/>
    <mergeCell ref="D23:E23"/>
    <mergeCell ref="F23:G23"/>
    <mergeCell ref="H23:I23"/>
    <mergeCell ref="L19:M19"/>
    <mergeCell ref="A16:A17"/>
    <mergeCell ref="B17:C17"/>
    <mergeCell ref="D17:E17"/>
    <mergeCell ref="F17:G17"/>
    <mergeCell ref="H17:I17"/>
    <mergeCell ref="L17:M17"/>
    <mergeCell ref="J17:K17"/>
    <mergeCell ref="J19:K19"/>
    <mergeCell ref="A18:A19"/>
    <mergeCell ref="B19:C19"/>
    <mergeCell ref="D19:E19"/>
    <mergeCell ref="F19:G19"/>
    <mergeCell ref="H19:I19"/>
    <mergeCell ref="L15:M15"/>
    <mergeCell ref="A12:A13"/>
    <mergeCell ref="B13:C13"/>
    <mergeCell ref="D13:E13"/>
    <mergeCell ref="F13:G13"/>
    <mergeCell ref="H13:I13"/>
    <mergeCell ref="L13:M13"/>
    <mergeCell ref="J15:K15"/>
    <mergeCell ref="A14:A15"/>
    <mergeCell ref="B15:C15"/>
    <mergeCell ref="D15:E15"/>
    <mergeCell ref="F15:G15"/>
    <mergeCell ref="H15:I15"/>
    <mergeCell ref="A10:A11"/>
    <mergeCell ref="B11:C11"/>
    <mergeCell ref="D11:E11"/>
    <mergeCell ref="F11:G11"/>
    <mergeCell ref="H11:I11"/>
    <mergeCell ref="A8:A9"/>
    <mergeCell ref="B9:C9"/>
    <mergeCell ref="D9:E9"/>
    <mergeCell ref="F9:G9"/>
    <mergeCell ref="H9:I9"/>
    <mergeCell ref="A6:A7"/>
    <mergeCell ref="B6:C6"/>
    <mergeCell ref="D6:E6"/>
    <mergeCell ref="F6:G6"/>
    <mergeCell ref="H6:I6"/>
    <mergeCell ref="L6:M6"/>
    <mergeCell ref="J6:K6"/>
    <mergeCell ref="J9:K9"/>
    <mergeCell ref="J11:K11"/>
    <mergeCell ref="J13:K13"/>
    <mergeCell ref="L11:M11"/>
    <mergeCell ref="L9:M9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scale="9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9820-0295-43C6-A317-DA54D1FED5D1}">
  <dimension ref="B4:P28"/>
  <sheetViews>
    <sheetView showGridLines="0" zoomScale="70" zoomScaleNormal="70" workbookViewId="0">
      <selection activeCell="D42" sqref="D42"/>
    </sheetView>
  </sheetViews>
  <sheetFormatPr defaultColWidth="9" defaultRowHeight="13.5" x14ac:dyDescent="0.3"/>
  <cols>
    <col min="1" max="1" width="2.125" style="91" customWidth="1"/>
    <col min="2" max="2" width="13.62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228</v>
      </c>
    </row>
    <row r="6" spans="2:16" ht="20.100000000000001" customHeight="1" x14ac:dyDescent="0.3">
      <c r="B6" s="123" t="s">
        <v>190</v>
      </c>
      <c r="C6" s="315" t="s">
        <v>229</v>
      </c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7"/>
    </row>
    <row r="7" spans="2:16" ht="20.100000000000001" customHeight="1" x14ac:dyDescent="0.3">
      <c r="B7" s="137" t="s">
        <v>192</v>
      </c>
      <c r="C7" s="123" t="s">
        <v>193</v>
      </c>
      <c r="D7" s="123" t="s">
        <v>209</v>
      </c>
      <c r="E7" s="123" t="s">
        <v>210</v>
      </c>
      <c r="F7" s="123" t="s">
        <v>211</v>
      </c>
      <c r="G7" s="123" t="s">
        <v>212</v>
      </c>
      <c r="H7" s="123" t="s">
        <v>213</v>
      </c>
      <c r="I7" s="123" t="s">
        <v>199</v>
      </c>
      <c r="J7" s="123" t="s">
        <v>200</v>
      </c>
      <c r="K7" s="123" t="s">
        <v>201</v>
      </c>
      <c r="L7" s="123" t="s">
        <v>202</v>
      </c>
      <c r="M7" s="123" t="s">
        <v>203</v>
      </c>
      <c r="N7" s="123" t="s">
        <v>204</v>
      </c>
      <c r="O7" s="123" t="s">
        <v>230</v>
      </c>
      <c r="P7" s="123" t="s">
        <v>231</v>
      </c>
    </row>
    <row r="8" spans="2:16" ht="24.95" customHeight="1" x14ac:dyDescent="0.3">
      <c r="B8" s="138" t="s">
        <v>232</v>
      </c>
      <c r="C8" s="124">
        <v>2</v>
      </c>
      <c r="D8" s="124">
        <v>2</v>
      </c>
      <c r="E8" s="124">
        <v>4</v>
      </c>
      <c r="F8" s="124"/>
      <c r="G8" s="124">
        <v>1</v>
      </c>
      <c r="H8" s="124"/>
      <c r="I8" s="125"/>
      <c r="J8" s="125"/>
      <c r="K8" s="125"/>
      <c r="L8" s="125"/>
      <c r="M8" s="125"/>
      <c r="N8" s="125">
        <v>1</v>
      </c>
      <c r="O8" s="139">
        <f>P8/6</f>
        <v>1.6666666666666667</v>
      </c>
      <c r="P8" s="124">
        <f>SUM(C8:N8)</f>
        <v>10</v>
      </c>
    </row>
    <row r="9" spans="2:16" ht="24.95" customHeight="1" x14ac:dyDescent="0.3">
      <c r="B9" s="138" t="s">
        <v>233</v>
      </c>
      <c r="C9" s="124"/>
      <c r="D9" s="124"/>
      <c r="E9" s="124">
        <v>2</v>
      </c>
      <c r="F9" s="124"/>
      <c r="G9" s="124">
        <v>0</v>
      </c>
      <c r="H9" s="124"/>
      <c r="I9" s="124"/>
      <c r="J9" s="124"/>
      <c r="K9" s="124"/>
      <c r="L9" s="124"/>
      <c r="M9" s="124"/>
      <c r="N9" s="124"/>
      <c r="O9" s="139">
        <f>P9/6</f>
        <v>0.33333333333333331</v>
      </c>
      <c r="P9" s="124">
        <f>SUM(C9:N9)</f>
        <v>2</v>
      </c>
    </row>
    <row r="10" spans="2:16" ht="24.95" customHeight="1" x14ac:dyDescent="0.3">
      <c r="B10" s="140" t="s">
        <v>234</v>
      </c>
      <c r="C10" s="141">
        <f t="shared" ref="C10:N10" si="0">SUM(C8:C9)</f>
        <v>2</v>
      </c>
      <c r="D10" s="141">
        <f t="shared" si="0"/>
        <v>2</v>
      </c>
      <c r="E10" s="141">
        <f t="shared" si="0"/>
        <v>6</v>
      </c>
      <c r="F10" s="141">
        <f t="shared" si="0"/>
        <v>0</v>
      </c>
      <c r="G10" s="141">
        <f t="shared" si="0"/>
        <v>1</v>
      </c>
      <c r="H10" s="141">
        <f t="shared" si="0"/>
        <v>0</v>
      </c>
      <c r="I10" s="141">
        <f t="shared" si="0"/>
        <v>0</v>
      </c>
      <c r="J10" s="141">
        <f t="shared" si="0"/>
        <v>0</v>
      </c>
      <c r="K10" s="141">
        <f t="shared" si="0"/>
        <v>0</v>
      </c>
      <c r="L10" s="141">
        <f t="shared" si="0"/>
        <v>0</v>
      </c>
      <c r="M10" s="141">
        <f t="shared" si="0"/>
        <v>0</v>
      </c>
      <c r="N10" s="141">
        <f t="shared" si="0"/>
        <v>1</v>
      </c>
      <c r="O10" s="142">
        <f>SUM(I10:N10)</f>
        <v>1</v>
      </c>
      <c r="P10" s="143">
        <f>SUM(C10:N10)</f>
        <v>12</v>
      </c>
    </row>
    <row r="11" spans="2:16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</row>
    <row r="12" spans="2:16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</row>
    <row r="13" spans="2:16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</row>
    <row r="14" spans="2:16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</row>
    <row r="15" spans="2:16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</row>
    <row r="16" spans="2:16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</row>
    <row r="17" spans="2:16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</row>
    <row r="18" spans="2:16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2:16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2:16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r="21" spans="2:16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r="22" spans="2:16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r="23" spans="2:16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r="24" spans="2:16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2:16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r="26" spans="2:16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r="27" spans="2:16" x14ac:dyDescent="0.25"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</row>
    <row r="28" spans="2:16" x14ac:dyDescent="0.2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</sheetData>
  <mergeCells count="1">
    <mergeCell ref="C6:P6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A409-7621-4BD7-832B-B3861DDB3981}">
  <dimension ref="B4:P26"/>
  <sheetViews>
    <sheetView showGridLines="0" zoomScale="70" zoomScaleNormal="70" workbookViewId="0">
      <selection activeCell="O26" sqref="O26"/>
    </sheetView>
  </sheetViews>
  <sheetFormatPr defaultColWidth="9" defaultRowHeight="13.5" x14ac:dyDescent="0.3"/>
  <cols>
    <col min="1" max="1" width="2.125" style="91" customWidth="1"/>
    <col min="2" max="2" width="13.62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235</v>
      </c>
    </row>
    <row r="6" spans="2:16" ht="26.25" customHeight="1" x14ac:dyDescent="0.3">
      <c r="B6" s="144" t="s">
        <v>236</v>
      </c>
      <c r="C6" s="144"/>
      <c r="D6" s="144" t="s">
        <v>193</v>
      </c>
      <c r="E6" s="144" t="s">
        <v>194</v>
      </c>
      <c r="F6" s="144" t="s">
        <v>210</v>
      </c>
      <c r="G6" s="144" t="s">
        <v>211</v>
      </c>
      <c r="H6" s="144" t="s">
        <v>212</v>
      </c>
      <c r="I6" s="144" t="s">
        <v>213</v>
      </c>
      <c r="J6" s="144" t="s">
        <v>224</v>
      </c>
      <c r="K6" s="144" t="s">
        <v>225</v>
      </c>
      <c r="L6" s="144" t="s">
        <v>226</v>
      </c>
      <c r="M6" s="144" t="s">
        <v>161</v>
      </c>
      <c r="N6" s="144" t="s">
        <v>162</v>
      </c>
      <c r="O6" s="144" t="s">
        <v>163</v>
      </c>
      <c r="P6" s="144" t="s">
        <v>237</v>
      </c>
    </row>
    <row r="7" spans="2:16" ht="39.950000000000003" customHeight="1" x14ac:dyDescent="0.3">
      <c r="B7" s="318" t="s">
        <v>238</v>
      </c>
      <c r="C7" s="145" t="s">
        <v>192</v>
      </c>
      <c r="D7" s="145">
        <v>0</v>
      </c>
      <c r="E7" s="145">
        <v>5850</v>
      </c>
      <c r="F7" s="145">
        <v>21890</v>
      </c>
      <c r="G7" s="145">
        <v>22440</v>
      </c>
      <c r="H7" s="145">
        <v>24690</v>
      </c>
      <c r="I7" s="145">
        <v>22710</v>
      </c>
      <c r="J7" s="145">
        <v>22230</v>
      </c>
      <c r="K7" s="145">
        <v>18970</v>
      </c>
      <c r="L7" s="145">
        <v>13060</v>
      </c>
      <c r="M7" s="145">
        <v>15520</v>
      </c>
      <c r="N7" s="145">
        <v>13350</v>
      </c>
      <c r="O7" s="145">
        <v>18310</v>
      </c>
      <c r="P7" s="146"/>
    </row>
    <row r="8" spans="2:16" ht="39.950000000000003" customHeight="1" x14ac:dyDescent="0.3">
      <c r="B8" s="319"/>
      <c r="C8" s="147" t="s">
        <v>239</v>
      </c>
      <c r="D8" s="145"/>
      <c r="E8" s="145">
        <f t="shared" ref="E8:O8" si="0">D8+E7</f>
        <v>5850</v>
      </c>
      <c r="F8" s="145">
        <f t="shared" si="0"/>
        <v>27740</v>
      </c>
      <c r="G8" s="145">
        <f t="shared" si="0"/>
        <v>50180</v>
      </c>
      <c r="H8" s="145">
        <f t="shared" si="0"/>
        <v>74870</v>
      </c>
      <c r="I8" s="145">
        <f t="shared" si="0"/>
        <v>97580</v>
      </c>
      <c r="J8" s="145">
        <f t="shared" si="0"/>
        <v>119810</v>
      </c>
      <c r="K8" s="145">
        <f t="shared" si="0"/>
        <v>138780</v>
      </c>
      <c r="L8" s="145">
        <f t="shared" si="0"/>
        <v>151840</v>
      </c>
      <c r="M8" s="145">
        <f t="shared" si="0"/>
        <v>167360</v>
      </c>
      <c r="N8" s="145">
        <f t="shared" si="0"/>
        <v>180710</v>
      </c>
      <c r="O8" s="145">
        <f t="shared" si="0"/>
        <v>199020</v>
      </c>
      <c r="P8" s="146"/>
    </row>
    <row r="9" spans="2:16" x14ac:dyDescent="0.25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</row>
    <row r="10" spans="2:16" x14ac:dyDescent="0.2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</row>
    <row r="11" spans="2:16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</row>
    <row r="12" spans="2:16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</row>
    <row r="13" spans="2:16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</row>
    <row r="14" spans="2:16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</row>
    <row r="15" spans="2:16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</row>
    <row r="16" spans="2:16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</row>
    <row r="17" spans="2:16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</row>
    <row r="18" spans="2:16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2:16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2:16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r="21" spans="2:16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r="22" spans="2:16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r="23" spans="2:16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r="24" spans="2:16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2:16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r="26" spans="2:16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</sheetData>
  <mergeCells count="1">
    <mergeCell ref="B7:B8"/>
  </mergeCells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4C5E-ABC3-4E1D-8EC3-AC68091F1D6D}">
  <dimension ref="B4:P26"/>
  <sheetViews>
    <sheetView showGridLines="0" zoomScale="70" zoomScaleNormal="70" workbookViewId="0">
      <selection activeCell="O26" sqref="O26"/>
    </sheetView>
  </sheetViews>
  <sheetFormatPr defaultColWidth="9" defaultRowHeight="13.5" x14ac:dyDescent="0.3"/>
  <cols>
    <col min="1" max="1" width="2.125" style="91" customWidth="1"/>
    <col min="2" max="2" width="13.62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240</v>
      </c>
    </row>
    <row r="6" spans="2:16" ht="26.25" customHeight="1" x14ac:dyDescent="0.3"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</row>
    <row r="7" spans="2:16" ht="39.950000000000003" customHeight="1" x14ac:dyDescent="0.3">
      <c r="B7" s="149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1"/>
    </row>
    <row r="8" spans="2:16" ht="39.950000000000003" customHeight="1" x14ac:dyDescent="0.3">
      <c r="B8" s="152"/>
      <c r="C8" s="153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1"/>
    </row>
    <row r="9" spans="2:16" x14ac:dyDescent="0.25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</row>
    <row r="10" spans="2:16" x14ac:dyDescent="0.2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</row>
    <row r="11" spans="2:16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</row>
    <row r="12" spans="2:16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</row>
    <row r="13" spans="2:16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</row>
    <row r="14" spans="2:16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</row>
    <row r="15" spans="2:16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</row>
    <row r="16" spans="2:16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</row>
    <row r="17" spans="2:16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</row>
    <row r="18" spans="2:16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2:16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2:16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r="21" spans="2:16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r="22" spans="2:16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r="23" spans="2:16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r="24" spans="2:16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2:16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r="26" spans="2:16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</sheetData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339E-B63C-43C3-9BF2-59A4AAA2B3D4}">
  <dimension ref="B4:P26"/>
  <sheetViews>
    <sheetView showGridLines="0" zoomScale="70" zoomScaleNormal="70" workbookViewId="0">
      <selection activeCell="O26" sqref="O26"/>
    </sheetView>
  </sheetViews>
  <sheetFormatPr defaultColWidth="9" defaultRowHeight="13.5" x14ac:dyDescent="0.3"/>
  <cols>
    <col min="1" max="1" width="2.125" style="91" customWidth="1"/>
    <col min="2" max="2" width="13.62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241</v>
      </c>
    </row>
    <row r="6" spans="2:16" ht="26.25" customHeight="1" x14ac:dyDescent="0.3"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</row>
    <row r="7" spans="2:16" ht="39.950000000000003" customHeight="1" x14ac:dyDescent="0.3">
      <c r="B7" s="149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1"/>
    </row>
    <row r="8" spans="2:16" ht="39.950000000000003" customHeight="1" x14ac:dyDescent="0.3">
      <c r="B8" s="152"/>
      <c r="C8" s="153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1"/>
    </row>
    <row r="9" spans="2:16" x14ac:dyDescent="0.25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</row>
    <row r="10" spans="2:16" x14ac:dyDescent="0.2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</row>
    <row r="11" spans="2:16" x14ac:dyDescent="0.2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</row>
    <row r="12" spans="2:16" x14ac:dyDescent="0.25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</row>
    <row r="13" spans="2:16" x14ac:dyDescent="0.25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</row>
    <row r="14" spans="2:16" x14ac:dyDescent="0.25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</row>
    <row r="15" spans="2:16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</row>
    <row r="16" spans="2:16" x14ac:dyDescent="0.25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</row>
    <row r="17" spans="2:16" x14ac:dyDescent="0.25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</row>
    <row r="18" spans="2:16" x14ac:dyDescent="0.25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2:16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2:16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r="21" spans="2:16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r="22" spans="2:16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r="23" spans="2:16" x14ac:dyDescent="0.25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r="24" spans="2:16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2:16" x14ac:dyDescent="0.25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r="26" spans="2:16" x14ac:dyDescent="0.2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</sheetData>
  <phoneticPr fontId="3" type="noConversion"/>
  <printOptions horizontalCentered="1"/>
  <pageMargins left="0.51181102362204722" right="0.51181102362204722" top="0.65" bottom="0.47244094488188981" header="0.31496062992125984" footer="0.27559055118110237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9813-2786-4585-8E70-DD750BCA15C2}">
  <dimension ref="B4:P19"/>
  <sheetViews>
    <sheetView showGridLines="0" zoomScale="70" zoomScaleNormal="70" workbookViewId="0">
      <selection activeCell="O26" sqref="O26"/>
    </sheetView>
  </sheetViews>
  <sheetFormatPr defaultColWidth="9" defaultRowHeight="13.5" x14ac:dyDescent="0.3"/>
  <cols>
    <col min="1" max="1" width="2.125" style="91" customWidth="1"/>
    <col min="2" max="2" width="9.87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242</v>
      </c>
    </row>
    <row r="6" spans="2:16" ht="26.25" customHeight="1" x14ac:dyDescent="0.3">
      <c r="B6" s="154" t="s">
        <v>243</v>
      </c>
      <c r="C6" s="321" t="s">
        <v>244</v>
      </c>
      <c r="D6" s="321"/>
      <c r="E6" s="321"/>
      <c r="F6" s="321"/>
      <c r="G6" s="321" t="s">
        <v>245</v>
      </c>
      <c r="H6" s="321"/>
      <c r="I6" s="321" t="s">
        <v>246</v>
      </c>
      <c r="J6" s="321"/>
      <c r="K6" s="321" t="s">
        <v>247</v>
      </c>
      <c r="L6" s="321"/>
      <c r="M6" s="321" t="s">
        <v>248</v>
      </c>
      <c r="N6" s="321"/>
      <c r="O6" s="322" t="s">
        <v>249</v>
      </c>
      <c r="P6" s="322"/>
    </row>
    <row r="7" spans="2:16" ht="30" customHeight="1" x14ac:dyDescent="0.3">
      <c r="B7" s="155">
        <v>1</v>
      </c>
      <c r="C7" s="323" t="s">
        <v>250</v>
      </c>
      <c r="D7" s="323"/>
      <c r="E7" s="323"/>
      <c r="F7" s="323"/>
      <c r="G7" s="323" t="s">
        <v>251</v>
      </c>
      <c r="H7" s="323"/>
      <c r="I7" s="323" t="s">
        <v>252</v>
      </c>
      <c r="J7" s="323"/>
      <c r="K7" s="323" t="s">
        <v>253</v>
      </c>
      <c r="L7" s="323"/>
      <c r="M7" s="323" t="s">
        <v>254</v>
      </c>
      <c r="N7" s="323"/>
      <c r="O7" s="320" t="s">
        <v>255</v>
      </c>
      <c r="P7" s="320"/>
    </row>
    <row r="8" spans="2:16" ht="30" customHeight="1" x14ac:dyDescent="0.3">
      <c r="B8" s="155">
        <v>2</v>
      </c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0"/>
      <c r="P8" s="320"/>
    </row>
    <row r="9" spans="2:16" ht="30" customHeight="1" x14ac:dyDescent="0.25">
      <c r="B9" s="155">
        <v>3</v>
      </c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4"/>
      <c r="P9" s="324"/>
    </row>
    <row r="10" spans="2:16" ht="30" customHeight="1" x14ac:dyDescent="0.25">
      <c r="B10" s="155">
        <v>4</v>
      </c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 s="324"/>
    </row>
    <row r="11" spans="2:16" ht="30" customHeight="1" x14ac:dyDescent="0.25">
      <c r="B11" s="155">
        <v>5</v>
      </c>
      <c r="C11" s="325"/>
      <c r="D11" s="325"/>
      <c r="E11" s="325"/>
      <c r="F11" s="325"/>
      <c r="G11" s="325"/>
      <c r="H11" s="325"/>
      <c r="I11" s="323"/>
      <c r="J11" s="323"/>
      <c r="K11" s="323"/>
      <c r="L11" s="323"/>
      <c r="M11" s="325"/>
      <c r="N11" s="325"/>
      <c r="O11" s="324"/>
      <c r="P11" s="324"/>
    </row>
    <row r="12" spans="2:16" ht="30" customHeight="1" x14ac:dyDescent="0.25">
      <c r="B12" s="155">
        <v>6</v>
      </c>
      <c r="C12" s="325"/>
      <c r="D12" s="325"/>
      <c r="E12" s="325"/>
      <c r="F12" s="325"/>
      <c r="G12" s="325"/>
      <c r="H12" s="325"/>
      <c r="I12" s="323"/>
      <c r="J12" s="323"/>
      <c r="K12" s="323"/>
      <c r="L12" s="323"/>
      <c r="M12" s="325"/>
      <c r="N12" s="325"/>
      <c r="O12" s="324"/>
      <c r="P12" s="324"/>
    </row>
    <row r="13" spans="2:16" ht="30" customHeight="1" x14ac:dyDescent="0.25">
      <c r="B13" s="155">
        <v>7</v>
      </c>
      <c r="C13" s="325"/>
      <c r="D13" s="325"/>
      <c r="E13" s="325"/>
      <c r="F13" s="325"/>
      <c r="G13" s="325"/>
      <c r="H13" s="325"/>
      <c r="I13" s="323"/>
      <c r="J13" s="323"/>
      <c r="K13" s="323"/>
      <c r="L13" s="323"/>
      <c r="M13" s="325"/>
      <c r="N13" s="325"/>
      <c r="O13" s="324"/>
      <c r="P13" s="324"/>
    </row>
    <row r="14" spans="2:16" ht="30" customHeight="1" x14ac:dyDescent="0.25">
      <c r="B14" s="155">
        <v>8</v>
      </c>
      <c r="C14" s="325"/>
      <c r="D14" s="325"/>
      <c r="E14" s="325"/>
      <c r="F14" s="325"/>
      <c r="G14" s="325"/>
      <c r="H14" s="325"/>
      <c r="I14" s="323"/>
      <c r="J14" s="323"/>
      <c r="K14" s="323"/>
      <c r="L14" s="323"/>
      <c r="M14" s="325"/>
      <c r="N14" s="325"/>
      <c r="O14" s="324"/>
      <c r="P14" s="324"/>
    </row>
    <row r="15" spans="2:16" ht="30" customHeight="1" x14ac:dyDescent="0.25">
      <c r="B15" s="155">
        <v>9</v>
      </c>
      <c r="C15" s="325"/>
      <c r="D15" s="325"/>
      <c r="E15" s="325"/>
      <c r="F15" s="325"/>
      <c r="G15" s="325"/>
      <c r="H15" s="325"/>
      <c r="I15" s="323"/>
      <c r="J15" s="323"/>
      <c r="K15" s="323"/>
      <c r="L15" s="323"/>
      <c r="M15" s="325"/>
      <c r="N15" s="325"/>
      <c r="O15" s="324"/>
      <c r="P15" s="324"/>
    </row>
    <row r="16" spans="2:16" ht="30" customHeight="1" x14ac:dyDescent="0.25">
      <c r="B16" s="155">
        <v>10</v>
      </c>
      <c r="C16" s="325"/>
      <c r="D16" s="325"/>
      <c r="E16" s="325"/>
      <c r="F16" s="325"/>
      <c r="G16" s="325"/>
      <c r="H16" s="325"/>
      <c r="I16" s="323"/>
      <c r="J16" s="323"/>
      <c r="K16" s="323"/>
      <c r="L16" s="323"/>
      <c r="M16" s="325"/>
      <c r="N16" s="325"/>
      <c r="O16" s="324"/>
      <c r="P16" s="324"/>
    </row>
    <row r="17" spans="2:16" ht="30" customHeight="1" x14ac:dyDescent="0.25">
      <c r="B17" s="155">
        <v>11</v>
      </c>
      <c r="C17" s="325"/>
      <c r="D17" s="325"/>
      <c r="E17" s="325"/>
      <c r="F17" s="325"/>
      <c r="G17" s="325"/>
      <c r="H17" s="325"/>
      <c r="I17" s="323"/>
      <c r="J17" s="323"/>
      <c r="K17" s="323"/>
      <c r="L17" s="323"/>
      <c r="M17" s="325"/>
      <c r="N17" s="325"/>
      <c r="O17" s="324"/>
      <c r="P17" s="324"/>
    </row>
    <row r="18" spans="2:16" ht="30" customHeight="1" x14ac:dyDescent="0.25">
      <c r="B18" s="155">
        <v>12</v>
      </c>
      <c r="C18" s="325"/>
      <c r="D18" s="325"/>
      <c r="E18" s="325"/>
      <c r="F18" s="325"/>
      <c r="G18" s="325"/>
      <c r="H18" s="325"/>
      <c r="I18" s="323"/>
      <c r="J18" s="323"/>
      <c r="K18" s="323"/>
      <c r="L18" s="323"/>
      <c r="M18" s="325"/>
      <c r="N18" s="325"/>
      <c r="O18" s="324"/>
      <c r="P18" s="324"/>
    </row>
    <row r="19" spans="2:16" ht="30" customHeight="1" x14ac:dyDescent="0.25">
      <c r="B19" s="155">
        <v>13</v>
      </c>
      <c r="C19" s="325"/>
      <c r="D19" s="325"/>
      <c r="E19" s="325"/>
      <c r="F19" s="325"/>
      <c r="G19" s="325"/>
      <c r="H19" s="325"/>
      <c r="I19" s="323"/>
      <c r="J19" s="323"/>
      <c r="K19" s="323"/>
      <c r="L19" s="323"/>
      <c r="M19" s="325"/>
      <c r="N19" s="325"/>
      <c r="O19" s="324"/>
      <c r="P19" s="324"/>
    </row>
  </sheetData>
  <mergeCells count="84">
    <mergeCell ref="O19:P19"/>
    <mergeCell ref="C18:F18"/>
    <mergeCell ref="G18:H18"/>
    <mergeCell ref="I18:J18"/>
    <mergeCell ref="K18:L18"/>
    <mergeCell ref="M18:N18"/>
    <mergeCell ref="O18:P18"/>
    <mergeCell ref="C19:F19"/>
    <mergeCell ref="G19:H19"/>
    <mergeCell ref="I19:J19"/>
    <mergeCell ref="K19:L19"/>
    <mergeCell ref="M19:N19"/>
    <mergeCell ref="O17:P17"/>
    <mergeCell ref="C16:F16"/>
    <mergeCell ref="G16:H16"/>
    <mergeCell ref="I16:J16"/>
    <mergeCell ref="K16:L16"/>
    <mergeCell ref="M16:N16"/>
    <mergeCell ref="O16:P16"/>
    <mergeCell ref="C17:F17"/>
    <mergeCell ref="G17:H17"/>
    <mergeCell ref="I17:J17"/>
    <mergeCell ref="K17:L17"/>
    <mergeCell ref="M17:N17"/>
    <mergeCell ref="O15:P15"/>
    <mergeCell ref="C14:F14"/>
    <mergeCell ref="G14:H14"/>
    <mergeCell ref="I14:J14"/>
    <mergeCell ref="K14:L14"/>
    <mergeCell ref="M14:N14"/>
    <mergeCell ref="O14:P14"/>
    <mergeCell ref="C15:F15"/>
    <mergeCell ref="G15:H15"/>
    <mergeCell ref="I15:J15"/>
    <mergeCell ref="K15:L15"/>
    <mergeCell ref="M15:N15"/>
    <mergeCell ref="O13:P13"/>
    <mergeCell ref="C12:F12"/>
    <mergeCell ref="G12:H12"/>
    <mergeCell ref="I12:J12"/>
    <mergeCell ref="K12:L12"/>
    <mergeCell ref="M12:N12"/>
    <mergeCell ref="O12:P12"/>
    <mergeCell ref="C13:F13"/>
    <mergeCell ref="G13:H13"/>
    <mergeCell ref="I13:J13"/>
    <mergeCell ref="K13:L13"/>
    <mergeCell ref="M13:N13"/>
    <mergeCell ref="O11:P11"/>
    <mergeCell ref="C10:F10"/>
    <mergeCell ref="G10:H10"/>
    <mergeCell ref="I10:J10"/>
    <mergeCell ref="K10:L10"/>
    <mergeCell ref="M10:N10"/>
    <mergeCell ref="O10:P10"/>
    <mergeCell ref="C11:F11"/>
    <mergeCell ref="G11:H11"/>
    <mergeCell ref="I11:J11"/>
    <mergeCell ref="K11:L11"/>
    <mergeCell ref="M11:N11"/>
    <mergeCell ref="O9:P9"/>
    <mergeCell ref="C8:F8"/>
    <mergeCell ref="G8:H8"/>
    <mergeCell ref="I8:J8"/>
    <mergeCell ref="K8:L8"/>
    <mergeCell ref="M8:N8"/>
    <mergeCell ref="O8:P8"/>
    <mergeCell ref="C9:F9"/>
    <mergeCell ref="G9:H9"/>
    <mergeCell ref="I9:J9"/>
    <mergeCell ref="K9:L9"/>
    <mergeCell ref="M9:N9"/>
    <mergeCell ref="O7:P7"/>
    <mergeCell ref="C6:F6"/>
    <mergeCell ref="G6:H6"/>
    <mergeCell ref="I6:J6"/>
    <mergeCell ref="K6:L6"/>
    <mergeCell ref="M6:N6"/>
    <mergeCell ref="O6:P6"/>
    <mergeCell ref="C7:F7"/>
    <mergeCell ref="G7:H7"/>
    <mergeCell ref="I7:J7"/>
    <mergeCell ref="K7:L7"/>
    <mergeCell ref="M7:N7"/>
  </mergeCells>
  <phoneticPr fontId="3" type="noConversion"/>
  <printOptions horizontalCentered="1"/>
  <pageMargins left="0.51181102362204722" right="0.51181102362204722" top="0.6692913385826772" bottom="0.47244094488188981" header="0.31496062992125984" footer="0.27559055118110237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10A-1C7D-401C-B7CD-1348DB25330F}">
  <dimension ref="B4:P19"/>
  <sheetViews>
    <sheetView showGridLines="0" zoomScaleNormal="100" workbookViewId="0">
      <selection activeCell="M14" sqref="M14:N14"/>
    </sheetView>
  </sheetViews>
  <sheetFormatPr defaultColWidth="9" defaultRowHeight="13.5" x14ac:dyDescent="0.3"/>
  <cols>
    <col min="1" max="1" width="2.125" style="91" customWidth="1"/>
    <col min="2" max="2" width="9.875" style="91" customWidth="1"/>
    <col min="3" max="16" width="7.625" style="91" customWidth="1"/>
    <col min="17" max="17" width="2.125" style="91" customWidth="1"/>
    <col min="18" max="18" width="6.875" style="91" customWidth="1"/>
    <col min="19" max="19" width="14.625" style="91" customWidth="1"/>
    <col min="20" max="20" width="1.625" style="91" customWidth="1"/>
    <col min="21" max="16384" width="9" style="91"/>
  </cols>
  <sheetData>
    <row r="4" spans="2:16" ht="17.25" x14ac:dyDescent="0.3">
      <c r="B4" s="90" t="s">
        <v>256</v>
      </c>
    </row>
    <row r="6" spans="2:16" ht="26.25" customHeight="1" x14ac:dyDescent="0.3">
      <c r="B6" s="154" t="s">
        <v>243</v>
      </c>
      <c r="C6" s="321" t="s">
        <v>257</v>
      </c>
      <c r="D6" s="321"/>
      <c r="E6" s="321"/>
      <c r="F6" s="321" t="s">
        <v>258</v>
      </c>
      <c r="G6" s="321"/>
      <c r="H6" s="321"/>
      <c r="I6" s="321"/>
      <c r="J6" s="321"/>
      <c r="K6" s="321" t="s">
        <v>259</v>
      </c>
      <c r="L6" s="321"/>
      <c r="M6" s="321" t="s">
        <v>260</v>
      </c>
      <c r="N6" s="321"/>
      <c r="O6" s="322" t="s">
        <v>249</v>
      </c>
      <c r="P6" s="322"/>
    </row>
    <row r="7" spans="2:16" ht="30" customHeight="1" x14ac:dyDescent="0.3">
      <c r="B7" s="155">
        <v>1</v>
      </c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0"/>
      <c r="P7" s="320"/>
    </row>
    <row r="8" spans="2:16" ht="30" customHeight="1" x14ac:dyDescent="0.3">
      <c r="B8" s="155">
        <v>2</v>
      </c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0"/>
      <c r="P8" s="320"/>
    </row>
    <row r="9" spans="2:16" ht="30" customHeight="1" x14ac:dyDescent="0.3">
      <c r="B9" s="155">
        <v>3</v>
      </c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0"/>
      <c r="P9" s="320"/>
    </row>
    <row r="10" spans="2:16" ht="30" customHeight="1" x14ac:dyDescent="0.3">
      <c r="B10" s="155">
        <v>4</v>
      </c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0"/>
      <c r="P10" s="320"/>
    </row>
    <row r="11" spans="2:16" ht="30" customHeight="1" x14ac:dyDescent="0.3">
      <c r="B11" s="155">
        <v>5</v>
      </c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0"/>
      <c r="P11" s="320"/>
    </row>
    <row r="12" spans="2:16" ht="30" customHeight="1" x14ac:dyDescent="0.3">
      <c r="B12" s="155">
        <v>6</v>
      </c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0"/>
      <c r="P12" s="320"/>
    </row>
    <row r="13" spans="2:16" ht="30" customHeight="1" x14ac:dyDescent="0.3">
      <c r="B13" s="155">
        <v>7</v>
      </c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0"/>
      <c r="P13" s="320"/>
    </row>
    <row r="14" spans="2:16" ht="30" customHeight="1" x14ac:dyDescent="0.3">
      <c r="B14" s="155">
        <v>8</v>
      </c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0"/>
      <c r="P14" s="320"/>
    </row>
    <row r="15" spans="2:16" ht="30" customHeight="1" x14ac:dyDescent="0.3">
      <c r="B15" s="155">
        <v>9</v>
      </c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0"/>
      <c r="P15" s="320"/>
    </row>
    <row r="16" spans="2:16" ht="30" customHeight="1" x14ac:dyDescent="0.3">
      <c r="B16" s="155">
        <v>10</v>
      </c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0"/>
      <c r="P16" s="320"/>
    </row>
    <row r="17" spans="2:16" ht="30" customHeight="1" x14ac:dyDescent="0.3">
      <c r="B17" s="155">
        <v>11</v>
      </c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0"/>
      <c r="P17" s="320"/>
    </row>
    <row r="18" spans="2:16" ht="30" customHeight="1" x14ac:dyDescent="0.3">
      <c r="B18" s="155">
        <v>12</v>
      </c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0"/>
      <c r="P18" s="320"/>
    </row>
    <row r="19" spans="2:16" ht="30" customHeight="1" x14ac:dyDescent="0.3">
      <c r="B19" s="155">
        <v>13</v>
      </c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0"/>
      <c r="P19" s="320"/>
    </row>
  </sheetData>
  <mergeCells count="70">
    <mergeCell ref="C18:E18"/>
    <mergeCell ref="F18:J18"/>
    <mergeCell ref="K18:L18"/>
    <mergeCell ref="M18:N18"/>
    <mergeCell ref="O18:P18"/>
    <mergeCell ref="C19:E19"/>
    <mergeCell ref="F19:J19"/>
    <mergeCell ref="K19:L19"/>
    <mergeCell ref="M19:N19"/>
    <mergeCell ref="O19:P19"/>
    <mergeCell ref="C16:E16"/>
    <mergeCell ref="F16:J16"/>
    <mergeCell ref="K16:L16"/>
    <mergeCell ref="M16:N16"/>
    <mergeCell ref="O16:P16"/>
    <mergeCell ref="C17:E17"/>
    <mergeCell ref="F17:J17"/>
    <mergeCell ref="K17:L17"/>
    <mergeCell ref="M17:N17"/>
    <mergeCell ref="O17:P17"/>
    <mergeCell ref="C14:E14"/>
    <mergeCell ref="F14:J14"/>
    <mergeCell ref="K14:L14"/>
    <mergeCell ref="M14:N14"/>
    <mergeCell ref="O14:P14"/>
    <mergeCell ref="C15:E15"/>
    <mergeCell ref="F15:J15"/>
    <mergeCell ref="K15:L15"/>
    <mergeCell ref="M15:N15"/>
    <mergeCell ref="O15:P15"/>
    <mergeCell ref="C12:E12"/>
    <mergeCell ref="F12:J12"/>
    <mergeCell ref="K12:L12"/>
    <mergeCell ref="M12:N12"/>
    <mergeCell ref="O12:P12"/>
    <mergeCell ref="C13:E13"/>
    <mergeCell ref="F13:J13"/>
    <mergeCell ref="K13:L13"/>
    <mergeCell ref="M13:N13"/>
    <mergeCell ref="O13:P13"/>
    <mergeCell ref="C10:E10"/>
    <mergeCell ref="F10:J10"/>
    <mergeCell ref="K10:L10"/>
    <mergeCell ref="M10:N10"/>
    <mergeCell ref="O10:P10"/>
    <mergeCell ref="C11:E11"/>
    <mergeCell ref="F11:J11"/>
    <mergeCell ref="K11:L11"/>
    <mergeCell ref="M11:N11"/>
    <mergeCell ref="O11:P11"/>
    <mergeCell ref="C8:E8"/>
    <mergeCell ref="F8:J8"/>
    <mergeCell ref="K8:L8"/>
    <mergeCell ref="M8:N8"/>
    <mergeCell ref="O8:P8"/>
    <mergeCell ref="C9:E9"/>
    <mergeCell ref="F9:J9"/>
    <mergeCell ref="K9:L9"/>
    <mergeCell ref="M9:N9"/>
    <mergeCell ref="O9:P9"/>
    <mergeCell ref="C6:E6"/>
    <mergeCell ref="F6:J6"/>
    <mergeCell ref="K6:L6"/>
    <mergeCell ref="M6:N6"/>
    <mergeCell ref="O6:P6"/>
    <mergeCell ref="C7:E7"/>
    <mergeCell ref="F7:J7"/>
    <mergeCell ref="K7:L7"/>
    <mergeCell ref="M7:N7"/>
    <mergeCell ref="O7:P7"/>
  </mergeCells>
  <phoneticPr fontId="3" type="noConversion"/>
  <printOptions horizontalCentered="1"/>
  <pageMargins left="0.51181102362204722" right="0.51181102362204722" top="0.6692913385826772" bottom="0.47244094488188981" header="0.31496062992125984" footer="0.2755905511811023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17</vt:i4>
      </vt:variant>
    </vt:vector>
  </HeadingPairs>
  <TitlesOfParts>
    <vt:vector size="34" baseType="lpstr">
      <vt:lpstr>경영검토 프로세스(9.4_T1)</vt:lpstr>
      <vt:lpstr>표지</vt:lpstr>
      <vt:lpstr>목차</vt:lpstr>
      <vt:lpstr>1.현장방침 및 목표</vt:lpstr>
      <vt:lpstr>2. 운영성과 측정지표</vt:lpstr>
      <vt:lpstr>3. 검토항목</vt:lpstr>
      <vt:lpstr>4. 이행 검토서</vt:lpstr>
      <vt:lpstr>4.1 사업관리</vt:lpstr>
      <vt:lpstr>4.2  1) 원가 및 공정관리</vt:lpstr>
      <vt:lpstr>4.2  3) 품질관리_재검사율</vt:lpstr>
      <vt:lpstr>4.2  3) 품질관리_검사현황</vt:lpstr>
      <vt:lpstr>4.2  3) 품질관리_부적합 및 시정조치</vt:lpstr>
      <vt:lpstr>4.2  4)안전관리</vt:lpstr>
      <vt:lpstr>4.2  5)환경관리</vt:lpstr>
      <vt:lpstr>4.2  6)설계관리</vt:lpstr>
      <vt:lpstr>4.3 지식관리  1)시공계획서</vt:lpstr>
      <vt:lpstr>4.3 지식관리  2)교육훈련</vt:lpstr>
      <vt:lpstr>'1.현장방침 및 목표'!Print_Area</vt:lpstr>
      <vt:lpstr>'3. 검토항목'!Print_Area</vt:lpstr>
      <vt:lpstr>'4. 이행 검토서'!Print_Area</vt:lpstr>
      <vt:lpstr>'4.1 사업관리'!Print_Area</vt:lpstr>
      <vt:lpstr>'4.2  1) 원가 및 공정관리'!Print_Area</vt:lpstr>
      <vt:lpstr>'4.2  3) 품질관리_검사현황'!Print_Area</vt:lpstr>
      <vt:lpstr>'4.2  3) 품질관리_부적합 및 시정조치'!Print_Area</vt:lpstr>
      <vt:lpstr>'4.2  3) 품질관리_재검사율'!Print_Area</vt:lpstr>
      <vt:lpstr>'4.2  4)안전관리'!Print_Area</vt:lpstr>
      <vt:lpstr>'4.2  5)환경관리'!Print_Area</vt:lpstr>
      <vt:lpstr>'4.2  6)설계관리'!Print_Area</vt:lpstr>
      <vt:lpstr>'4.3 지식관리  1)시공계획서'!Print_Area</vt:lpstr>
      <vt:lpstr>'4.3 지식관리  2)교육훈련'!Print_Area</vt:lpstr>
      <vt:lpstr>'경영검토 프로세스(9.4_T1)'!Print_Area</vt:lpstr>
      <vt:lpstr>목차!Print_Area</vt:lpstr>
      <vt:lpstr>표지!Print_Area</vt:lpstr>
      <vt:lpstr>'4. 이행 검토서'!Print_Titles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2022-05-19T01:59:45Z</cp:lastPrinted>
  <dcterms:created xsi:type="dcterms:W3CDTF">2022-05-11T01:20:02Z</dcterms:created>
  <dcterms:modified xsi:type="dcterms:W3CDTF">2024-01-22T05:39:59Z</dcterms:modified>
</cp:coreProperties>
</file>